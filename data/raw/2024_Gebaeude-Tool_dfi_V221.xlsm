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drawings/drawing4.xml" ContentType="application/vnd.openxmlformats-officedocument.drawing+xml"/>
  <Override PartName="/xl/ctrlProps/ctrlProp107.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saveExternalLinkValues="0" updateLinks="never" codeName="DieseArbeitsmappe" hidePivotFieldList="1" defaultThemeVersion="124226"/>
  <mc:AlternateContent xmlns:mc="http://schemas.openxmlformats.org/markup-compatibility/2006">
    <mc:Choice Requires="x15">
      <x15ac:absPath xmlns:x15ac="http://schemas.microsoft.com/office/spreadsheetml/2010/11/ac" url="S:\20_Verlag\5000_projekte\5003_tools\07_2024_gebäudetool\web\"/>
    </mc:Choice>
  </mc:AlternateContent>
  <xr:revisionPtr revIDLastSave="0" documentId="13_ncr:1_{7D41D9DA-C1CD-49BE-8412-E29B072139C7}" xr6:coauthVersionLast="47" xr6:coauthVersionMax="47" xr10:uidLastSave="{00000000-0000-0000-0000-000000000000}"/>
  <workbookProtection workbookAlgorithmName="SHA-512" workbookHashValue="m5kjosL5gkdBA7O8L4pT0V246uKMLYafdTmYLmGONl77+quH+B6NTUkGYvUcz1oXPnmWML3BE2uuzCpaDNpPiw==" workbookSaltValue="Oh20zRGtLPFQxUG95RmF2A==" workbookSpinCount="100000" lockStructure="1"/>
  <bookViews>
    <workbookView xWindow="28690" yWindow="-110" windowWidth="38620" windowHeight="21360" tabRatio="668" firstSheet="1" activeTab="1" xr2:uid="{00000000-000D-0000-FFFF-FFFF00000000}"/>
  </bookViews>
  <sheets>
    <sheet name="Lizenzieren" sheetId="49" state="veryHidden" r:id="rId1"/>
    <sheet name="Anleitung" sheetId="47" r:id="rId2"/>
    <sheet name="Begriffe" sheetId="43" state="veryHidden" r:id="rId3"/>
    <sheet name="Gebäude" sheetId="40" r:id="rId4"/>
    <sheet name="Lüftung" sheetId="56" r:id="rId5"/>
    <sheet name="Erzeugung" sheetId="57" r:id="rId6"/>
    <sheet name="Resultate" sheetId="58" r:id="rId7"/>
    <sheet name="Nutzungsgrad" sheetId="15" state="veryHidden" r:id="rId8"/>
    <sheet name="Berechnung LU" sheetId="61" state="veryHidden" r:id="rId9"/>
    <sheet name="Klimadaten" sheetId="62" state="veryHidden" r:id="rId10"/>
    <sheet name="KZ_Raum_2024" sheetId="41" state="veryHidden" r:id="rId11"/>
    <sheet name="Qhc_Klimastat" sheetId="64" state="veryHidden" r:id="rId12"/>
    <sheet name="Std" sheetId="42" state="veryHidden" r:id="rId13"/>
  </sheets>
  <functionGroups builtInGroupCount="19"/>
  <externalReferences>
    <externalReference r:id="rId14"/>
    <externalReference r:id="rId15"/>
    <externalReference r:id="rId16"/>
    <externalReference r:id="rId17"/>
  </externalReferences>
  <definedNames>
    <definedName name="_xlnm._FilterDatabase" localSheetId="8" hidden="1">'Berechnung LU'!$AM$63:$AM$83</definedName>
    <definedName name="_xleta.INDEX" hidden="1" xlm="1">#NAME?</definedName>
    <definedName name="_xlnm.Print_Area" localSheetId="1">Anleitung!$A$1:$H$32</definedName>
    <definedName name="_xlnm.Print_Area" localSheetId="8">'Berechnung LU'!$A$2:$V$115</definedName>
    <definedName name="_xlnm.Print_Area" localSheetId="3">Gebäude!$A$1:$W$62</definedName>
    <definedName name="_xlnm.Print_Area" localSheetId="0">Lizenzieren!$A$1:$Q$62</definedName>
    <definedName name="_xlnm.Print_Area" localSheetId="4">Lüftung!$A$1:$T$55</definedName>
    <definedName name="_xlnm.Print_Area" localSheetId="6">Resultate!$A$1:$U$72</definedName>
    <definedName name="EtaWW">[1]Grundlagendaten!#REF!</definedName>
    <definedName name="ImportEl" localSheetId="3">Gebäude!$F$14</definedName>
    <definedName name="Kanton">Klimadaten!$BD$33</definedName>
    <definedName name="Nein">#REF!</definedName>
    <definedName name="nutzid" localSheetId="10">[2]Datenblatt!$C$1</definedName>
    <definedName name="nutzid">[3]Datenblatt!$C$1</definedName>
    <definedName name="OLE_LINK1" localSheetId="1">Anleitung!$B$6</definedName>
    <definedName name="OLE_LINK2" localSheetId="1">Anleitung!$B$50</definedName>
    <definedName name="Parallel">#REF!</definedName>
    <definedName name="Res">KZ_Raum_2024!$B$7:$AV$51</definedName>
    <definedName name="SMA_Faktor" localSheetId="10">'[4]Referenz-Energie'!$H$34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58" l="1" a="1"/>
  <c r="E2" i="58" s="1"/>
  <c r="E2" i="57" a="1"/>
  <c r="E2" i="57" s="1"/>
  <c r="E2" i="56" a="1"/>
  <c r="E2" i="56" s="1"/>
  <c r="F2" i="64"/>
  <c r="G2" i="64"/>
  <c r="H2" i="64"/>
  <c r="I2" i="64"/>
  <c r="J2" i="64" s="1"/>
  <c r="K2" i="64" s="1"/>
  <c r="L2" i="64" s="1"/>
  <c r="M2" i="64" s="1"/>
  <c r="N2" i="64" s="1"/>
  <c r="O2" i="64" s="1"/>
  <c r="E2" i="64"/>
  <c r="C9" i="64"/>
  <c r="C10" i="64" s="1"/>
  <c r="C11" i="64" s="1"/>
  <c r="C12" i="64" s="1"/>
  <c r="C13" i="64" s="1"/>
  <c r="C14" i="64" s="1"/>
  <c r="C15" i="64" s="1"/>
  <c r="C16" i="64" s="1"/>
  <c r="C17" i="64" s="1"/>
  <c r="C18" i="64" s="1"/>
  <c r="C19" i="64" s="1"/>
  <c r="C20" i="64" s="1"/>
  <c r="C21" i="64" s="1"/>
  <c r="C22" i="64" s="1"/>
  <c r="C23" i="64" s="1"/>
  <c r="C24" i="64" s="1"/>
  <c r="C25" i="64" s="1"/>
  <c r="C26" i="64" s="1"/>
  <c r="C27" i="64" s="1"/>
  <c r="C28" i="64" s="1"/>
  <c r="C29" i="64" s="1"/>
  <c r="C30" i="64" s="1"/>
  <c r="C31" i="64" s="1"/>
  <c r="C32" i="64" s="1"/>
  <c r="C33" i="64" s="1"/>
  <c r="C34" i="64" s="1"/>
  <c r="C35" i="64" s="1"/>
  <c r="C36" i="64" s="1"/>
  <c r="C37" i="64" s="1"/>
  <c r="C38" i="64" s="1"/>
  <c r="C39" i="64" s="1"/>
  <c r="C40" i="64" s="1"/>
  <c r="C41" i="64" s="1"/>
  <c r="C42" i="64" s="1"/>
  <c r="C43" i="64" s="1"/>
  <c r="C44" i="64" s="1"/>
  <c r="C45" i="64" s="1"/>
  <c r="C46" i="64" s="1"/>
  <c r="C47" i="64" s="1"/>
  <c r="C48" i="64" s="1"/>
  <c r="C49" i="64" s="1"/>
  <c r="C50" i="64" s="1"/>
  <c r="C51" i="64" s="1"/>
  <c r="C8" i="64"/>
  <c r="D3" i="64" a="1"/>
  <c r="D3" i="64" s="1"/>
  <c r="G3" i="64" s="1"/>
  <c r="N1" i="62" a="1"/>
  <c r="N1" i="62" s="1"/>
  <c r="D3" i="40" a="1"/>
  <c r="D3" i="40" s="1"/>
  <c r="B51" i="64"/>
  <c r="A51" i="64"/>
  <c r="B50" i="64"/>
  <c r="A50" i="64"/>
  <c r="B49" i="64"/>
  <c r="A49" i="64"/>
  <c r="B48" i="64"/>
  <c r="A48" i="64"/>
  <c r="B47" i="64"/>
  <c r="A47" i="64"/>
  <c r="B46" i="64"/>
  <c r="A46" i="64"/>
  <c r="B45" i="64"/>
  <c r="A45" i="64"/>
  <c r="B44" i="64"/>
  <c r="A44" i="64"/>
  <c r="B43" i="64"/>
  <c r="A43" i="64"/>
  <c r="B42" i="64"/>
  <c r="A42" i="64"/>
  <c r="B41" i="64"/>
  <c r="A41" i="64"/>
  <c r="B40" i="64"/>
  <c r="A40" i="64"/>
  <c r="B39" i="64"/>
  <c r="A39" i="64"/>
  <c r="B38" i="64"/>
  <c r="A38" i="64"/>
  <c r="B37" i="64"/>
  <c r="A37" i="64"/>
  <c r="B36" i="64"/>
  <c r="A36" i="64"/>
  <c r="B35" i="64"/>
  <c r="A35" i="64"/>
  <c r="B34" i="64"/>
  <c r="A34" i="64"/>
  <c r="B33" i="64"/>
  <c r="A33" i="64"/>
  <c r="B32" i="64"/>
  <c r="A32" i="64"/>
  <c r="B31" i="64"/>
  <c r="A31" i="64"/>
  <c r="B30" i="64"/>
  <c r="A30" i="64"/>
  <c r="B29" i="64"/>
  <c r="A29" i="64"/>
  <c r="B28" i="64"/>
  <c r="A28" i="64"/>
  <c r="B27" i="64"/>
  <c r="A27" i="64"/>
  <c r="B26" i="64"/>
  <c r="A26" i="64"/>
  <c r="B25" i="64"/>
  <c r="A25" i="64"/>
  <c r="B24" i="64"/>
  <c r="A24" i="64"/>
  <c r="B23" i="64"/>
  <c r="A23" i="64"/>
  <c r="B22" i="64"/>
  <c r="A22" i="64"/>
  <c r="B21" i="64"/>
  <c r="A21" i="64"/>
  <c r="B20" i="64"/>
  <c r="A20" i="64"/>
  <c r="B19" i="64"/>
  <c r="A19" i="64"/>
  <c r="B18" i="64"/>
  <c r="A18" i="64"/>
  <c r="B17" i="64"/>
  <c r="A17" i="64"/>
  <c r="B16" i="64"/>
  <c r="A16" i="64"/>
  <c r="B15" i="64"/>
  <c r="A15" i="64"/>
  <c r="B14" i="64"/>
  <c r="A14" i="64"/>
  <c r="B13" i="64"/>
  <c r="A13" i="64"/>
  <c r="B12" i="64"/>
  <c r="A12" i="64"/>
  <c r="B11" i="64"/>
  <c r="A11" i="64"/>
  <c r="B10" i="64"/>
  <c r="A10" i="64"/>
  <c r="B9" i="64"/>
  <c r="A9" i="64"/>
  <c r="B8" i="64"/>
  <c r="A8" i="64"/>
  <c r="B7" i="64"/>
  <c r="A7" i="64"/>
  <c r="RP3" i="64"/>
  <c r="RD3" i="64"/>
  <c r="QR3" i="64"/>
  <c r="QF3" i="64"/>
  <c r="PT3" i="64"/>
  <c r="PH3" i="64"/>
  <c r="OV3" i="64"/>
  <c r="OJ3" i="64"/>
  <c r="NX3" i="64"/>
  <c r="NL3" i="64"/>
  <c r="MZ3" i="64"/>
  <c r="MN3" i="64"/>
  <c r="MB3" i="64"/>
  <c r="LP3" i="64"/>
  <c r="LD3" i="64"/>
  <c r="KR3" i="64"/>
  <c r="KF3" i="64"/>
  <c r="JT3" i="64"/>
  <c r="JH3" i="64"/>
  <c r="IV3" i="64"/>
  <c r="IJ3" i="64"/>
  <c r="HX3" i="64"/>
  <c r="HL3" i="64"/>
  <c r="GZ3" i="64"/>
  <c r="GN3" i="64"/>
  <c r="GB3" i="64"/>
  <c r="FP3" i="64"/>
  <c r="FD3" i="64"/>
  <c r="ER3" i="64"/>
  <c r="EF3" i="64"/>
  <c r="DT3" i="64"/>
  <c r="DH3" i="64"/>
  <c r="CV3" i="64"/>
  <c r="CJ3" i="64"/>
  <c r="BX3" i="64"/>
  <c r="BL3" i="64"/>
  <c r="AZ3" i="64"/>
  <c r="AN3" i="64"/>
  <c r="AB3" i="64"/>
  <c r="P3" i="64"/>
  <c r="I6" i="42"/>
  <c r="I7" i="42"/>
  <c r="I8" i="42"/>
  <c r="I10" i="42"/>
  <c r="I11" i="42"/>
  <c r="I14" i="42"/>
  <c r="I17" i="42"/>
  <c r="I18" i="42"/>
  <c r="I19" i="42"/>
  <c r="I20" i="42"/>
  <c r="I21" i="42"/>
  <c r="I22" i="42"/>
  <c r="I23" i="42"/>
  <c r="I26" i="42"/>
  <c r="I27" i="42"/>
  <c r="I28" i="42"/>
  <c r="I29" i="42"/>
  <c r="I32" i="42"/>
  <c r="I33" i="42"/>
  <c r="I34" i="42"/>
  <c r="I35" i="42"/>
  <c r="I36" i="42"/>
  <c r="I37" i="42"/>
  <c r="I38" i="42"/>
  <c r="E7" i="64" l="1" a="1"/>
  <c r="E7" i="64" s="1"/>
  <c r="G7" i="41" s="1"/>
  <c r="H7" i="64" a="1"/>
  <c r="H7" i="64" s="1"/>
  <c r="AN7" i="41" s="1"/>
  <c r="K7" i="64" a="1"/>
  <c r="K7" i="64" s="1"/>
  <c r="P7" i="41" s="1"/>
  <c r="N7" i="64" a="1"/>
  <c r="N7" i="64" s="1"/>
  <c r="AV7" i="41" s="1"/>
  <c r="I8" i="64" a="1"/>
  <c r="I8" i="64" s="1"/>
  <c r="O8" i="41" s="1"/>
  <c r="N8" i="64" a="1"/>
  <c r="N8" i="64" s="1"/>
  <c r="AV8" i="41" s="1"/>
  <c r="G9" i="64" a="1"/>
  <c r="G9" i="64" s="1"/>
  <c r="H9" i="41" s="1"/>
  <c r="J9" i="64" a="1"/>
  <c r="J9" i="64" s="1"/>
  <c r="AO9" i="41" s="1"/>
  <c r="N9" i="64" a="1"/>
  <c r="N9" i="64" s="1"/>
  <c r="AV9" i="41" s="1"/>
  <c r="H10" i="64" a="1"/>
  <c r="H10" i="64" s="1"/>
  <c r="AN10" i="41" s="1"/>
  <c r="N10" i="64" a="1"/>
  <c r="N10" i="64" s="1"/>
  <c r="AV10" i="41" s="1"/>
  <c r="F11" i="64" a="1"/>
  <c r="F11" i="64" s="1"/>
  <c r="AH11" i="41" s="1"/>
  <c r="J11" i="64" a="1"/>
  <c r="J11" i="64" s="1"/>
  <c r="AO11" i="41" s="1"/>
  <c r="E12" i="64" a="1"/>
  <c r="E12" i="64" s="1"/>
  <c r="G12" i="41" s="1"/>
  <c r="K12" i="64" a="1"/>
  <c r="K12" i="64" s="1"/>
  <c r="P12" i="41" s="1"/>
  <c r="N12" i="64" a="1"/>
  <c r="N12" i="64" s="1"/>
  <c r="AV12" i="41" s="1"/>
  <c r="F13" i="64" a="1"/>
  <c r="F13" i="64" s="1"/>
  <c r="AH13" i="41" s="1"/>
  <c r="J13" i="64" a="1"/>
  <c r="J13" i="64" s="1"/>
  <c r="AO13" i="41" s="1"/>
  <c r="E14" i="64" a="1"/>
  <c r="E14" i="64" s="1"/>
  <c r="G14" i="41" s="1"/>
  <c r="H14" i="64" a="1"/>
  <c r="H14" i="64" s="1"/>
  <c r="AN14" i="41" s="1"/>
  <c r="K14" i="64" a="1"/>
  <c r="K14" i="64" s="1"/>
  <c r="P14" i="41" s="1"/>
  <c r="O14" i="64" a="1"/>
  <c r="O14" i="64" s="1"/>
  <c r="X14" i="41" s="1"/>
  <c r="J15" i="64" a="1"/>
  <c r="J15" i="64" s="1"/>
  <c r="AO15" i="41" s="1"/>
  <c r="M15" i="64" a="1"/>
  <c r="M15" i="64" s="1"/>
  <c r="W15" i="41" s="1"/>
  <c r="E16" i="64" a="1"/>
  <c r="E16" i="64" s="1"/>
  <c r="G16" i="41" s="1"/>
  <c r="I16" i="64" a="1"/>
  <c r="I16" i="64" s="1"/>
  <c r="O16" i="41" s="1"/>
  <c r="O16" i="64" a="1"/>
  <c r="O16" i="64" s="1"/>
  <c r="X16" i="41" s="1"/>
  <c r="G17" i="64" a="1"/>
  <c r="G17" i="64" s="1"/>
  <c r="H17" i="41" s="1"/>
  <c r="J17" i="64" a="1"/>
  <c r="J17" i="64" s="1"/>
  <c r="AO17" i="41" s="1"/>
  <c r="N17" i="64" a="1"/>
  <c r="N17" i="64" s="1"/>
  <c r="AV17" i="41" s="1"/>
  <c r="I18" i="64" a="1"/>
  <c r="I18" i="64" s="1"/>
  <c r="O18" i="41" s="1"/>
  <c r="L18" i="64" a="1"/>
  <c r="L18" i="64" s="1"/>
  <c r="AU18" i="41" s="1"/>
  <c r="O18" i="64" a="1"/>
  <c r="O18" i="64" s="1"/>
  <c r="X18" i="41" s="1"/>
  <c r="H19" i="64" a="1"/>
  <c r="H19" i="64" s="1"/>
  <c r="AN19" i="41" s="1"/>
  <c r="N19" i="64" a="1"/>
  <c r="N19" i="64" s="1"/>
  <c r="AV19" i="41" s="1"/>
  <c r="F20" i="64" a="1"/>
  <c r="F20" i="64" s="1"/>
  <c r="AH20" i="41" s="1"/>
  <c r="I20" i="64" a="1"/>
  <c r="I20" i="64" s="1"/>
  <c r="O20" i="41" s="1"/>
  <c r="M20" i="64" a="1"/>
  <c r="M20" i="64" s="1"/>
  <c r="W20" i="41" s="1"/>
  <c r="H21" i="64" a="1"/>
  <c r="H21" i="64" s="1"/>
  <c r="AN21" i="41" s="1"/>
  <c r="K21" i="64" a="1"/>
  <c r="K21" i="64" s="1"/>
  <c r="P21" i="41" s="1"/>
  <c r="N21" i="64" a="1"/>
  <c r="N21" i="64" s="1"/>
  <c r="AV21" i="41" s="1"/>
  <c r="G22" i="64" a="1"/>
  <c r="G22" i="64" s="1"/>
  <c r="H22" i="41" s="1"/>
  <c r="L22" i="64" a="1"/>
  <c r="L22" i="64" s="1"/>
  <c r="AU22" i="41" s="1"/>
  <c r="O22" i="64" a="1"/>
  <c r="O22" i="64" s="1"/>
  <c r="X22" i="41" s="1"/>
  <c r="I23" i="64" a="1"/>
  <c r="I23" i="64" s="1"/>
  <c r="O23" i="41" s="1"/>
  <c r="L23" i="64" a="1"/>
  <c r="L23" i="64" s="1"/>
  <c r="AU23" i="41" s="1"/>
  <c r="F24" i="64" a="1"/>
  <c r="F24" i="64" s="1"/>
  <c r="AH24" i="41" s="1"/>
  <c r="L24" i="64" a="1"/>
  <c r="L24" i="64" s="1"/>
  <c r="AU24" i="41" s="1"/>
  <c r="O24" i="64" a="1"/>
  <c r="O24" i="64" s="1"/>
  <c r="X24" i="41" s="1"/>
  <c r="G25" i="64" a="1"/>
  <c r="G25" i="64" s="1"/>
  <c r="H25" i="41" s="1"/>
  <c r="J25" i="64" a="1"/>
  <c r="J25" i="64" s="1"/>
  <c r="AO25" i="41" s="1"/>
  <c r="M25" i="64" a="1"/>
  <c r="M25" i="64" s="1"/>
  <c r="W25" i="41" s="1"/>
  <c r="E26" i="64" a="1"/>
  <c r="E26" i="64" s="1"/>
  <c r="G26" i="41" s="1"/>
  <c r="K26" i="64" a="1"/>
  <c r="K26" i="64" s="1"/>
  <c r="P26" i="41" s="1"/>
  <c r="E27" i="64" a="1"/>
  <c r="E27" i="64" s="1"/>
  <c r="G27" i="41" s="1"/>
  <c r="K27" i="64" a="1"/>
  <c r="K27" i="64" s="1"/>
  <c r="P27" i="41" s="1"/>
  <c r="N27" i="64" a="1"/>
  <c r="N27" i="64" s="1"/>
  <c r="AV27" i="41" s="1"/>
  <c r="F28" i="64" a="1"/>
  <c r="F28" i="64" s="1"/>
  <c r="AH28" i="41" s="1"/>
  <c r="I28" i="64" a="1"/>
  <c r="I28" i="64" s="1"/>
  <c r="O28" i="41" s="1"/>
  <c r="L28" i="64" a="1"/>
  <c r="L28" i="64" s="1"/>
  <c r="AU28" i="41" s="1"/>
  <c r="O28" i="64" a="1"/>
  <c r="O28" i="64" s="1"/>
  <c r="X28" i="41" s="1"/>
  <c r="G29" i="64" a="1"/>
  <c r="G29" i="64" s="1"/>
  <c r="H29" i="41" s="1"/>
  <c r="M29" i="64" a="1"/>
  <c r="M29" i="64" s="1"/>
  <c r="W29" i="41" s="1"/>
  <c r="E30" i="64" a="1"/>
  <c r="E30" i="64" s="1"/>
  <c r="G30" i="41" s="1"/>
  <c r="H30" i="64" a="1"/>
  <c r="H30" i="64" s="1"/>
  <c r="AN30" i="41" s="1"/>
  <c r="F7" i="64" a="1"/>
  <c r="F7" i="64" s="1"/>
  <c r="AH7" i="41" s="1"/>
  <c r="L7" i="64" a="1"/>
  <c r="L7" i="64" s="1"/>
  <c r="AU7" i="41" s="1"/>
  <c r="F8" i="64" a="1"/>
  <c r="F8" i="64" s="1"/>
  <c r="AH8" i="41" s="1"/>
  <c r="L8" i="64" a="1"/>
  <c r="L8" i="64" s="1"/>
  <c r="AU8" i="41" s="1"/>
  <c r="O8" i="64" a="1"/>
  <c r="O8" i="64" s="1"/>
  <c r="X8" i="41" s="1"/>
  <c r="H9" i="64" a="1"/>
  <c r="H9" i="64" s="1"/>
  <c r="AN9" i="41" s="1"/>
  <c r="K9" i="64" a="1"/>
  <c r="K9" i="64" s="1"/>
  <c r="P9" i="41" s="1"/>
  <c r="F10" i="64" a="1"/>
  <c r="F10" i="64" s="1"/>
  <c r="AH10" i="41" s="1"/>
  <c r="I10" i="64" a="1"/>
  <c r="I10" i="64" s="1"/>
  <c r="O10" i="41" s="1"/>
  <c r="L10" i="64" a="1"/>
  <c r="L10" i="64" s="1"/>
  <c r="AU10" i="41" s="1"/>
  <c r="O10" i="64" a="1"/>
  <c r="O10" i="64" s="1"/>
  <c r="X10" i="41" s="1"/>
  <c r="G11" i="64" a="1"/>
  <c r="G11" i="64" s="1"/>
  <c r="H11" i="41" s="1"/>
  <c r="M11" i="64" a="1"/>
  <c r="M11" i="64" s="1"/>
  <c r="W11" i="41" s="1"/>
  <c r="H12" i="64" a="1"/>
  <c r="H12" i="64" s="1"/>
  <c r="AN12" i="41" s="1"/>
  <c r="L12" i="64" a="1"/>
  <c r="L12" i="64" s="1"/>
  <c r="AU12" i="41" s="1"/>
  <c r="O12" i="64" a="1"/>
  <c r="O12" i="64" s="1"/>
  <c r="X12" i="41" s="1"/>
  <c r="G13" i="64" a="1"/>
  <c r="G13" i="64" s="1"/>
  <c r="H13" i="41" s="1"/>
  <c r="M13" i="64" a="1"/>
  <c r="M13" i="64" s="1"/>
  <c r="W13" i="41" s="1"/>
  <c r="F14" i="64" a="1"/>
  <c r="F14" i="64" s="1"/>
  <c r="AH14" i="41" s="1"/>
  <c r="I14" i="64" a="1"/>
  <c r="I14" i="64" s="1"/>
  <c r="O14" i="41" s="1"/>
  <c r="L14" i="64" a="1"/>
  <c r="L14" i="64" s="1"/>
  <c r="AU14" i="41" s="1"/>
  <c r="G15" i="64" a="1"/>
  <c r="G15" i="64" s="1"/>
  <c r="H15" i="41" s="1"/>
  <c r="K15" i="64" a="1"/>
  <c r="K15" i="64" s="1"/>
  <c r="P15" i="41" s="1"/>
  <c r="N15" i="64" a="1"/>
  <c r="N15" i="64" s="1"/>
  <c r="AV15" i="41" s="1"/>
  <c r="F16" i="64" a="1"/>
  <c r="F16" i="64" s="1"/>
  <c r="AH16" i="41" s="1"/>
  <c r="L16" i="64" a="1"/>
  <c r="L16" i="64" s="1"/>
  <c r="AU16" i="41" s="1"/>
  <c r="E17" i="64" a="1"/>
  <c r="E17" i="64" s="1"/>
  <c r="G17" i="41" s="1"/>
  <c r="H17" i="64" a="1"/>
  <c r="H17" i="64" s="1"/>
  <c r="AN17" i="41" s="1"/>
  <c r="K17" i="64" a="1"/>
  <c r="K17" i="64" s="1"/>
  <c r="P17" i="41" s="1"/>
  <c r="F18" i="64" a="1"/>
  <c r="F18" i="64" s="1"/>
  <c r="AH18" i="41" s="1"/>
  <c r="J18" i="64" a="1"/>
  <c r="J18" i="64" s="1"/>
  <c r="AO18" i="41" s="1"/>
  <c r="M18" i="64" a="1"/>
  <c r="M18" i="64" s="1"/>
  <c r="W18" i="41" s="1"/>
  <c r="E19" i="64" a="1"/>
  <c r="E19" i="64" s="1"/>
  <c r="G19" i="41" s="1"/>
  <c r="K19" i="64" a="1"/>
  <c r="K19" i="64" s="1"/>
  <c r="P19" i="41" s="1"/>
  <c r="O19" i="64" a="1"/>
  <c r="O19" i="64" s="1"/>
  <c r="X19" i="41" s="1"/>
  <c r="G20" i="64" a="1"/>
  <c r="G20" i="64" s="1"/>
  <c r="H20" i="41" s="1"/>
  <c r="J20" i="64" a="1"/>
  <c r="J20" i="64" s="1"/>
  <c r="AO20" i="41" s="1"/>
  <c r="E21" i="64" a="1"/>
  <c r="E21" i="64" s="1"/>
  <c r="G21" i="41" s="1"/>
  <c r="I21" i="64" a="1"/>
  <c r="I21" i="64" s="1"/>
  <c r="O21" i="41" s="1"/>
  <c r="L21" i="64" a="1"/>
  <c r="L21" i="64" s="1"/>
  <c r="AU21" i="41" s="1"/>
  <c r="O21" i="64" a="1"/>
  <c r="O21" i="64" s="1"/>
  <c r="X21" i="41" s="1"/>
  <c r="J22" i="64" a="1"/>
  <c r="J22" i="64" s="1"/>
  <c r="AO22" i="41" s="1"/>
  <c r="M22" i="64" a="1"/>
  <c r="M22" i="64" s="1"/>
  <c r="W22" i="41" s="1"/>
  <c r="G23" i="64" a="1"/>
  <c r="G23" i="64" s="1"/>
  <c r="H23" i="41" s="1"/>
  <c r="J23" i="64" a="1"/>
  <c r="J23" i="64" s="1"/>
  <c r="AO23" i="41" s="1"/>
  <c r="O23" i="64" a="1"/>
  <c r="O23" i="64" s="1"/>
  <c r="X23" i="41" s="1"/>
  <c r="G24" i="64" a="1"/>
  <c r="G24" i="64" s="1"/>
  <c r="H24" i="41" s="1"/>
  <c r="J24" i="64" a="1"/>
  <c r="J24" i="64" s="1"/>
  <c r="AO24" i="41" s="1"/>
  <c r="M24" i="64" a="1"/>
  <c r="M24" i="64" s="1"/>
  <c r="W24" i="41" s="1"/>
  <c r="E25" i="64" a="1"/>
  <c r="E25" i="64" s="1"/>
  <c r="G25" i="41" s="1"/>
  <c r="H25" i="64" a="1"/>
  <c r="H25" i="64" s="1"/>
  <c r="AN25" i="41" s="1"/>
  <c r="N25" i="64" a="1"/>
  <c r="N25" i="64" s="1"/>
  <c r="AV25" i="41" s="1"/>
  <c r="H26" i="64" a="1"/>
  <c r="H26" i="64" s="1"/>
  <c r="AN26" i="41" s="1"/>
  <c r="N26" i="64" a="1"/>
  <c r="N26" i="64" s="1"/>
  <c r="AV26" i="41" s="1"/>
  <c r="F27" i="64" a="1"/>
  <c r="F27" i="64" s="1"/>
  <c r="AH27" i="41" s="1"/>
  <c r="I27" i="64" a="1"/>
  <c r="I27" i="64" s="1"/>
  <c r="O27" i="41" s="1"/>
  <c r="L27" i="64" a="1"/>
  <c r="L27" i="64" s="1"/>
  <c r="AU27" i="41" s="1"/>
  <c r="O27" i="64" a="1"/>
  <c r="O27" i="64" s="1"/>
  <c r="X27" i="41" s="1"/>
  <c r="G28" i="64" a="1"/>
  <c r="G28" i="64" s="1"/>
  <c r="H28" i="41" s="1"/>
  <c r="M28" i="64" a="1"/>
  <c r="M28" i="64" s="1"/>
  <c r="W28" i="41" s="1"/>
  <c r="H29" i="64" a="1"/>
  <c r="H29" i="64" s="1"/>
  <c r="AN29" i="41" s="1"/>
  <c r="K29" i="64" a="1"/>
  <c r="K29" i="64" s="1"/>
  <c r="P29" i="41" s="1"/>
  <c r="N29" i="64" a="1"/>
  <c r="N29" i="64" s="1"/>
  <c r="AV29" i="41" s="1"/>
  <c r="F30" i="64" a="1"/>
  <c r="F30" i="64" s="1"/>
  <c r="AH30" i="41" s="1"/>
  <c r="I30" i="64" a="1"/>
  <c r="I30" i="64" s="1"/>
  <c r="O30" i="41" s="1"/>
  <c r="G8" i="64" a="1"/>
  <c r="G8" i="64" s="1"/>
  <c r="H8" i="41" s="1"/>
  <c r="M8" i="64" a="1"/>
  <c r="M8" i="64" s="1"/>
  <c r="W8" i="41" s="1"/>
  <c r="O9" i="64" a="1"/>
  <c r="O9" i="64" s="1"/>
  <c r="X9" i="41" s="1"/>
  <c r="J10" i="64" a="1"/>
  <c r="J10" i="64" s="1"/>
  <c r="AO10" i="41" s="1"/>
  <c r="K11" i="64" a="1"/>
  <c r="K11" i="64" s="1"/>
  <c r="P11" i="41" s="1"/>
  <c r="F12" i="64" a="1"/>
  <c r="F12" i="64" s="1"/>
  <c r="AH12" i="41" s="1"/>
  <c r="M12" i="64" a="1"/>
  <c r="M12" i="64" s="1"/>
  <c r="W12" i="41" s="1"/>
  <c r="H13" i="64" a="1"/>
  <c r="H13" i="64" s="1"/>
  <c r="AN13" i="41" s="1"/>
  <c r="N13" i="64" a="1"/>
  <c r="N13" i="64" s="1"/>
  <c r="AV13" i="41" s="1"/>
  <c r="E15" i="64" a="1"/>
  <c r="E15" i="64" s="1"/>
  <c r="G15" i="41" s="1"/>
  <c r="L15" i="64" a="1"/>
  <c r="L15" i="64" s="1"/>
  <c r="AU15" i="41" s="1"/>
  <c r="G16" i="64" a="1"/>
  <c r="G16" i="64" s="1"/>
  <c r="H16" i="41" s="1"/>
  <c r="M16" i="64" a="1"/>
  <c r="M16" i="64" s="1"/>
  <c r="W16" i="41" s="1"/>
  <c r="O17" i="64" a="1"/>
  <c r="O17" i="64" s="1"/>
  <c r="X17" i="41" s="1"/>
  <c r="K18" i="64" a="1"/>
  <c r="K18" i="64" s="1"/>
  <c r="P18" i="41" s="1"/>
  <c r="F19" i="64" a="1"/>
  <c r="F19" i="64" s="1"/>
  <c r="AH19" i="41" s="1"/>
  <c r="L19" i="64" a="1"/>
  <c r="L19" i="64" s="1"/>
  <c r="AU19" i="41" s="1"/>
  <c r="N20" i="64" a="1"/>
  <c r="N20" i="64" s="1"/>
  <c r="AV20" i="41" s="1"/>
  <c r="J21" i="64" a="1"/>
  <c r="J21" i="64" s="1"/>
  <c r="AO21" i="41" s="1"/>
  <c r="E22" i="64" a="1"/>
  <c r="E22" i="64" s="1"/>
  <c r="G22" i="41" s="1"/>
  <c r="K22" i="64" a="1"/>
  <c r="K22" i="64" s="1"/>
  <c r="P22" i="41" s="1"/>
  <c r="E23" i="64" a="1"/>
  <c r="E23" i="64" s="1"/>
  <c r="G23" i="41" s="1"/>
  <c r="E24" i="64" a="1"/>
  <c r="E24" i="64" s="1"/>
  <c r="G24" i="41" s="1"/>
  <c r="K24" i="64" a="1"/>
  <c r="K24" i="64" s="1"/>
  <c r="P24" i="41" s="1"/>
  <c r="F25" i="64" a="1"/>
  <c r="F25" i="64" s="1"/>
  <c r="AH25" i="41" s="1"/>
  <c r="K25" i="64" a="1"/>
  <c r="K25" i="64" s="1"/>
  <c r="P25" i="41" s="1"/>
  <c r="F26" i="64" a="1"/>
  <c r="F26" i="64" s="1"/>
  <c r="AH26" i="41" s="1"/>
  <c r="L26" i="64" a="1"/>
  <c r="L26" i="64" s="1"/>
  <c r="AU26" i="41" s="1"/>
  <c r="G27" i="64" a="1"/>
  <c r="G27" i="64" s="1"/>
  <c r="H27" i="41" s="1"/>
  <c r="I29" i="64" a="1"/>
  <c r="I29" i="64" s="1"/>
  <c r="O29" i="41" s="1"/>
  <c r="L30" i="64" a="1"/>
  <c r="L30" i="64" s="1"/>
  <c r="AU30" i="41" s="1"/>
  <c r="G31" i="64" a="1"/>
  <c r="G31" i="64" s="1"/>
  <c r="H31" i="41" s="1"/>
  <c r="J31" i="64" a="1"/>
  <c r="J31" i="64" s="1"/>
  <c r="AO31" i="41" s="1"/>
  <c r="M31" i="64" a="1"/>
  <c r="M31" i="64" s="1"/>
  <c r="W31" i="41" s="1"/>
  <c r="E32" i="64" a="1"/>
  <c r="E32" i="64" s="1"/>
  <c r="G32" i="41" s="1"/>
  <c r="I32" i="64" a="1"/>
  <c r="I32" i="64" s="1"/>
  <c r="O32" i="41" s="1"/>
  <c r="N32" i="64" a="1"/>
  <c r="N32" i="64" s="1"/>
  <c r="AV32" i="41" s="1"/>
  <c r="I33" i="64" a="1"/>
  <c r="I33" i="64" s="1"/>
  <c r="O33" i="41" s="1"/>
  <c r="L33" i="64" a="1"/>
  <c r="L33" i="64" s="1"/>
  <c r="AU33" i="41" s="1"/>
  <c r="O33" i="64" a="1"/>
  <c r="O33" i="64" s="1"/>
  <c r="X33" i="41" s="1"/>
  <c r="G34" i="64" a="1"/>
  <c r="G34" i="64" s="1"/>
  <c r="H34" i="41" s="1"/>
  <c r="L34" i="64" a="1"/>
  <c r="L34" i="64" s="1"/>
  <c r="AU34" i="41" s="1"/>
  <c r="O34" i="64" a="1"/>
  <c r="O34" i="64" s="1"/>
  <c r="X34" i="41" s="1"/>
  <c r="I35" i="64" a="1"/>
  <c r="I35" i="64" s="1"/>
  <c r="O35" i="41" s="1"/>
  <c r="L35" i="64" a="1"/>
  <c r="L35" i="64" s="1"/>
  <c r="AU35" i="41" s="1"/>
  <c r="F36" i="64" a="1"/>
  <c r="F36" i="64" s="1"/>
  <c r="AH36" i="41" s="1"/>
  <c r="I36" i="64" a="1"/>
  <c r="I36" i="64" s="1"/>
  <c r="O36" i="41" s="1"/>
  <c r="N36" i="64" a="1"/>
  <c r="N36" i="64" s="1"/>
  <c r="AV36" i="41" s="1"/>
  <c r="F37" i="64" a="1"/>
  <c r="F37" i="64" s="1"/>
  <c r="AH37" i="41" s="1"/>
  <c r="K37" i="64" a="1"/>
  <c r="K37" i="64" s="1"/>
  <c r="P37" i="41" s="1"/>
  <c r="N37" i="64" a="1"/>
  <c r="N37" i="64" s="1"/>
  <c r="AV37" i="41" s="1"/>
  <c r="H38" i="64" a="1"/>
  <c r="H38" i="64" s="1"/>
  <c r="AN38" i="41" s="1"/>
  <c r="K38" i="64" a="1"/>
  <c r="K38" i="64" s="1"/>
  <c r="P38" i="41" s="1"/>
  <c r="E39" i="64" a="1"/>
  <c r="E39" i="64" s="1"/>
  <c r="G39" i="41" s="1"/>
  <c r="H39" i="64" a="1"/>
  <c r="H39" i="64" s="1"/>
  <c r="AN39" i="41" s="1"/>
  <c r="M39" i="64" a="1"/>
  <c r="M39" i="64" s="1"/>
  <c r="W39" i="41" s="1"/>
  <c r="E40" i="64" a="1"/>
  <c r="E40" i="64" s="1"/>
  <c r="G40" i="41" s="1"/>
  <c r="J40" i="64" a="1"/>
  <c r="J40" i="64" s="1"/>
  <c r="AO40" i="41" s="1"/>
  <c r="M40" i="64" a="1"/>
  <c r="M40" i="64" s="1"/>
  <c r="W40" i="41" s="1"/>
  <c r="G41" i="64" a="1"/>
  <c r="G41" i="64" s="1"/>
  <c r="H41" i="41" s="1"/>
  <c r="J41" i="64" a="1"/>
  <c r="J41" i="64" s="1"/>
  <c r="AO41" i="41" s="1"/>
  <c r="O41" i="64" a="1"/>
  <c r="O41" i="64" s="1"/>
  <c r="X41" i="41" s="1"/>
  <c r="G42" i="64" a="1"/>
  <c r="G42" i="64" s="1"/>
  <c r="H42" i="41" s="1"/>
  <c r="L42" i="64" a="1"/>
  <c r="L42" i="64" s="1"/>
  <c r="AU42" i="41" s="1"/>
  <c r="I7" i="64" a="1"/>
  <c r="I7" i="64" s="1"/>
  <c r="O7" i="41" s="1"/>
  <c r="O7" i="64" a="1"/>
  <c r="O7" i="64" s="1"/>
  <c r="X7" i="41" s="1"/>
  <c r="J8" i="64" a="1"/>
  <c r="J8" i="64" s="1"/>
  <c r="AO8" i="41" s="1"/>
  <c r="E9" i="64" a="1"/>
  <c r="E9" i="64" s="1"/>
  <c r="G9" i="41" s="1"/>
  <c r="L9" i="64" a="1"/>
  <c r="L9" i="64" s="1"/>
  <c r="AU9" i="41" s="1"/>
  <c r="G10" i="64" a="1"/>
  <c r="G10" i="64" s="1"/>
  <c r="H10" i="41" s="1"/>
  <c r="M10" i="64" a="1"/>
  <c r="M10" i="64" s="1"/>
  <c r="W10" i="41" s="1"/>
  <c r="H11" i="64" a="1"/>
  <c r="H11" i="64" s="1"/>
  <c r="AN11" i="41" s="1"/>
  <c r="N11" i="64" a="1"/>
  <c r="N11" i="64" s="1"/>
  <c r="AV11" i="41" s="1"/>
  <c r="I12" i="64" a="1"/>
  <c r="I12" i="64" s="1"/>
  <c r="O12" i="41" s="1"/>
  <c r="K13" i="64" a="1"/>
  <c r="K13" i="64" s="1"/>
  <c r="P13" i="41" s="1"/>
  <c r="G14" i="64" a="1"/>
  <c r="G14" i="64" s="1"/>
  <c r="H14" i="41" s="1"/>
  <c r="M14" i="64" a="1"/>
  <c r="M14" i="64" s="1"/>
  <c r="W14" i="41" s="1"/>
  <c r="H15" i="64" a="1"/>
  <c r="H15" i="64" s="1"/>
  <c r="AN15" i="41" s="1"/>
  <c r="J16" i="64" a="1"/>
  <c r="J16" i="64" s="1"/>
  <c r="AO16" i="41" s="1"/>
  <c r="F17" i="64" a="1"/>
  <c r="F17" i="64" s="1"/>
  <c r="AH17" i="41" s="1"/>
  <c r="L17" i="64" a="1"/>
  <c r="L17" i="64" s="1"/>
  <c r="AU17" i="41" s="1"/>
  <c r="G18" i="64" a="1"/>
  <c r="G18" i="64" s="1"/>
  <c r="H18" i="41" s="1"/>
  <c r="I19" i="64" a="1"/>
  <c r="I19" i="64" s="1"/>
  <c r="O19" i="41" s="1"/>
  <c r="E20" i="64" a="1"/>
  <c r="E20" i="64" s="1"/>
  <c r="G20" i="41" s="1"/>
  <c r="K20" i="64" a="1"/>
  <c r="K20" i="64" s="1"/>
  <c r="P20" i="41" s="1"/>
  <c r="F21" i="64" a="1"/>
  <c r="F21" i="64" s="1"/>
  <c r="AH21" i="41" s="1"/>
  <c r="H22" i="64" a="1"/>
  <c r="H22" i="64" s="1"/>
  <c r="AN22" i="41" s="1"/>
  <c r="H23" i="64" a="1"/>
  <c r="H23" i="64" s="1"/>
  <c r="AN23" i="41" s="1"/>
  <c r="M23" i="64" a="1"/>
  <c r="M23" i="64" s="1"/>
  <c r="W23" i="41" s="1"/>
  <c r="H24" i="64" a="1"/>
  <c r="H24" i="64" s="1"/>
  <c r="AN24" i="41" s="1"/>
  <c r="I26" i="64" a="1"/>
  <c r="I26" i="64" s="1"/>
  <c r="O26" i="41" s="1"/>
  <c r="O26" i="64" a="1"/>
  <c r="O26" i="64" s="1"/>
  <c r="X26" i="41" s="1"/>
  <c r="J27" i="64" a="1"/>
  <c r="J27" i="64" s="1"/>
  <c r="AO27" i="41" s="1"/>
  <c r="E28" i="64" a="1"/>
  <c r="E28" i="64" s="1"/>
  <c r="G28" i="41" s="1"/>
  <c r="J28" i="64" a="1"/>
  <c r="J28" i="64" s="1"/>
  <c r="AO28" i="41" s="1"/>
  <c r="E29" i="64" a="1"/>
  <c r="E29" i="64" s="1"/>
  <c r="G29" i="41" s="1"/>
  <c r="L29" i="64" a="1"/>
  <c r="L29" i="64" s="1"/>
  <c r="AU29" i="41" s="1"/>
  <c r="G30" i="64" a="1"/>
  <c r="G30" i="64" s="1"/>
  <c r="H30" i="41" s="1"/>
  <c r="K30" i="64" a="1"/>
  <c r="K30" i="64" s="1"/>
  <c r="P30" i="41" s="1"/>
  <c r="N30" i="64" a="1"/>
  <c r="N30" i="64" s="1"/>
  <c r="AV30" i="41" s="1"/>
  <c r="F31" i="64" a="1"/>
  <c r="F31" i="64" s="1"/>
  <c r="AH31" i="41" s="1"/>
  <c r="L31" i="64" a="1"/>
  <c r="L31" i="64" s="1"/>
  <c r="AU31" i="41" s="1"/>
  <c r="G32" i="64" a="1"/>
  <c r="G32" i="64" s="1"/>
  <c r="H32" i="41" s="1"/>
  <c r="J32" i="64" a="1"/>
  <c r="J32" i="64" s="1"/>
  <c r="AO32" i="41" s="1"/>
  <c r="M32" i="64" a="1"/>
  <c r="M32" i="64" s="1"/>
  <c r="W32" i="41" s="1"/>
  <c r="E33" i="64" a="1"/>
  <c r="E33" i="64" s="1"/>
  <c r="G33" i="41" s="1"/>
  <c r="H33" i="64" a="1"/>
  <c r="H33" i="64" s="1"/>
  <c r="AN33" i="41" s="1"/>
  <c r="N33" i="64" a="1"/>
  <c r="N33" i="64" s="1"/>
  <c r="AV33" i="41" s="1"/>
  <c r="H34" i="64" a="1"/>
  <c r="H34" i="64" s="1"/>
  <c r="AN34" i="41" s="1"/>
  <c r="K34" i="64" a="1"/>
  <c r="K34" i="64" s="1"/>
  <c r="P34" i="41" s="1"/>
  <c r="E35" i="64" a="1"/>
  <c r="E35" i="64" s="1"/>
  <c r="G35" i="41" s="1"/>
  <c r="H35" i="64" a="1"/>
  <c r="H35" i="64" s="1"/>
  <c r="AN35" i="41" s="1"/>
  <c r="M35" i="64" a="1"/>
  <c r="M35" i="64" s="1"/>
  <c r="W35" i="41" s="1"/>
  <c r="E36" i="64" a="1"/>
  <c r="E36" i="64" s="1"/>
  <c r="G36" i="41" s="1"/>
  <c r="J36" i="64" a="1"/>
  <c r="J36" i="64" s="1"/>
  <c r="AO36" i="41" s="1"/>
  <c r="M36" i="64" a="1"/>
  <c r="M36" i="64" s="1"/>
  <c r="W36" i="41" s="1"/>
  <c r="G37" i="64" a="1"/>
  <c r="G37" i="64" s="1"/>
  <c r="H37" i="41" s="1"/>
  <c r="J37" i="64" a="1"/>
  <c r="J37" i="64" s="1"/>
  <c r="AO37" i="41" s="1"/>
  <c r="O37" i="64" a="1"/>
  <c r="O37" i="64" s="1"/>
  <c r="X37" i="41" s="1"/>
  <c r="G38" i="64" a="1"/>
  <c r="G38" i="64" s="1"/>
  <c r="H38" i="41" s="1"/>
  <c r="L38" i="64" a="1"/>
  <c r="L38" i="64" s="1"/>
  <c r="AU38" i="41" s="1"/>
  <c r="O38" i="64" a="1"/>
  <c r="O38" i="64" s="1"/>
  <c r="X38" i="41" s="1"/>
  <c r="I39" i="64" a="1"/>
  <c r="I39" i="64" s="1"/>
  <c r="O39" i="41" s="1"/>
  <c r="L39" i="64" a="1"/>
  <c r="L39" i="64" s="1"/>
  <c r="AU39" i="41" s="1"/>
  <c r="F40" i="64" a="1"/>
  <c r="F40" i="64" s="1"/>
  <c r="AH40" i="41" s="1"/>
  <c r="I40" i="64" a="1"/>
  <c r="I40" i="64" s="1"/>
  <c r="O40" i="41" s="1"/>
  <c r="N40" i="64" a="1"/>
  <c r="N40" i="64" s="1"/>
  <c r="AV40" i="41" s="1"/>
  <c r="F41" i="64" a="1"/>
  <c r="F41" i="64" s="1"/>
  <c r="AH41" i="41" s="1"/>
  <c r="G7" i="64" a="1"/>
  <c r="G7" i="64" s="1"/>
  <c r="H7" i="41" s="1"/>
  <c r="H8" i="64" a="1"/>
  <c r="H8" i="64" s="1"/>
  <c r="AN8" i="41" s="1"/>
  <c r="I9" i="64" a="1"/>
  <c r="I9" i="64" s="1"/>
  <c r="O9" i="41" s="1"/>
  <c r="K10" i="64" a="1"/>
  <c r="K10" i="64" s="1"/>
  <c r="P10" i="41" s="1"/>
  <c r="L11" i="64" a="1"/>
  <c r="L11" i="64" s="1"/>
  <c r="AU11" i="41" s="1"/>
  <c r="O13" i="64" a="1"/>
  <c r="O13" i="64" s="1"/>
  <c r="X13" i="41" s="1"/>
  <c r="F15" i="64" a="1"/>
  <c r="F15" i="64" s="1"/>
  <c r="AH15" i="41" s="1"/>
  <c r="H16" i="64" a="1"/>
  <c r="H16" i="64" s="1"/>
  <c r="AN16" i="41" s="1"/>
  <c r="I17" i="64" a="1"/>
  <c r="I17" i="64" s="1"/>
  <c r="O17" i="41" s="1"/>
  <c r="M19" i="64" a="1"/>
  <c r="M19" i="64" s="1"/>
  <c r="W19" i="41" s="1"/>
  <c r="O20" i="64" a="1"/>
  <c r="O20" i="64" s="1"/>
  <c r="X20" i="41" s="1"/>
  <c r="F22" i="64" a="1"/>
  <c r="F22" i="64" s="1"/>
  <c r="AH22" i="41" s="1"/>
  <c r="F23" i="64" a="1"/>
  <c r="F23" i="64" s="1"/>
  <c r="AH23" i="41" s="1"/>
  <c r="G26" i="64" a="1"/>
  <c r="G26" i="64" s="1"/>
  <c r="H26" i="41" s="1"/>
  <c r="H27" i="64" a="1"/>
  <c r="H27" i="64" s="1"/>
  <c r="AN27" i="41" s="1"/>
  <c r="H28" i="64" a="1"/>
  <c r="H28" i="64" s="1"/>
  <c r="AN28" i="41" s="1"/>
  <c r="J29" i="64" a="1"/>
  <c r="J29" i="64" s="1"/>
  <c r="AO29" i="41" s="1"/>
  <c r="J30" i="64" a="1"/>
  <c r="J30" i="64" s="1"/>
  <c r="AO30" i="41" s="1"/>
  <c r="E31" i="64" a="1"/>
  <c r="E31" i="64" s="1"/>
  <c r="G31" i="41" s="1"/>
  <c r="K31" i="64" a="1"/>
  <c r="K31" i="64" s="1"/>
  <c r="P31" i="41" s="1"/>
  <c r="F32" i="64" a="1"/>
  <c r="F32" i="64" s="1"/>
  <c r="AH32" i="41" s="1"/>
  <c r="L32" i="64" a="1"/>
  <c r="L32" i="64" s="1"/>
  <c r="AU32" i="41" s="1"/>
  <c r="G33" i="64" a="1"/>
  <c r="G33" i="64" s="1"/>
  <c r="H33" i="41" s="1"/>
  <c r="M33" i="64" a="1"/>
  <c r="M33" i="64" s="1"/>
  <c r="W33" i="41" s="1"/>
  <c r="M34" i="64" a="1"/>
  <c r="M34" i="64" s="1"/>
  <c r="W34" i="41" s="1"/>
  <c r="G35" i="64" a="1"/>
  <c r="G35" i="64" s="1"/>
  <c r="H35" i="41" s="1"/>
  <c r="G36" i="64" a="1"/>
  <c r="G36" i="64" s="1"/>
  <c r="H36" i="41" s="1"/>
  <c r="L36" i="64" a="1"/>
  <c r="L36" i="64" s="1"/>
  <c r="AU36" i="41" s="1"/>
  <c r="L37" i="64" a="1"/>
  <c r="L37" i="64" s="1"/>
  <c r="AU37" i="41" s="1"/>
  <c r="F38" i="64" a="1"/>
  <c r="F38" i="64" s="1"/>
  <c r="AH38" i="41" s="1"/>
  <c r="F39" i="64" a="1"/>
  <c r="F39" i="64" s="1"/>
  <c r="AH39" i="41" s="1"/>
  <c r="K39" i="64" a="1"/>
  <c r="K39" i="64" s="1"/>
  <c r="P39" i="41" s="1"/>
  <c r="K40" i="64" a="1"/>
  <c r="K40" i="64" s="1"/>
  <c r="P40" i="41" s="1"/>
  <c r="E41" i="64" a="1"/>
  <c r="E41" i="64" s="1"/>
  <c r="G41" i="41" s="1"/>
  <c r="I41" i="64" a="1"/>
  <c r="I41" i="64" s="1"/>
  <c r="O41" i="41" s="1"/>
  <c r="M41" i="64" a="1"/>
  <c r="M41" i="64" s="1"/>
  <c r="W41" i="41" s="1"/>
  <c r="I42" i="64" a="1"/>
  <c r="I42" i="64" s="1"/>
  <c r="O42" i="41" s="1"/>
  <c r="M42" i="64" a="1"/>
  <c r="M42" i="64" s="1"/>
  <c r="W42" i="41" s="1"/>
  <c r="G43" i="64" a="1"/>
  <c r="G43" i="64" s="1"/>
  <c r="H43" i="41" s="1"/>
  <c r="J43" i="64" a="1"/>
  <c r="J43" i="64" s="1"/>
  <c r="AO43" i="41" s="1"/>
  <c r="O43" i="64" a="1"/>
  <c r="O43" i="64" s="1"/>
  <c r="X43" i="41" s="1"/>
  <c r="G44" i="64" a="1"/>
  <c r="G44" i="64" s="1"/>
  <c r="H44" i="41" s="1"/>
  <c r="L44" i="64" a="1"/>
  <c r="L44" i="64" s="1"/>
  <c r="AU44" i="41" s="1"/>
  <c r="O44" i="64" a="1"/>
  <c r="O44" i="64" s="1"/>
  <c r="X44" i="41" s="1"/>
  <c r="I45" i="64" a="1"/>
  <c r="I45" i="64" s="1"/>
  <c r="O45" i="41" s="1"/>
  <c r="L45" i="64" a="1"/>
  <c r="L45" i="64" s="1"/>
  <c r="AU45" i="41" s="1"/>
  <c r="F46" i="64" a="1"/>
  <c r="F46" i="64" s="1"/>
  <c r="AH46" i="41" s="1"/>
  <c r="I46" i="64" a="1"/>
  <c r="I46" i="64" s="1"/>
  <c r="O46" i="41" s="1"/>
  <c r="N46" i="64" a="1"/>
  <c r="N46" i="64" s="1"/>
  <c r="AV46" i="41" s="1"/>
  <c r="F47" i="64" a="1"/>
  <c r="F47" i="64" s="1"/>
  <c r="AH47" i="41" s="1"/>
  <c r="K47" i="64" a="1"/>
  <c r="K47" i="64" s="1"/>
  <c r="P47" i="41" s="1"/>
  <c r="N47" i="64" a="1"/>
  <c r="N47" i="64" s="1"/>
  <c r="AV47" i="41" s="1"/>
  <c r="H48" i="64" a="1"/>
  <c r="H48" i="64" s="1"/>
  <c r="AN48" i="41" s="1"/>
  <c r="K48" i="64" a="1"/>
  <c r="K48" i="64" s="1"/>
  <c r="P48" i="41" s="1"/>
  <c r="E49" i="64" a="1"/>
  <c r="E49" i="64" s="1"/>
  <c r="G49" i="41" s="1"/>
  <c r="H49" i="64" a="1"/>
  <c r="H49" i="64" s="1"/>
  <c r="AN49" i="41" s="1"/>
  <c r="M49" i="64" a="1"/>
  <c r="M49" i="64" s="1"/>
  <c r="W49" i="41" s="1"/>
  <c r="E50" i="64" a="1"/>
  <c r="E50" i="64" s="1"/>
  <c r="G50" i="41" s="1"/>
  <c r="J50" i="64" a="1"/>
  <c r="J50" i="64" s="1"/>
  <c r="AO50" i="41" s="1"/>
  <c r="M50" i="64" a="1"/>
  <c r="M50" i="64" s="1"/>
  <c r="W50" i="41" s="1"/>
  <c r="G51" i="64" a="1"/>
  <c r="G51" i="64" s="1"/>
  <c r="H51" i="41" s="1"/>
  <c r="J51" i="64" a="1"/>
  <c r="J51" i="64" s="1"/>
  <c r="AO51" i="41" s="1"/>
  <c r="O51" i="64" a="1"/>
  <c r="O51" i="64" s="1"/>
  <c r="X51" i="41" s="1"/>
  <c r="K8" i="64" a="1"/>
  <c r="K8" i="64" s="1"/>
  <c r="P8" i="41" s="1"/>
  <c r="I24" i="64" a="1"/>
  <c r="I24" i="64" s="1"/>
  <c r="O24" i="41" s="1"/>
  <c r="J26" i="64" a="1"/>
  <c r="J26" i="64" s="1"/>
  <c r="AO26" i="41" s="1"/>
  <c r="H32" i="64" a="1"/>
  <c r="H32" i="64" s="1"/>
  <c r="AN32" i="41" s="1"/>
  <c r="I34" i="64" a="1"/>
  <c r="I34" i="64" s="1"/>
  <c r="O34" i="41" s="1"/>
  <c r="N35" i="64" a="1"/>
  <c r="N35" i="64" s="1"/>
  <c r="AV35" i="41" s="1"/>
  <c r="M37" i="64" a="1"/>
  <c r="M37" i="64" s="1"/>
  <c r="W37" i="41" s="1"/>
  <c r="G39" i="64" a="1"/>
  <c r="G39" i="64" s="1"/>
  <c r="H39" i="41" s="1"/>
  <c r="G40" i="64" a="1"/>
  <c r="G40" i="64" s="1"/>
  <c r="H40" i="41" s="1"/>
  <c r="N41" i="64" a="1"/>
  <c r="N41" i="64" s="1"/>
  <c r="AV41" i="41" s="1"/>
  <c r="J42" i="64" a="1"/>
  <c r="J42" i="64" s="1"/>
  <c r="AO42" i="41" s="1"/>
  <c r="H43" i="64" a="1"/>
  <c r="H43" i="64" s="1"/>
  <c r="AN43" i="41" s="1"/>
  <c r="E44" i="64" a="1"/>
  <c r="E44" i="64" s="1"/>
  <c r="G44" i="41" s="1"/>
  <c r="J44" i="64" a="1"/>
  <c r="J44" i="64" s="1"/>
  <c r="AO44" i="41" s="1"/>
  <c r="J45" i="64" a="1"/>
  <c r="J45" i="64" s="1"/>
  <c r="AO45" i="41" s="1"/>
  <c r="O45" i="64" a="1"/>
  <c r="O45" i="64" s="1"/>
  <c r="X45" i="41" s="1"/>
  <c r="O46" i="64" a="1"/>
  <c r="O46" i="64" s="1"/>
  <c r="X46" i="41" s="1"/>
  <c r="I47" i="64" a="1"/>
  <c r="I47" i="64" s="1"/>
  <c r="O47" i="41" s="1"/>
  <c r="I48" i="64" a="1"/>
  <c r="I48" i="64" s="1"/>
  <c r="O48" i="41" s="1"/>
  <c r="N48" i="64" a="1"/>
  <c r="N48" i="64" s="1"/>
  <c r="AV48" i="41" s="1"/>
  <c r="N49" i="64" a="1"/>
  <c r="N49" i="64" s="1"/>
  <c r="AV49" i="41" s="1"/>
  <c r="H50" i="64" a="1"/>
  <c r="H50" i="64" s="1"/>
  <c r="AN50" i="41" s="1"/>
  <c r="H51" i="64" a="1"/>
  <c r="H51" i="64" s="1"/>
  <c r="AN51" i="41" s="1"/>
  <c r="M51" i="64" a="1"/>
  <c r="M51" i="64" s="1"/>
  <c r="W51" i="41" s="1"/>
  <c r="D10" i="64" a="1"/>
  <c r="D10" i="64" s="1"/>
  <c r="AG10" i="41" s="1"/>
  <c r="D16" i="64" a="1"/>
  <c r="D16" i="64" s="1"/>
  <c r="AG16" i="41" s="1"/>
  <c r="D20" i="64" a="1"/>
  <c r="D20" i="64" s="1"/>
  <c r="AG20" i="41" s="1"/>
  <c r="J7" i="64" a="1"/>
  <c r="J7" i="64" s="1"/>
  <c r="AO7" i="41" s="1"/>
  <c r="M9" i="64" a="1"/>
  <c r="M9" i="64" s="1"/>
  <c r="W9" i="41" s="1"/>
  <c r="O11" i="64" a="1"/>
  <c r="O11" i="64" s="1"/>
  <c r="X11" i="41" s="1"/>
  <c r="E13" i="64" a="1"/>
  <c r="E13" i="64" s="1"/>
  <c r="G13" i="41" s="1"/>
  <c r="I15" i="64" a="1"/>
  <c r="I15" i="64" s="1"/>
  <c r="O15" i="41" s="1"/>
  <c r="K16" i="64" a="1"/>
  <c r="K16" i="64" s="1"/>
  <c r="P16" i="41" s="1"/>
  <c r="M17" i="64" a="1"/>
  <c r="M17" i="64" s="1"/>
  <c r="W17" i="41" s="1"/>
  <c r="N18" i="64" a="1"/>
  <c r="N18" i="64" s="1"/>
  <c r="AV18" i="41" s="1"/>
  <c r="G21" i="64" a="1"/>
  <c r="G21" i="64" s="1"/>
  <c r="H21" i="41" s="1"/>
  <c r="I22" i="64" a="1"/>
  <c r="I22" i="64" s="1"/>
  <c r="O22" i="41" s="1"/>
  <c r="I25" i="64" a="1"/>
  <c r="I25" i="64" s="1"/>
  <c r="O25" i="41" s="1"/>
  <c r="K28" i="64" a="1"/>
  <c r="K28" i="64" s="1"/>
  <c r="P28" i="41" s="1"/>
  <c r="N34" i="64" a="1"/>
  <c r="N34" i="64" s="1"/>
  <c r="AV34" i="41" s="1"/>
  <c r="H36" i="64" a="1"/>
  <c r="H36" i="64" s="1"/>
  <c r="AN36" i="41" s="1"/>
  <c r="H37" i="64" a="1"/>
  <c r="H37" i="64" s="1"/>
  <c r="AN37" i="41" s="1"/>
  <c r="M38" i="64" a="1"/>
  <c r="M38" i="64" s="1"/>
  <c r="W38" i="41" s="1"/>
  <c r="L40" i="64" a="1"/>
  <c r="L40" i="64" s="1"/>
  <c r="AU40" i="41" s="1"/>
  <c r="F42" i="64" a="1"/>
  <c r="F42" i="64" s="1"/>
  <c r="AH42" i="41" s="1"/>
  <c r="E43" i="64" a="1"/>
  <c r="E43" i="64" s="1"/>
  <c r="G43" i="41" s="1"/>
  <c r="M43" i="64" a="1"/>
  <c r="M43" i="64" s="1"/>
  <c r="W43" i="41" s="1"/>
  <c r="M44" i="64" a="1"/>
  <c r="M44" i="64" s="1"/>
  <c r="W44" i="41" s="1"/>
  <c r="G45" i="64" a="1"/>
  <c r="G45" i="64" s="1"/>
  <c r="H45" i="41" s="1"/>
  <c r="G46" i="64" a="1"/>
  <c r="G46" i="64" s="1"/>
  <c r="H46" i="41" s="1"/>
  <c r="L46" i="64" a="1"/>
  <c r="L46" i="64" s="1"/>
  <c r="AU46" i="41" s="1"/>
  <c r="L47" i="64" a="1"/>
  <c r="L47" i="64" s="1"/>
  <c r="AU47" i="41" s="1"/>
  <c r="F48" i="64" a="1"/>
  <c r="F48" i="64" s="1"/>
  <c r="AH48" i="41" s="1"/>
  <c r="F49" i="64" a="1"/>
  <c r="F49" i="64" s="1"/>
  <c r="AH49" i="41" s="1"/>
  <c r="K49" i="64" a="1"/>
  <c r="K49" i="64" s="1"/>
  <c r="P49" i="41" s="1"/>
  <c r="K50" i="64" a="1"/>
  <c r="K50" i="64" s="1"/>
  <c r="P50" i="41" s="1"/>
  <c r="E51" i="64" a="1"/>
  <c r="E51" i="64" s="1"/>
  <c r="G51" i="41" s="1"/>
  <c r="D8" i="64" a="1"/>
  <c r="D8" i="64" s="1"/>
  <c r="AG8" i="41" s="1"/>
  <c r="D12" i="64" a="1"/>
  <c r="D12" i="64" s="1"/>
  <c r="AG12" i="41" s="1"/>
  <c r="D14" i="64" a="1"/>
  <c r="D14" i="64" s="1"/>
  <c r="AG14" i="41" s="1"/>
  <c r="D18" i="64" a="1"/>
  <c r="D18" i="64" s="1"/>
  <c r="AG18" i="41" s="1"/>
  <c r="M7" i="64" a="1"/>
  <c r="M7" i="64" s="1"/>
  <c r="W7" i="41" s="1"/>
  <c r="E10" i="64" a="1"/>
  <c r="E10" i="64" s="1"/>
  <c r="G10" i="41" s="1"/>
  <c r="E11" i="64" a="1"/>
  <c r="E11" i="64" s="1"/>
  <c r="G11" i="41" s="1"/>
  <c r="G12" i="64" a="1"/>
  <c r="G12" i="64" s="1"/>
  <c r="H12" i="41" s="1"/>
  <c r="I13" i="64" a="1"/>
  <c r="I13" i="64" s="1"/>
  <c r="O13" i="41" s="1"/>
  <c r="J14" i="64" a="1"/>
  <c r="J14" i="64" s="1"/>
  <c r="AO14" i="41" s="1"/>
  <c r="N16" i="64" a="1"/>
  <c r="N16" i="64" s="1"/>
  <c r="AV16" i="41" s="1"/>
  <c r="E18" i="64" a="1"/>
  <c r="E18" i="64" s="1"/>
  <c r="G18" i="41" s="1"/>
  <c r="G19" i="64" a="1"/>
  <c r="G19" i="64" s="1"/>
  <c r="H19" i="41" s="1"/>
  <c r="H20" i="64" a="1"/>
  <c r="H20" i="64" s="1"/>
  <c r="AN20" i="41" s="1"/>
  <c r="K23" i="64" a="1"/>
  <c r="K23" i="64" s="1"/>
  <c r="P23" i="41" s="1"/>
  <c r="L25" i="64" a="1"/>
  <c r="L25" i="64" s="1"/>
  <c r="AU25" i="41" s="1"/>
  <c r="M26" i="64" a="1"/>
  <c r="M26" i="64" s="1"/>
  <c r="W26" i="41" s="1"/>
  <c r="M27" i="64" a="1"/>
  <c r="M27" i="64" s="1"/>
  <c r="W27" i="41" s="1"/>
  <c r="N28" i="64" a="1"/>
  <c r="N28" i="64" s="1"/>
  <c r="AV28" i="41" s="1"/>
  <c r="O29" i="64" a="1"/>
  <c r="O29" i="64" s="1"/>
  <c r="X29" i="41" s="1"/>
  <c r="M30" i="64" a="1"/>
  <c r="M30" i="64" s="1"/>
  <c r="W30" i="41" s="1"/>
  <c r="H31" i="64" a="1"/>
  <c r="H31" i="64" s="1"/>
  <c r="AN31" i="41" s="1"/>
  <c r="N31" i="64" a="1"/>
  <c r="N31" i="64" s="1"/>
  <c r="AV31" i="41" s="1"/>
  <c r="O32" i="64" a="1"/>
  <c r="O32" i="64" s="1"/>
  <c r="X32" i="41" s="1"/>
  <c r="J33" i="64" a="1"/>
  <c r="J33" i="64" s="1"/>
  <c r="AO33" i="41" s="1"/>
  <c r="E34" i="64" a="1"/>
  <c r="E34" i="64" s="1"/>
  <c r="G34" i="41" s="1"/>
  <c r="J34" i="64" a="1"/>
  <c r="J34" i="64" s="1"/>
  <c r="AO34" i="41" s="1"/>
  <c r="J35" i="64" a="1"/>
  <c r="J35" i="64" s="1"/>
  <c r="AO35" i="41" s="1"/>
  <c r="O35" i="64" a="1"/>
  <c r="O35" i="64" s="1"/>
  <c r="X35" i="41" s="1"/>
  <c r="O36" i="64" a="1"/>
  <c r="O36" i="64" s="1"/>
  <c r="X36" i="41" s="1"/>
  <c r="I37" i="64" a="1"/>
  <c r="I37" i="64" s="1"/>
  <c r="O37" i="41" s="1"/>
  <c r="I38" i="64" a="1"/>
  <c r="I38" i="64" s="1"/>
  <c r="O38" i="41" s="1"/>
  <c r="N38" i="64" a="1"/>
  <c r="N38" i="64" s="1"/>
  <c r="AV38" i="41" s="1"/>
  <c r="N39" i="64" a="1"/>
  <c r="N39" i="64" s="1"/>
  <c r="AV39" i="41" s="1"/>
  <c r="H40" i="64" a="1"/>
  <c r="H40" i="64" s="1"/>
  <c r="AN40" i="41" s="1"/>
  <c r="H41" i="64" a="1"/>
  <c r="H41" i="64" s="1"/>
  <c r="AN41" i="41" s="1"/>
  <c r="K41" i="64" a="1"/>
  <c r="K41" i="64" s="1"/>
  <c r="P41" i="41" s="1"/>
  <c r="K42" i="64" a="1"/>
  <c r="K42" i="64" s="1"/>
  <c r="P42" i="41" s="1"/>
  <c r="N42" i="64" a="1"/>
  <c r="N42" i="64" s="1"/>
  <c r="AV42" i="41" s="1"/>
  <c r="F43" i="64" a="1"/>
  <c r="F43" i="64" s="1"/>
  <c r="AH43" i="41" s="1"/>
  <c r="K43" i="64" a="1"/>
  <c r="K43" i="64" s="1"/>
  <c r="P43" i="41" s="1"/>
  <c r="N43" i="64" a="1"/>
  <c r="N43" i="64" s="1"/>
  <c r="AV43" i="41" s="1"/>
  <c r="H44" i="64" a="1"/>
  <c r="H44" i="64" s="1"/>
  <c r="AN44" i="41" s="1"/>
  <c r="K44" i="64" a="1"/>
  <c r="K44" i="64" s="1"/>
  <c r="P44" i="41" s="1"/>
  <c r="E45" i="64" a="1"/>
  <c r="E45" i="64" s="1"/>
  <c r="G45" i="41" s="1"/>
  <c r="H45" i="64" a="1"/>
  <c r="H45" i="64" s="1"/>
  <c r="AN45" i="41" s="1"/>
  <c r="M45" i="64" a="1"/>
  <c r="M45" i="64" s="1"/>
  <c r="W45" i="41" s="1"/>
  <c r="E46" i="64" a="1"/>
  <c r="E46" i="64" s="1"/>
  <c r="G46" i="41" s="1"/>
  <c r="J46" i="64" a="1"/>
  <c r="J46" i="64" s="1"/>
  <c r="AO46" i="41" s="1"/>
  <c r="M46" i="64" a="1"/>
  <c r="M46" i="64" s="1"/>
  <c r="W46" i="41" s="1"/>
  <c r="G47" i="64" a="1"/>
  <c r="G47" i="64" s="1"/>
  <c r="H47" i="41" s="1"/>
  <c r="J47" i="64" a="1"/>
  <c r="J47" i="64" s="1"/>
  <c r="AO47" i="41" s="1"/>
  <c r="O47" i="64" a="1"/>
  <c r="O47" i="64" s="1"/>
  <c r="X47" i="41" s="1"/>
  <c r="G48" i="64" a="1"/>
  <c r="G48" i="64" s="1"/>
  <c r="H48" i="41" s="1"/>
  <c r="L48" i="64" a="1"/>
  <c r="L48" i="64" s="1"/>
  <c r="AU48" i="41" s="1"/>
  <c r="O48" i="64" a="1"/>
  <c r="O48" i="64" s="1"/>
  <c r="X48" i="41" s="1"/>
  <c r="I49" i="64" a="1"/>
  <c r="I49" i="64" s="1"/>
  <c r="O49" i="41" s="1"/>
  <c r="L49" i="64" a="1"/>
  <c r="L49" i="64" s="1"/>
  <c r="AU49" i="41" s="1"/>
  <c r="F50" i="64" a="1"/>
  <c r="F50" i="64" s="1"/>
  <c r="AH50" i="41" s="1"/>
  <c r="I50" i="64" a="1"/>
  <c r="I50" i="64" s="1"/>
  <c r="O50" i="41" s="1"/>
  <c r="N50" i="64" a="1"/>
  <c r="N50" i="64" s="1"/>
  <c r="AV50" i="41" s="1"/>
  <c r="F51" i="64" a="1"/>
  <c r="F51" i="64" s="1"/>
  <c r="AH51" i="41" s="1"/>
  <c r="K51" i="64" a="1"/>
  <c r="K51" i="64" s="1"/>
  <c r="P51" i="41" s="1"/>
  <c r="N51" i="64" a="1"/>
  <c r="N51" i="64" s="1"/>
  <c r="AV51" i="41" s="1"/>
  <c r="E8" i="64" a="1"/>
  <c r="E8" i="64" s="1"/>
  <c r="G8" i="41" s="1"/>
  <c r="F9" i="64" a="1"/>
  <c r="F9" i="64" s="1"/>
  <c r="AH9" i="41" s="1"/>
  <c r="I11" i="64" a="1"/>
  <c r="I11" i="64" s="1"/>
  <c r="O11" i="41" s="1"/>
  <c r="J12" i="64" a="1"/>
  <c r="J12" i="64" s="1"/>
  <c r="AO12" i="41" s="1"/>
  <c r="L13" i="64" a="1"/>
  <c r="L13" i="64" s="1"/>
  <c r="AU13" i="41" s="1"/>
  <c r="N14" i="64" a="1"/>
  <c r="N14" i="64" s="1"/>
  <c r="AV14" i="41" s="1"/>
  <c r="O15" i="64" a="1"/>
  <c r="O15" i="64" s="1"/>
  <c r="X15" i="41" s="1"/>
  <c r="H18" i="64" a="1"/>
  <c r="H18" i="64" s="1"/>
  <c r="AN18" i="41" s="1"/>
  <c r="J19" i="64" a="1"/>
  <c r="J19" i="64" s="1"/>
  <c r="AO19" i="41" s="1"/>
  <c r="L20" i="64" a="1"/>
  <c r="L20" i="64" s="1"/>
  <c r="AU20" i="41" s="1"/>
  <c r="M21" i="64" a="1"/>
  <c r="M21" i="64" s="1"/>
  <c r="W21" i="41" s="1"/>
  <c r="N22" i="64" a="1"/>
  <c r="N22" i="64" s="1"/>
  <c r="AV22" i="41" s="1"/>
  <c r="N23" i="64" a="1"/>
  <c r="N23" i="64" s="1"/>
  <c r="AV23" i="41" s="1"/>
  <c r="N24" i="64" a="1"/>
  <c r="N24" i="64" s="1"/>
  <c r="AV24" i="41" s="1"/>
  <c r="O25" i="64" a="1"/>
  <c r="O25" i="64" s="1"/>
  <c r="X25" i="41" s="1"/>
  <c r="F29" i="64" a="1"/>
  <c r="F29" i="64" s="1"/>
  <c r="AH29" i="41" s="1"/>
  <c r="O30" i="64" a="1"/>
  <c r="O30" i="64" s="1"/>
  <c r="X30" i="41" s="1"/>
  <c r="I31" i="64" a="1"/>
  <c r="I31" i="64" s="1"/>
  <c r="O31" i="41" s="1"/>
  <c r="O31" i="64" a="1"/>
  <c r="O31" i="64" s="1"/>
  <c r="X31" i="41" s="1"/>
  <c r="K32" i="64" a="1"/>
  <c r="K32" i="64" s="1"/>
  <c r="P32" i="41" s="1"/>
  <c r="F33" i="64" a="1"/>
  <c r="F33" i="64" s="1"/>
  <c r="AH33" i="41" s="1"/>
  <c r="K33" i="64" a="1"/>
  <c r="K33" i="64" s="1"/>
  <c r="P33" i="41" s="1"/>
  <c r="F34" i="64" a="1"/>
  <c r="F34" i="64" s="1"/>
  <c r="AH34" i="41" s="1"/>
  <c r="F35" i="64" a="1"/>
  <c r="F35" i="64" s="1"/>
  <c r="AH35" i="41" s="1"/>
  <c r="K35" i="64" a="1"/>
  <c r="K35" i="64" s="1"/>
  <c r="P35" i="41" s="1"/>
  <c r="K36" i="64" a="1"/>
  <c r="K36" i="64" s="1"/>
  <c r="P36" i="41" s="1"/>
  <c r="E37" i="64" a="1"/>
  <c r="E37" i="64" s="1"/>
  <c r="G37" i="41" s="1"/>
  <c r="E38" i="64" a="1"/>
  <c r="E38" i="64" s="1"/>
  <c r="G38" i="41" s="1"/>
  <c r="J38" i="64" a="1"/>
  <c r="J38" i="64" s="1"/>
  <c r="AO38" i="41" s="1"/>
  <c r="J39" i="64" a="1"/>
  <c r="J39" i="64" s="1"/>
  <c r="AO39" i="41" s="1"/>
  <c r="O39" i="64" a="1"/>
  <c r="O39" i="64" s="1"/>
  <c r="X39" i="41" s="1"/>
  <c r="O40" i="64" a="1"/>
  <c r="O40" i="64" s="1"/>
  <c r="X40" i="41" s="1"/>
  <c r="L41" i="64" a="1"/>
  <c r="L41" i="64" s="1"/>
  <c r="AU41" i="41" s="1"/>
  <c r="E42" i="64" a="1"/>
  <c r="E42" i="64" s="1"/>
  <c r="G42" i="41" s="1"/>
  <c r="H42" i="64" a="1"/>
  <c r="H42" i="64" s="1"/>
  <c r="AN42" i="41" s="1"/>
  <c r="O42" i="64" a="1"/>
  <c r="O42" i="64" s="1"/>
  <c r="X42" i="41" s="1"/>
  <c r="I43" i="64" a="1"/>
  <c r="I43" i="64" s="1"/>
  <c r="O43" i="41" s="1"/>
  <c r="L43" i="64" a="1"/>
  <c r="L43" i="64" s="1"/>
  <c r="AU43" i="41" s="1"/>
  <c r="F44" i="64" a="1"/>
  <c r="F44" i="64" s="1"/>
  <c r="AH44" i="41" s="1"/>
  <c r="I44" i="64" a="1"/>
  <c r="I44" i="64" s="1"/>
  <c r="O44" i="41" s="1"/>
  <c r="N44" i="64" a="1"/>
  <c r="N44" i="64" s="1"/>
  <c r="AV44" i="41" s="1"/>
  <c r="F45" i="64" a="1"/>
  <c r="F45" i="64" s="1"/>
  <c r="AH45" i="41" s="1"/>
  <c r="K45" i="64" a="1"/>
  <c r="K45" i="64" s="1"/>
  <c r="P45" i="41" s="1"/>
  <c r="N45" i="64" a="1"/>
  <c r="N45" i="64" s="1"/>
  <c r="AV45" i="41" s="1"/>
  <c r="D50" i="64" a="1"/>
  <c r="D50" i="64" s="1"/>
  <c r="AG50" i="41" s="1"/>
  <c r="D46" i="64" a="1"/>
  <c r="D46" i="64" s="1"/>
  <c r="AG46" i="41" s="1"/>
  <c r="D42" i="64" a="1"/>
  <c r="D42" i="64" s="1"/>
  <c r="AG42" i="41" s="1"/>
  <c r="D38" i="64" a="1"/>
  <c r="D38" i="64" s="1"/>
  <c r="AG38" i="41" s="1"/>
  <c r="D34" i="64" a="1"/>
  <c r="D34" i="64" s="1"/>
  <c r="AG34" i="41" s="1"/>
  <c r="D30" i="64" a="1"/>
  <c r="D30" i="64" s="1"/>
  <c r="AG30" i="41" s="1"/>
  <c r="D26" i="64" a="1"/>
  <c r="D26" i="64" s="1"/>
  <c r="AG26" i="41" s="1"/>
  <c r="D22" i="64" a="1"/>
  <c r="D22" i="64" s="1"/>
  <c r="AG22" i="41" s="1"/>
  <c r="D15" i="64" a="1"/>
  <c r="D15" i="64" s="1"/>
  <c r="AG15" i="41" s="1"/>
  <c r="O50" i="64" a="1"/>
  <c r="O50" i="64" s="1"/>
  <c r="X50" i="41" s="1"/>
  <c r="O49" i="64" a="1"/>
  <c r="O49" i="64" s="1"/>
  <c r="X49" i="41" s="1"/>
  <c r="E48" i="64" a="1"/>
  <c r="E48" i="64" s="1"/>
  <c r="G48" i="41" s="1"/>
  <c r="E47" i="64" a="1"/>
  <c r="E47" i="64" s="1"/>
  <c r="G47" i="41" s="1"/>
  <c r="D49" i="64" a="1"/>
  <c r="D49" i="64" s="1"/>
  <c r="AG49" i="41" s="1"/>
  <c r="D45" i="64" a="1"/>
  <c r="D45" i="64" s="1"/>
  <c r="AG45" i="41" s="1"/>
  <c r="D41" i="64" a="1"/>
  <c r="D41" i="64" s="1"/>
  <c r="AG41" i="41" s="1"/>
  <c r="D37" i="64" a="1"/>
  <c r="D37" i="64" s="1"/>
  <c r="AG37" i="41" s="1"/>
  <c r="D33" i="64" a="1"/>
  <c r="D33" i="64" s="1"/>
  <c r="AG33" i="41" s="1"/>
  <c r="D29" i="64" a="1"/>
  <c r="D29" i="64" s="1"/>
  <c r="AG29" i="41" s="1"/>
  <c r="D25" i="64" a="1"/>
  <c r="D25" i="64" s="1"/>
  <c r="AG25" i="41" s="1"/>
  <c r="D21" i="64" a="1"/>
  <c r="D21" i="64" s="1"/>
  <c r="AG21" i="41" s="1"/>
  <c r="D13" i="64" a="1"/>
  <c r="D13" i="64" s="1"/>
  <c r="AG13" i="41" s="1"/>
  <c r="L51" i="64" a="1"/>
  <c r="L51" i="64" s="1"/>
  <c r="AU51" i="41" s="1"/>
  <c r="L50" i="64" a="1"/>
  <c r="L50" i="64" s="1"/>
  <c r="AU50" i="41" s="1"/>
  <c r="M48" i="64" a="1"/>
  <c r="M48" i="64" s="1"/>
  <c r="W48" i="41" s="1"/>
  <c r="M47" i="64" a="1"/>
  <c r="M47" i="64" s="1"/>
  <c r="W47" i="41" s="1"/>
  <c r="D7" i="64" a="1"/>
  <c r="D7" i="64" s="1"/>
  <c r="AG7" i="41" s="1"/>
  <c r="D44" i="64" a="1"/>
  <c r="D44" i="64" s="1"/>
  <c r="AG44" i="41" s="1"/>
  <c r="D36" i="64" a="1"/>
  <c r="D36" i="64" s="1"/>
  <c r="AG36" i="41" s="1"/>
  <c r="D19" i="64" a="1"/>
  <c r="D19" i="64" s="1"/>
  <c r="AG19" i="41" s="1"/>
  <c r="D48" i="64" a="1"/>
  <c r="D48" i="64" s="1"/>
  <c r="AG48" i="41" s="1"/>
  <c r="D40" i="64" a="1"/>
  <c r="D40" i="64" s="1"/>
  <c r="AG40" i="41" s="1"/>
  <c r="D32" i="64" a="1"/>
  <c r="D32" i="64" s="1"/>
  <c r="AG32" i="41" s="1"/>
  <c r="D28" i="64" a="1"/>
  <c r="D28" i="64" s="1"/>
  <c r="AG28" i="41" s="1"/>
  <c r="D24" i="64" a="1"/>
  <c r="D24" i="64" s="1"/>
  <c r="AG24" i="41" s="1"/>
  <c r="D11" i="64" a="1"/>
  <c r="D11" i="64" s="1"/>
  <c r="AG11" i="41" s="1"/>
  <c r="I51" i="64" a="1"/>
  <c r="I51" i="64" s="1"/>
  <c r="O51" i="41" s="1"/>
  <c r="J49" i="64" a="1"/>
  <c r="J49" i="64" s="1"/>
  <c r="AO49" i="41" s="1"/>
  <c r="J48" i="64" a="1"/>
  <c r="J48" i="64" s="1"/>
  <c r="AO48" i="41" s="1"/>
  <c r="K46" i="64" a="1"/>
  <c r="K46" i="64" s="1"/>
  <c r="P46" i="41" s="1"/>
  <c r="D51" i="64" a="1"/>
  <c r="D51" i="64" s="1"/>
  <c r="AG51" i="41" s="1"/>
  <c r="D47" i="64" a="1"/>
  <c r="D47" i="64" s="1"/>
  <c r="AG47" i="41" s="1"/>
  <c r="D43" i="64" a="1"/>
  <c r="D43" i="64" s="1"/>
  <c r="AG43" i="41" s="1"/>
  <c r="D39" i="64" a="1"/>
  <c r="D39" i="64" s="1"/>
  <c r="AG39" i="41" s="1"/>
  <c r="D35" i="64" a="1"/>
  <c r="D35" i="64" s="1"/>
  <c r="AG35" i="41" s="1"/>
  <c r="D31" i="64" a="1"/>
  <c r="D31" i="64" s="1"/>
  <c r="AG31" i="41" s="1"/>
  <c r="D27" i="64" a="1"/>
  <c r="D27" i="64" s="1"/>
  <c r="AG27" i="41" s="1"/>
  <c r="D23" i="64" a="1"/>
  <c r="D23" i="64" s="1"/>
  <c r="AG23" i="41" s="1"/>
  <c r="D17" i="64" a="1"/>
  <c r="D17" i="64" s="1"/>
  <c r="AG17" i="41" s="1"/>
  <c r="D9" i="64" a="1"/>
  <c r="D9" i="64" s="1"/>
  <c r="AG9" i="41" s="1"/>
  <c r="G50" i="64" a="1"/>
  <c r="G50" i="64" s="1"/>
  <c r="H50" i="41" s="1"/>
  <c r="G49" i="64" a="1"/>
  <c r="G49" i="64" s="1"/>
  <c r="H49" i="41" s="1"/>
  <c r="H47" i="64" a="1"/>
  <c r="H47" i="64" s="1"/>
  <c r="AN47" i="41" s="1"/>
  <c r="H46" i="64" a="1"/>
  <c r="H46" i="64" s="1"/>
  <c r="AN46" i="41" s="1"/>
  <c r="G47" i="40"/>
  <c r="I58" i="61" l="1"/>
  <c r="L58" i="61" s="1"/>
  <c r="C14" i="56"/>
  <c r="F14" i="56" s="1"/>
  <c r="H14" i="56" s="1"/>
  <c r="K14" i="56" s="1"/>
  <c r="C15" i="56"/>
  <c r="F15" i="56" s="1"/>
  <c r="H15" i="56" s="1"/>
  <c r="K15" i="56" s="1"/>
  <c r="C16" i="56"/>
  <c r="F16" i="56" s="1"/>
  <c r="H16" i="56" s="1"/>
  <c r="K16" i="56" s="1"/>
  <c r="C17" i="56"/>
  <c r="F17" i="56" s="1"/>
  <c r="C18" i="56"/>
  <c r="F18" i="56" s="1"/>
  <c r="C19" i="56"/>
  <c r="F19" i="56" s="1"/>
  <c r="C20" i="56"/>
  <c r="F20" i="56" s="1"/>
  <c r="C21" i="56"/>
  <c r="F21" i="56" s="1"/>
  <c r="C22" i="56"/>
  <c r="F22" i="56" s="1"/>
  <c r="F162" i="43"/>
  <c r="D57" i="40"/>
  <c r="D56" i="40"/>
  <c r="D55" i="40"/>
  <c r="D54" i="40"/>
  <c r="D52" i="40"/>
  <c r="D51" i="40"/>
  <c r="D50" i="40"/>
  <c r="D49" i="40"/>
  <c r="D48" i="40"/>
  <c r="D47" i="40"/>
  <c r="H17" i="56" l="1"/>
  <c r="K17" i="56" s="1"/>
  <c r="H18" i="56"/>
  <c r="K18" i="56" s="1"/>
  <c r="H19" i="56"/>
  <c r="K19" i="56" s="1"/>
  <c r="H20" i="56"/>
  <c r="K20" i="56" s="1"/>
  <c r="H21" i="56"/>
  <c r="K21" i="56" s="1"/>
  <c r="H22" i="56"/>
  <c r="K22" i="56" s="1"/>
  <c r="D12" i="56"/>
  <c r="D23" i="56" s="1"/>
  <c r="D32" i="56"/>
  <c r="D6" i="61" s="1"/>
  <c r="M23" i="40"/>
  <c r="M24" i="40"/>
  <c r="M25" i="40"/>
  <c r="M26" i="40"/>
  <c r="M27" i="40"/>
  <c r="M28" i="40"/>
  <c r="M29" i="40"/>
  <c r="M30" i="40"/>
  <c r="M31" i="40"/>
  <c r="M32" i="40"/>
  <c r="F295" i="43"/>
  <c r="B24" i="47" s="1"/>
  <c r="V32" i="40"/>
  <c r="V31" i="40"/>
  <c r="V30" i="40"/>
  <c r="V29" i="40"/>
  <c r="V28" i="40"/>
  <c r="V27" i="40"/>
  <c r="V26" i="40"/>
  <c r="V25" i="40"/>
  <c r="V24" i="40"/>
  <c r="V23" i="40"/>
  <c r="F242" i="43" l="1"/>
  <c r="F165" i="43" l="1"/>
  <c r="F241" i="43"/>
  <c r="H18" i="58" s="1"/>
  <c r="G28" i="57"/>
  <c r="F28" i="57"/>
  <c r="G19" i="57"/>
  <c r="F19" i="57"/>
  <c r="G10" i="57"/>
  <c r="F10" i="57"/>
  <c r="F60" i="43"/>
  <c r="F64" i="43"/>
  <c r="F62" i="43"/>
  <c r="F205" i="43"/>
  <c r="F206" i="43"/>
  <c r="F207" i="43"/>
  <c r="F208" i="43"/>
  <c r="F209" i="43"/>
  <c r="F210" i="43"/>
  <c r="F211" i="43"/>
  <c r="F212" i="43"/>
  <c r="F213" i="43"/>
  <c r="F214" i="43"/>
  <c r="F215" i="43"/>
  <c r="F216" i="43"/>
  <c r="F217" i="43"/>
  <c r="F218" i="43"/>
  <c r="F219" i="43"/>
  <c r="F220" i="43"/>
  <c r="F221" i="43"/>
  <c r="F222" i="43"/>
  <c r="F223" i="43"/>
  <c r="F224" i="43"/>
  <c r="F225" i="43"/>
  <c r="F226" i="43"/>
  <c r="F227" i="43"/>
  <c r="F228" i="43"/>
  <c r="F229" i="43"/>
  <c r="F230" i="43"/>
  <c r="F131" i="43"/>
  <c r="F132" i="43"/>
  <c r="F133" i="43"/>
  <c r="A4" i="56" s="1"/>
  <c r="F134" i="43"/>
  <c r="C4" i="56" s="1"/>
  <c r="F135" i="43"/>
  <c r="G4" i="56" s="1"/>
  <c r="F136" i="43"/>
  <c r="L4" i="56" s="1"/>
  <c r="F137" i="43"/>
  <c r="F138" i="43"/>
  <c r="F139" i="43"/>
  <c r="F140" i="43"/>
  <c r="B5" i="56" s="1"/>
  <c r="F141" i="43"/>
  <c r="F142" i="43"/>
  <c r="D5" i="56" s="1"/>
  <c r="F143" i="43"/>
  <c r="G5" i="56" s="1"/>
  <c r="F144" i="43"/>
  <c r="J5" i="56" s="1"/>
  <c r="F145" i="43"/>
  <c r="K5" i="56" s="1"/>
  <c r="F146" i="43"/>
  <c r="L5" i="56" s="1"/>
  <c r="F147" i="43"/>
  <c r="M5" i="56" s="1"/>
  <c r="F148" i="43"/>
  <c r="N5" i="56" s="1"/>
  <c r="F149" i="43"/>
  <c r="A30" i="56" s="1"/>
  <c r="F150" i="43"/>
  <c r="F151" i="43"/>
  <c r="F152" i="43"/>
  <c r="H265" i="61" s="1"/>
  <c r="F153" i="43"/>
  <c r="I265" i="61" s="1"/>
  <c r="F154" i="43"/>
  <c r="J265" i="61" s="1"/>
  <c r="F155" i="43"/>
  <c r="F156" i="43"/>
  <c r="L265" i="61" s="1"/>
  <c r="F157" i="43"/>
  <c r="F158" i="43"/>
  <c r="N265" i="61" s="1"/>
  <c r="F159" i="43"/>
  <c r="F5" i="56" s="1"/>
  <c r="F160" i="43"/>
  <c r="F161" i="43"/>
  <c r="F163" i="43"/>
  <c r="F164" i="43"/>
  <c r="F104" i="43"/>
  <c r="A43" i="40" s="1"/>
  <c r="F105" i="43"/>
  <c r="A44" i="40" s="1"/>
  <c r="F106" i="43"/>
  <c r="B44" i="40" s="1"/>
  <c r="F107" i="43"/>
  <c r="C44" i="40" s="1"/>
  <c r="F108" i="43"/>
  <c r="E44" i="40" s="1"/>
  <c r="F109" i="43"/>
  <c r="F44" i="40" s="1"/>
  <c r="F110" i="43"/>
  <c r="G44" i="40" s="1"/>
  <c r="F111" i="43"/>
  <c r="H44" i="40" s="1"/>
  <c r="F112" i="43"/>
  <c r="J44" i="40" s="1"/>
  <c r="F113" i="43"/>
  <c r="H46" i="40" s="1"/>
  <c r="F114" i="43"/>
  <c r="B68" i="40" s="1"/>
  <c r="F115" i="43"/>
  <c r="B69" i="40" s="1"/>
  <c r="F116" i="43"/>
  <c r="B70" i="40" s="1"/>
  <c r="F117" i="43"/>
  <c r="B71" i="40" s="1"/>
  <c r="F118" i="43"/>
  <c r="B72" i="40" s="1"/>
  <c r="F119" i="43"/>
  <c r="B73" i="40" s="1"/>
  <c r="F120" i="43"/>
  <c r="B74" i="40" s="1"/>
  <c r="F121" i="43"/>
  <c r="B75" i="40" s="1"/>
  <c r="F122" i="43"/>
  <c r="B76" i="40" s="1"/>
  <c r="F123" i="43"/>
  <c r="B78" i="40" s="1"/>
  <c r="F124" i="43"/>
  <c r="B79" i="40" s="1"/>
  <c r="F125" i="43"/>
  <c r="B80" i="40" s="1"/>
  <c r="F126" i="43"/>
  <c r="B81" i="40" s="1"/>
  <c r="F127" i="43"/>
  <c r="B82" i="40" s="1"/>
  <c r="F128" i="43"/>
  <c r="B83" i="40" s="1"/>
  <c r="F129" i="43"/>
  <c r="B84" i="40" s="1"/>
  <c r="F130" i="43"/>
  <c r="B85" i="40" s="1"/>
  <c r="B38" i="58" l="1"/>
  <c r="M265" i="61"/>
  <c r="B37" i="58"/>
  <c r="K265" i="61"/>
  <c r="H4" i="58"/>
  <c r="B42" i="58"/>
  <c r="B54" i="58"/>
  <c r="B66" i="58" s="1"/>
  <c r="Q4" i="56"/>
  <c r="B32" i="58"/>
  <c r="S4" i="56"/>
  <c r="B34" i="58"/>
  <c r="E47" i="40"/>
  <c r="E1" i="57"/>
  <c r="D1" i="40"/>
  <c r="E1" i="56"/>
  <c r="E1" i="58"/>
  <c r="K1" i="58"/>
  <c r="J1" i="40"/>
  <c r="L1" i="56"/>
  <c r="K1" i="57"/>
  <c r="I23" i="56"/>
  <c r="Q23" i="56"/>
  <c r="R23" i="56"/>
  <c r="S23" i="56"/>
  <c r="T23" i="56"/>
  <c r="AF121" i="61"/>
  <c r="AC121" i="61"/>
  <c r="Z121" i="61"/>
  <c r="AE121" i="61"/>
  <c r="AZ121" i="61" l="1"/>
  <c r="A6" i="61"/>
  <c r="P32" i="56"/>
  <c r="O32" i="56"/>
  <c r="N32" i="56"/>
  <c r="M6" i="61" s="1"/>
  <c r="C88" i="61" s="1"/>
  <c r="M32" i="56"/>
  <c r="L6" i="61" s="1"/>
  <c r="C90" i="61" s="1"/>
  <c r="L32" i="56"/>
  <c r="J32" i="56"/>
  <c r="I6" i="61" s="1"/>
  <c r="I8" i="61" s="1"/>
  <c r="G32" i="56"/>
  <c r="F6" i="61" s="1"/>
  <c r="E32" i="56"/>
  <c r="E6" i="61" s="1"/>
  <c r="B32" i="56"/>
  <c r="B6" i="61" s="1"/>
  <c r="H21" i="62"/>
  <c r="E22" i="61"/>
  <c r="E43" i="62"/>
  <c r="E42" i="62"/>
  <c r="E41" i="62"/>
  <c r="E40" i="62"/>
  <c r="E39" i="62"/>
  <c r="E38" i="62"/>
  <c r="E37" i="62"/>
  <c r="E36" i="62"/>
  <c r="E35" i="62"/>
  <c r="E34" i="62"/>
  <c r="E33" i="62"/>
  <c r="E32" i="62"/>
  <c r="E31" i="62"/>
  <c r="E30" i="62"/>
  <c r="E29" i="62"/>
  <c r="E28" i="62"/>
  <c r="E27" i="62"/>
  <c r="E26" i="62"/>
  <c r="E25" i="62"/>
  <c r="E24" i="62"/>
  <c r="E23" i="62"/>
  <c r="E22" i="62"/>
  <c r="E21" i="62"/>
  <c r="E20" i="62"/>
  <c r="E19" i="62"/>
  <c r="E18" i="62"/>
  <c r="E17" i="62"/>
  <c r="E16" i="62"/>
  <c r="E15" i="62"/>
  <c r="E14" i="62"/>
  <c r="E13" i="62"/>
  <c r="E12" i="62"/>
  <c r="E11" i="62"/>
  <c r="E10" i="62"/>
  <c r="E9" i="62"/>
  <c r="E8" i="62"/>
  <c r="E7" i="62"/>
  <c r="E6" i="62"/>
  <c r="E5" i="62"/>
  <c r="E4" i="62"/>
  <c r="CS2" i="62"/>
  <c r="CQ2" i="62"/>
  <c r="CO2" i="62"/>
  <c r="CM2" i="62"/>
  <c r="CK2" i="62"/>
  <c r="CI2" i="62"/>
  <c r="CG2" i="62"/>
  <c r="CE2" i="62"/>
  <c r="CC2" i="62"/>
  <c r="CA2" i="62"/>
  <c r="BY2" i="62"/>
  <c r="BW2" i="62"/>
  <c r="BU2" i="62"/>
  <c r="BS2" i="62"/>
  <c r="BQ2" i="62"/>
  <c r="BO2" i="62"/>
  <c r="BM2" i="62"/>
  <c r="BK2" i="62"/>
  <c r="BI2" i="62"/>
  <c r="BG2" i="62"/>
  <c r="BE2" i="62"/>
  <c r="BC2" i="62"/>
  <c r="BA2" i="62"/>
  <c r="AY2" i="62"/>
  <c r="AW2" i="62"/>
  <c r="AU2" i="62"/>
  <c r="AS2" i="62"/>
  <c r="AQ2" i="62"/>
  <c r="AO2" i="62"/>
  <c r="AM2" i="62"/>
  <c r="AK2" i="62"/>
  <c r="AI2" i="62"/>
  <c r="AG2" i="62"/>
  <c r="AE2" i="62"/>
  <c r="AC2" i="62"/>
  <c r="AA2" i="62"/>
  <c r="Y2" i="62"/>
  <c r="W2" i="62"/>
  <c r="V2" i="62"/>
  <c r="U2" i="62"/>
  <c r="S2" i="62"/>
  <c r="CT1" i="62"/>
  <c r="CT2" i="62" s="1"/>
  <c r="CR1" i="62"/>
  <c r="CR2" i="62" s="1"/>
  <c r="CP1" i="62"/>
  <c r="CP2" i="62" s="1"/>
  <c r="CN1" i="62"/>
  <c r="CN2" i="62" s="1"/>
  <c r="CL1" i="62"/>
  <c r="CL2" i="62" s="1"/>
  <c r="CJ2" i="62"/>
  <c r="CH1" i="62"/>
  <c r="CH2" i="62" s="1"/>
  <c r="CF1" i="62"/>
  <c r="CF2" i="62" s="1"/>
  <c r="CD1" i="62"/>
  <c r="CD2" i="62" s="1"/>
  <c r="CB1" i="62"/>
  <c r="CB2" i="62" s="1"/>
  <c r="BZ1" i="62"/>
  <c r="BZ2" i="62" s="1"/>
  <c r="BX1" i="62"/>
  <c r="BX2" i="62" s="1"/>
  <c r="BV1" i="62"/>
  <c r="BV2" i="62" s="1"/>
  <c r="BT1" i="62"/>
  <c r="BT2" i="62" s="1"/>
  <c r="BR1" i="62"/>
  <c r="BR2" i="62" s="1"/>
  <c r="BP1" i="62"/>
  <c r="BP2" i="62" s="1"/>
  <c r="BN1" i="62"/>
  <c r="BN2" i="62" s="1"/>
  <c r="BL1" i="62"/>
  <c r="BL2" i="62" s="1"/>
  <c r="BJ1" i="62"/>
  <c r="BJ2" i="62" s="1"/>
  <c r="BH1" i="62"/>
  <c r="BH2" i="62" s="1"/>
  <c r="BF1" i="62"/>
  <c r="BF2" i="62" s="1"/>
  <c r="BD1" i="62"/>
  <c r="BD2" i="62" s="1"/>
  <c r="BB1" i="62"/>
  <c r="BB2" i="62" s="1"/>
  <c r="AZ1" i="62"/>
  <c r="AZ2" i="62" s="1"/>
  <c r="AX1" i="62"/>
  <c r="AX2" i="62" s="1"/>
  <c r="AV1" i="62"/>
  <c r="AV2" i="62" s="1"/>
  <c r="AT2" i="62"/>
  <c r="AR1" i="62"/>
  <c r="AR2" i="62" s="1"/>
  <c r="AP1" i="62"/>
  <c r="AP2" i="62" s="1"/>
  <c r="AN1" i="62"/>
  <c r="AN2" i="62" s="1"/>
  <c r="AL1" i="62"/>
  <c r="AL2" i="62" s="1"/>
  <c r="AJ1" i="62"/>
  <c r="AJ2" i="62" s="1"/>
  <c r="AH1" i="62"/>
  <c r="AH2" i="62" s="1"/>
  <c r="AF1" i="62"/>
  <c r="AF2" i="62" s="1"/>
  <c r="AD1" i="62"/>
  <c r="AD2" i="62" s="1"/>
  <c r="AB1" i="62"/>
  <c r="AB2" i="62" s="1"/>
  <c r="Z1" i="62"/>
  <c r="Z2" i="62" s="1"/>
  <c r="X1" i="62"/>
  <c r="X2" i="62" s="1"/>
  <c r="T1" i="62"/>
  <c r="T2" i="62" s="1"/>
  <c r="H327" i="61"/>
  <c r="H326" i="61"/>
  <c r="H325" i="61"/>
  <c r="H324" i="61"/>
  <c r="H323" i="61"/>
  <c r="H322" i="61"/>
  <c r="H321" i="61"/>
  <c r="H320" i="61"/>
  <c r="H319" i="61"/>
  <c r="H318" i="61"/>
  <c r="H317" i="61"/>
  <c r="H316" i="61"/>
  <c r="H315" i="61"/>
  <c r="H314" i="61"/>
  <c r="H313" i="61"/>
  <c r="H312" i="61"/>
  <c r="H311" i="61"/>
  <c r="H310" i="61"/>
  <c r="H309" i="61"/>
  <c r="H308" i="61"/>
  <c r="H307" i="61"/>
  <c r="H306" i="61"/>
  <c r="H305" i="61"/>
  <c r="H304" i="61"/>
  <c r="H303" i="61"/>
  <c r="H302" i="61"/>
  <c r="H301" i="61"/>
  <c r="H300" i="61"/>
  <c r="H299" i="61"/>
  <c r="H298" i="61"/>
  <c r="H297" i="61"/>
  <c r="H296" i="61"/>
  <c r="H295" i="61"/>
  <c r="H294" i="61"/>
  <c r="H293" i="61"/>
  <c r="H292" i="61"/>
  <c r="H291" i="61"/>
  <c r="H290" i="61"/>
  <c r="H289" i="61"/>
  <c r="H288" i="61"/>
  <c r="H287" i="61"/>
  <c r="H286" i="61"/>
  <c r="H285" i="61"/>
  <c r="H284" i="61"/>
  <c r="H283" i="61"/>
  <c r="H282" i="61"/>
  <c r="H281" i="61"/>
  <c r="H280" i="61"/>
  <c r="H279" i="61"/>
  <c r="H278" i="61"/>
  <c r="H277" i="61"/>
  <c r="H276" i="61"/>
  <c r="H275" i="61"/>
  <c r="H274" i="61"/>
  <c r="H273" i="61"/>
  <c r="H272" i="61"/>
  <c r="H271" i="61"/>
  <c r="H270" i="61"/>
  <c r="H269" i="61"/>
  <c r="H268" i="61"/>
  <c r="H267" i="61"/>
  <c r="CM249" i="61"/>
  <c r="AZ249" i="61"/>
  <c r="BA249" i="61" s="1"/>
  <c r="AY249" i="61"/>
  <c r="AX249" i="61"/>
  <c r="AF249" i="61"/>
  <c r="AC249" i="61"/>
  <c r="Z249" i="61"/>
  <c r="CM248" i="61"/>
  <c r="AZ248" i="61"/>
  <c r="BA248" i="61" s="1"/>
  <c r="AY248" i="61"/>
  <c r="AX248" i="61"/>
  <c r="AF248" i="61"/>
  <c r="AC248" i="61"/>
  <c r="Z248" i="61"/>
  <c r="CM247" i="61"/>
  <c r="AZ247" i="61"/>
  <c r="AY247" i="61"/>
  <c r="AX247" i="61"/>
  <c r="AF247" i="61"/>
  <c r="AC247" i="61"/>
  <c r="Z247" i="61"/>
  <c r="CM246" i="61"/>
  <c r="BA246" i="61"/>
  <c r="AZ246" i="61"/>
  <c r="AY246" i="61"/>
  <c r="AX246" i="61"/>
  <c r="AF246" i="61"/>
  <c r="AC246" i="61"/>
  <c r="Z246" i="61"/>
  <c r="CM245" i="61"/>
  <c r="AZ245" i="61"/>
  <c r="BA245" i="61" s="1"/>
  <c r="AY245" i="61"/>
  <c r="AX245" i="61"/>
  <c r="AF245" i="61"/>
  <c r="AC245" i="61"/>
  <c r="Z245" i="61"/>
  <c r="CM244" i="61"/>
  <c r="AZ244" i="61"/>
  <c r="BA244" i="61" s="1"/>
  <c r="CB244" i="61" s="1"/>
  <c r="AY244" i="61"/>
  <c r="AX244" i="61"/>
  <c r="AF244" i="61"/>
  <c r="AC244" i="61"/>
  <c r="Z244" i="61"/>
  <c r="CM243" i="61"/>
  <c r="AZ243" i="61"/>
  <c r="AY243" i="61"/>
  <c r="AX243" i="61"/>
  <c r="AF243" i="61"/>
  <c r="AC243" i="61"/>
  <c r="Z243" i="61"/>
  <c r="CM242" i="61"/>
  <c r="AZ242" i="61"/>
  <c r="BA242" i="61" s="1"/>
  <c r="CA242" i="61" s="1"/>
  <c r="AY242" i="61"/>
  <c r="AX242" i="61"/>
  <c r="AF242" i="61"/>
  <c r="AC242" i="61"/>
  <c r="Z242" i="61"/>
  <c r="CM241" i="61"/>
  <c r="AZ241" i="61"/>
  <c r="BA241" i="61" s="1"/>
  <c r="AY241" i="61"/>
  <c r="AX241" i="61"/>
  <c r="AF241" i="61"/>
  <c r="AC241" i="61"/>
  <c r="Z241" i="61"/>
  <c r="CM240" i="61"/>
  <c r="BA240" i="61"/>
  <c r="AZ240" i="61"/>
  <c r="AY240" i="61"/>
  <c r="AX240" i="61"/>
  <c r="AF240" i="61"/>
  <c r="AC240" i="61"/>
  <c r="Z240" i="61"/>
  <c r="CM239" i="61"/>
  <c r="AZ239" i="61"/>
  <c r="AY239" i="61"/>
  <c r="AX239" i="61"/>
  <c r="AF239" i="61"/>
  <c r="AC239" i="61"/>
  <c r="Z239" i="61"/>
  <c r="CM238" i="61"/>
  <c r="AZ238" i="61"/>
  <c r="BA238" i="61" s="1"/>
  <c r="CA238" i="61" s="1"/>
  <c r="AY238" i="61"/>
  <c r="AX238" i="61"/>
  <c r="AF238" i="61"/>
  <c r="AC238" i="61"/>
  <c r="Z238" i="61"/>
  <c r="CM237" i="61"/>
  <c r="AZ237" i="61"/>
  <c r="BA237" i="61" s="1"/>
  <c r="AY237" i="61"/>
  <c r="AX237" i="61"/>
  <c r="AF237" i="61"/>
  <c r="AC237" i="61"/>
  <c r="Z237" i="61"/>
  <c r="CM236" i="61"/>
  <c r="AZ236" i="61"/>
  <c r="BA236" i="61" s="1"/>
  <c r="AY236" i="61"/>
  <c r="AX236" i="61"/>
  <c r="AF236" i="61"/>
  <c r="AC236" i="61"/>
  <c r="Z236" i="61"/>
  <c r="CM235" i="61"/>
  <c r="AZ235" i="61"/>
  <c r="AY235" i="61"/>
  <c r="AX235" i="61"/>
  <c r="AF235" i="61"/>
  <c r="AC235" i="61"/>
  <c r="Z235" i="61"/>
  <c r="CM234" i="61"/>
  <c r="AZ234" i="61"/>
  <c r="BA234" i="61" s="1"/>
  <c r="AY234" i="61"/>
  <c r="AX234" i="61"/>
  <c r="AF234" i="61"/>
  <c r="AC234" i="61"/>
  <c r="Z234" i="61"/>
  <c r="CM233" i="61"/>
  <c r="AZ233" i="61"/>
  <c r="BA233" i="61" s="1"/>
  <c r="AY233" i="61"/>
  <c r="AX233" i="61"/>
  <c r="AF233" i="61"/>
  <c r="AC233" i="61"/>
  <c r="Z233" i="61"/>
  <c r="CM232" i="61"/>
  <c r="BA232" i="61"/>
  <c r="CA232" i="61" s="1"/>
  <c r="AZ232" i="61"/>
  <c r="AY232" i="61"/>
  <c r="AX232" i="61"/>
  <c r="AF232" i="61"/>
  <c r="AC232" i="61"/>
  <c r="Z232" i="61"/>
  <c r="CM231" i="61"/>
  <c r="AZ231" i="61"/>
  <c r="AY231" i="61"/>
  <c r="AX231" i="61"/>
  <c r="AF231" i="61"/>
  <c r="AC231" i="61"/>
  <c r="Z231" i="61"/>
  <c r="CM230" i="61"/>
  <c r="BA230" i="61"/>
  <c r="AZ230" i="61"/>
  <c r="AY230" i="61"/>
  <c r="AX230" i="61"/>
  <c r="AF230" i="61"/>
  <c r="AC230" i="61"/>
  <c r="Z230" i="61"/>
  <c r="CM229" i="61"/>
  <c r="AZ229" i="61"/>
  <c r="BA229" i="61" s="1"/>
  <c r="AY229" i="61"/>
  <c r="AX229" i="61"/>
  <c r="AF229" i="61"/>
  <c r="AC229" i="61"/>
  <c r="Z229" i="61"/>
  <c r="CM228" i="61"/>
  <c r="AZ228" i="61"/>
  <c r="BA228" i="61" s="1"/>
  <c r="AY228" i="61"/>
  <c r="AX228" i="61"/>
  <c r="AF228" i="61"/>
  <c r="AC228" i="61"/>
  <c r="Z228" i="61"/>
  <c r="CM227" i="61"/>
  <c r="AZ227" i="61"/>
  <c r="BA227" i="61" s="1"/>
  <c r="CA227" i="61" s="1"/>
  <c r="AY227" i="61"/>
  <c r="AX227" i="61"/>
  <c r="AF227" i="61"/>
  <c r="AC227" i="61"/>
  <c r="Z227" i="61"/>
  <c r="CM226" i="61"/>
  <c r="AZ226" i="61"/>
  <c r="AY226" i="61"/>
  <c r="AX226" i="61"/>
  <c r="AF226" i="61"/>
  <c r="AC226" i="61"/>
  <c r="Z226" i="61"/>
  <c r="CM225" i="61"/>
  <c r="AZ225" i="61"/>
  <c r="BA225" i="61" s="1"/>
  <c r="AY225" i="61"/>
  <c r="AX225" i="61"/>
  <c r="AF225" i="61"/>
  <c r="AC225" i="61"/>
  <c r="Z225" i="61"/>
  <c r="CM224" i="61"/>
  <c r="AZ224" i="61"/>
  <c r="AY224" i="61"/>
  <c r="AX224" i="61"/>
  <c r="AF224" i="61"/>
  <c r="AC224" i="61"/>
  <c r="Z224" i="61"/>
  <c r="CM223" i="61"/>
  <c r="AZ223" i="61"/>
  <c r="BA223" i="61" s="1"/>
  <c r="CA223" i="61" s="1"/>
  <c r="AY223" i="61"/>
  <c r="AX223" i="61"/>
  <c r="AF223" i="61"/>
  <c r="AC223" i="61"/>
  <c r="Z223" i="61"/>
  <c r="CM222" i="61"/>
  <c r="AZ222" i="61"/>
  <c r="BA222" i="61" s="1"/>
  <c r="AY222" i="61"/>
  <c r="AX222" i="61"/>
  <c r="AF222" i="61"/>
  <c r="AC222" i="61"/>
  <c r="Z222" i="61"/>
  <c r="CM221" i="61"/>
  <c r="AZ221" i="61"/>
  <c r="BA221" i="61" s="1"/>
  <c r="AY221" i="61"/>
  <c r="AX221" i="61"/>
  <c r="AF221" i="61"/>
  <c r="AC221" i="61"/>
  <c r="Z221" i="61"/>
  <c r="CM220" i="61"/>
  <c r="AZ220" i="61"/>
  <c r="AY220" i="61"/>
  <c r="AX220" i="61"/>
  <c r="AF220" i="61"/>
  <c r="AC220" i="61"/>
  <c r="Z220" i="61"/>
  <c r="CM219" i="61"/>
  <c r="BA219" i="61"/>
  <c r="CA219" i="61" s="1"/>
  <c r="AZ219" i="61"/>
  <c r="AY219" i="61"/>
  <c r="AX219" i="61"/>
  <c r="AF219" i="61"/>
  <c r="AC219" i="61"/>
  <c r="Z219" i="61"/>
  <c r="CM218" i="61"/>
  <c r="AZ218" i="61"/>
  <c r="BA218" i="61" s="1"/>
  <c r="AY218" i="61"/>
  <c r="AX218" i="61"/>
  <c r="AF218" i="61"/>
  <c r="AC218" i="61"/>
  <c r="Z218" i="61"/>
  <c r="CM217" i="61"/>
  <c r="AZ217" i="61"/>
  <c r="BA217" i="61" s="1"/>
  <c r="AY217" i="61"/>
  <c r="AX217" i="61"/>
  <c r="AF217" i="61"/>
  <c r="AC217" i="61"/>
  <c r="Z217" i="61"/>
  <c r="CM216" i="61"/>
  <c r="AZ216" i="61"/>
  <c r="BA216" i="61" s="1"/>
  <c r="AY216" i="61"/>
  <c r="AX216" i="61"/>
  <c r="AF216" i="61"/>
  <c r="AC216" i="61"/>
  <c r="Z216" i="61"/>
  <c r="CM215" i="61"/>
  <c r="AZ215" i="61"/>
  <c r="AY215" i="61"/>
  <c r="AX215" i="61"/>
  <c r="AF215" i="61"/>
  <c r="AC215" i="61"/>
  <c r="Z215" i="61"/>
  <c r="CM214" i="61"/>
  <c r="AZ214" i="61"/>
  <c r="BA214" i="61" s="1"/>
  <c r="CA214" i="61" s="1"/>
  <c r="AY214" i="61"/>
  <c r="AX214" i="61"/>
  <c r="AF214" i="61"/>
  <c r="AC214" i="61"/>
  <c r="Z214" i="61"/>
  <c r="CM213" i="61"/>
  <c r="AZ213" i="61"/>
  <c r="BA213" i="61" s="1"/>
  <c r="AY213" i="61"/>
  <c r="AX213" i="61"/>
  <c r="AF213" i="61"/>
  <c r="AC213" i="61"/>
  <c r="Z213" i="61"/>
  <c r="CM212" i="61"/>
  <c r="AZ212" i="61"/>
  <c r="BA212" i="61" s="1"/>
  <c r="AY212" i="61"/>
  <c r="AX212" i="61"/>
  <c r="AF212" i="61"/>
  <c r="AC212" i="61"/>
  <c r="Z212" i="61"/>
  <c r="CM211" i="61"/>
  <c r="AZ211" i="61"/>
  <c r="AY211" i="61"/>
  <c r="AX211" i="61"/>
  <c r="AF211" i="61"/>
  <c r="AC211" i="61"/>
  <c r="Z211" i="61"/>
  <c r="CM210" i="61"/>
  <c r="AZ210" i="61"/>
  <c r="BA210" i="61" s="1"/>
  <c r="CA210" i="61" s="1"/>
  <c r="AY210" i="61"/>
  <c r="AX210" i="61"/>
  <c r="AF210" i="61"/>
  <c r="AC210" i="61"/>
  <c r="Z210" i="61"/>
  <c r="CM209" i="61"/>
  <c r="AZ209" i="61"/>
  <c r="BA209" i="61" s="1"/>
  <c r="AY209" i="61"/>
  <c r="AX209" i="61"/>
  <c r="AF209" i="61"/>
  <c r="AC209" i="61"/>
  <c r="Z209" i="61"/>
  <c r="CM208" i="61"/>
  <c r="AZ208" i="61"/>
  <c r="BA208" i="61" s="1"/>
  <c r="AY208" i="61"/>
  <c r="AX208" i="61"/>
  <c r="AF208" i="61"/>
  <c r="AC208" i="61"/>
  <c r="Z208" i="61"/>
  <c r="CM207" i="61"/>
  <c r="AZ207" i="61"/>
  <c r="AY207" i="61"/>
  <c r="AX207" i="61"/>
  <c r="AF207" i="61"/>
  <c r="AC207" i="61"/>
  <c r="Z207" i="61"/>
  <c r="CM206" i="61"/>
  <c r="AZ206" i="61"/>
  <c r="BA206" i="61" s="1"/>
  <c r="AY206" i="61"/>
  <c r="AX206" i="61"/>
  <c r="AF206" i="61"/>
  <c r="AC206" i="61"/>
  <c r="Z206" i="61"/>
  <c r="CM205" i="61"/>
  <c r="AZ205" i="61"/>
  <c r="BA205" i="61" s="1"/>
  <c r="AY205" i="61"/>
  <c r="AX205" i="61"/>
  <c r="AF205" i="61"/>
  <c r="AC205" i="61"/>
  <c r="Z205" i="61"/>
  <c r="CM204" i="61"/>
  <c r="AZ204" i="61"/>
  <c r="BA204" i="61" s="1"/>
  <c r="AY204" i="61"/>
  <c r="AX204" i="61"/>
  <c r="AF204" i="61"/>
  <c r="AC204" i="61"/>
  <c r="Z204" i="61"/>
  <c r="CM203" i="61"/>
  <c r="AZ203" i="61"/>
  <c r="BA203" i="61" s="1"/>
  <c r="AY203" i="61"/>
  <c r="AX203" i="61"/>
  <c r="AF203" i="61"/>
  <c r="AC203" i="61"/>
  <c r="Z203" i="61"/>
  <c r="CM202" i="61"/>
  <c r="AZ202" i="61"/>
  <c r="AY202" i="61"/>
  <c r="AX202" i="61"/>
  <c r="AF202" i="61"/>
  <c r="AC202" i="61"/>
  <c r="Z202" i="61"/>
  <c r="CM201" i="61"/>
  <c r="AZ201" i="61"/>
  <c r="BA201" i="61" s="1"/>
  <c r="AY201" i="61"/>
  <c r="AX201" i="61"/>
  <c r="AF201" i="61"/>
  <c r="AC201" i="61"/>
  <c r="Z201" i="61"/>
  <c r="CM200" i="61"/>
  <c r="AZ200" i="61"/>
  <c r="BA200" i="61" s="1"/>
  <c r="AY200" i="61"/>
  <c r="AX200" i="61"/>
  <c r="AF200" i="61"/>
  <c r="AC200" i="61"/>
  <c r="Z200" i="61"/>
  <c r="CM199" i="61"/>
  <c r="AZ199" i="61"/>
  <c r="BA199" i="61" s="1"/>
  <c r="AY199" i="61"/>
  <c r="AX199" i="61"/>
  <c r="AF199" i="61"/>
  <c r="AC199" i="61"/>
  <c r="Z199" i="61"/>
  <c r="CM198" i="61"/>
  <c r="AZ198" i="61"/>
  <c r="AY198" i="61"/>
  <c r="AX198" i="61"/>
  <c r="AF198" i="61"/>
  <c r="AC198" i="61"/>
  <c r="Z198" i="61"/>
  <c r="CM197" i="61"/>
  <c r="AZ197" i="61"/>
  <c r="BA197" i="61" s="1"/>
  <c r="AY197" i="61"/>
  <c r="AX197" i="61"/>
  <c r="AF197" i="61"/>
  <c r="AC197" i="61"/>
  <c r="Z197" i="61"/>
  <c r="CM196" i="61"/>
  <c r="AZ196" i="61"/>
  <c r="BA196" i="61" s="1"/>
  <c r="AY196" i="61"/>
  <c r="AX196" i="61"/>
  <c r="AF196" i="61"/>
  <c r="AC196" i="61"/>
  <c r="Z196" i="61"/>
  <c r="CM195" i="61"/>
  <c r="AZ195" i="61"/>
  <c r="BA195" i="61" s="1"/>
  <c r="AY195" i="61"/>
  <c r="AX195" i="61"/>
  <c r="AF195" i="61"/>
  <c r="AC195" i="61"/>
  <c r="Z195" i="61"/>
  <c r="CM194" i="61"/>
  <c r="AZ194" i="61"/>
  <c r="AY194" i="61"/>
  <c r="AX194" i="61"/>
  <c r="AF194" i="61"/>
  <c r="AC194" i="61"/>
  <c r="Z194" i="61"/>
  <c r="CM193" i="61"/>
  <c r="AZ193" i="61"/>
  <c r="BA193" i="61" s="1"/>
  <c r="AY193" i="61"/>
  <c r="AX193" i="61"/>
  <c r="AF193" i="61"/>
  <c r="AC193" i="61"/>
  <c r="Z193" i="61"/>
  <c r="CM192" i="61"/>
  <c r="AZ192" i="61"/>
  <c r="BA192" i="61" s="1"/>
  <c r="CA192" i="61" s="1"/>
  <c r="AY192" i="61"/>
  <c r="AX192" i="61"/>
  <c r="AF192" i="61"/>
  <c r="AC192" i="61"/>
  <c r="Z192" i="61"/>
  <c r="CM191" i="61"/>
  <c r="AZ191" i="61"/>
  <c r="BA191" i="61" s="1"/>
  <c r="AY191" i="61"/>
  <c r="AX191" i="61"/>
  <c r="AF191" i="61"/>
  <c r="AC191" i="61"/>
  <c r="Z191" i="61"/>
  <c r="CM190" i="61"/>
  <c r="AZ190" i="61"/>
  <c r="AY190" i="61"/>
  <c r="AX190" i="61"/>
  <c r="AF190" i="61"/>
  <c r="AC190" i="61"/>
  <c r="Z190" i="61"/>
  <c r="CM189" i="61"/>
  <c r="AZ189" i="61"/>
  <c r="BA189" i="61" s="1"/>
  <c r="AY189" i="61"/>
  <c r="AX189" i="61"/>
  <c r="AF189" i="61"/>
  <c r="AC189" i="61"/>
  <c r="Z189" i="61"/>
  <c r="DC181" i="61"/>
  <c r="DB181" i="61"/>
  <c r="AZ181" i="61"/>
  <c r="BA181" i="61" s="1"/>
  <c r="AY181" i="61"/>
  <c r="AX181" i="61"/>
  <c r="AF181" i="61"/>
  <c r="AC181" i="61"/>
  <c r="Z181" i="61"/>
  <c r="G181" i="61"/>
  <c r="DC180" i="61"/>
  <c r="DB180" i="61"/>
  <c r="AZ180" i="61"/>
  <c r="BA180" i="61" s="1"/>
  <c r="AY180" i="61"/>
  <c r="AX180" i="61"/>
  <c r="AF180" i="61"/>
  <c r="AC180" i="61"/>
  <c r="Z180" i="61"/>
  <c r="G180" i="61"/>
  <c r="AZ179" i="61"/>
  <c r="BA179" i="61" s="1"/>
  <c r="AY179" i="61"/>
  <c r="AX179" i="61"/>
  <c r="AF179" i="61"/>
  <c r="AC179" i="61"/>
  <c r="Z179" i="61"/>
  <c r="DC178" i="61"/>
  <c r="DB178" i="61"/>
  <c r="AZ178" i="61"/>
  <c r="BA178" i="61" s="1"/>
  <c r="AY178" i="61"/>
  <c r="AX178" i="61"/>
  <c r="AF178" i="61"/>
  <c r="AC178" i="61"/>
  <c r="Z178" i="61"/>
  <c r="G178" i="61"/>
  <c r="DC177" i="61"/>
  <c r="DB177" i="61"/>
  <c r="AZ177" i="61"/>
  <c r="BA177" i="61" s="1"/>
  <c r="AY177" i="61"/>
  <c r="AX177" i="61"/>
  <c r="AF177" i="61"/>
  <c r="AC177" i="61"/>
  <c r="Z177" i="61"/>
  <c r="G177" i="61"/>
  <c r="DC176" i="61"/>
  <c r="DB176" i="61"/>
  <c r="AZ176" i="61"/>
  <c r="BA176" i="61" s="1"/>
  <c r="AY176" i="61"/>
  <c r="AX176" i="61"/>
  <c r="AF176" i="61"/>
  <c r="AC176" i="61"/>
  <c r="Z176" i="61"/>
  <c r="G176" i="61"/>
  <c r="DC175" i="61"/>
  <c r="DB175" i="61"/>
  <c r="AZ175" i="61"/>
  <c r="BA175" i="61" s="1"/>
  <c r="AY175" i="61"/>
  <c r="AX175" i="61"/>
  <c r="AF175" i="61"/>
  <c r="AC175" i="61"/>
  <c r="Z175" i="61"/>
  <c r="G175" i="61"/>
  <c r="DC174" i="61"/>
  <c r="DB174" i="61"/>
  <c r="AZ174" i="61"/>
  <c r="BA174" i="61" s="1"/>
  <c r="AY174" i="61"/>
  <c r="AX174" i="61"/>
  <c r="AF174" i="61"/>
  <c r="AC174" i="61"/>
  <c r="Z174" i="61"/>
  <c r="G174" i="61"/>
  <c r="DC173" i="61"/>
  <c r="DB173" i="61"/>
  <c r="AZ173" i="61"/>
  <c r="BA173" i="61" s="1"/>
  <c r="AY173" i="61"/>
  <c r="AX173" i="61"/>
  <c r="AF173" i="61"/>
  <c r="AC173" i="61"/>
  <c r="Z173" i="61"/>
  <c r="G173" i="61"/>
  <c r="DC172" i="61"/>
  <c r="DB172" i="61"/>
  <c r="BA172" i="61"/>
  <c r="AZ172" i="61"/>
  <c r="AY172" i="61"/>
  <c r="AX172" i="61"/>
  <c r="AF172" i="61"/>
  <c r="AC172" i="61"/>
  <c r="Z172" i="61"/>
  <c r="G172" i="61"/>
  <c r="DC171" i="61"/>
  <c r="DB171" i="61"/>
  <c r="AZ171" i="61"/>
  <c r="BA171" i="61" s="1"/>
  <c r="AY171" i="61"/>
  <c r="AX171" i="61"/>
  <c r="AF171" i="61"/>
  <c r="AC171" i="61"/>
  <c r="Z171" i="61"/>
  <c r="G171" i="61"/>
  <c r="DC170" i="61"/>
  <c r="DB170" i="61"/>
  <c r="AZ170" i="61"/>
  <c r="BA170" i="61" s="1"/>
  <c r="AY170" i="61"/>
  <c r="AX170" i="61"/>
  <c r="AF170" i="61"/>
  <c r="AC170" i="61"/>
  <c r="Z170" i="61"/>
  <c r="G170" i="61"/>
  <c r="DC169" i="61"/>
  <c r="DB169" i="61"/>
  <c r="AZ169" i="61"/>
  <c r="BA169" i="61" s="1"/>
  <c r="AY169" i="61"/>
  <c r="AX169" i="61"/>
  <c r="AF169" i="61"/>
  <c r="AC169" i="61"/>
  <c r="Z169" i="61"/>
  <c r="G169" i="61"/>
  <c r="DC168" i="61"/>
  <c r="DB168" i="61"/>
  <c r="AZ168" i="61"/>
  <c r="BA168" i="61" s="1"/>
  <c r="AY168" i="61"/>
  <c r="AX168" i="61"/>
  <c r="AF168" i="61"/>
  <c r="AC168" i="61"/>
  <c r="Z168" i="61"/>
  <c r="G168" i="61"/>
  <c r="DC167" i="61"/>
  <c r="DB167" i="61"/>
  <c r="AZ167" i="61"/>
  <c r="BA167" i="61" s="1"/>
  <c r="AY167" i="61"/>
  <c r="AX167" i="61"/>
  <c r="AF167" i="61"/>
  <c r="AC167" i="61"/>
  <c r="Z167" i="61"/>
  <c r="G167" i="61"/>
  <c r="DC166" i="61"/>
  <c r="DB166" i="61"/>
  <c r="AZ166" i="61"/>
  <c r="BA166" i="61" s="1"/>
  <c r="AY166" i="61"/>
  <c r="AX166" i="61"/>
  <c r="AF166" i="61"/>
  <c r="AC166" i="61"/>
  <c r="Z166" i="61"/>
  <c r="G166" i="61"/>
  <c r="DC165" i="61"/>
  <c r="DB165" i="61"/>
  <c r="AZ165" i="61"/>
  <c r="AY165" i="61"/>
  <c r="AX165" i="61"/>
  <c r="AF165" i="61"/>
  <c r="AC165" i="61"/>
  <c r="Z165" i="61"/>
  <c r="G165" i="61"/>
  <c r="DC164" i="61"/>
  <c r="DB164" i="61"/>
  <c r="AZ164" i="61"/>
  <c r="AY164" i="61"/>
  <c r="AX164" i="61"/>
  <c r="AF164" i="61"/>
  <c r="AC164" i="61"/>
  <c r="Z164" i="61"/>
  <c r="G164" i="61"/>
  <c r="DC163" i="61"/>
  <c r="DB163" i="61"/>
  <c r="AZ163" i="61"/>
  <c r="AY163" i="61"/>
  <c r="AX163" i="61"/>
  <c r="AF163" i="61"/>
  <c r="AC163" i="61"/>
  <c r="Z163" i="61"/>
  <c r="G163" i="61"/>
  <c r="DC162" i="61"/>
  <c r="DB162" i="61"/>
  <c r="AZ162" i="61"/>
  <c r="AY162" i="61"/>
  <c r="AX162" i="61"/>
  <c r="AF162" i="61"/>
  <c r="AC162" i="61"/>
  <c r="Z162" i="61"/>
  <c r="G162" i="61"/>
  <c r="DC161" i="61"/>
  <c r="DB161" i="61"/>
  <c r="AZ161" i="61"/>
  <c r="AY161" i="61"/>
  <c r="AX161" i="61"/>
  <c r="AF161" i="61"/>
  <c r="AC161" i="61"/>
  <c r="Z161" i="61"/>
  <c r="G161" i="61"/>
  <c r="DC160" i="61"/>
  <c r="DB160" i="61"/>
  <c r="AZ160" i="61"/>
  <c r="AY160" i="61"/>
  <c r="AX160" i="61"/>
  <c r="AF160" i="61"/>
  <c r="AC160" i="61"/>
  <c r="Z160" i="61"/>
  <c r="G160" i="61"/>
  <c r="DC159" i="61"/>
  <c r="DB159" i="61"/>
  <c r="AZ159" i="61"/>
  <c r="AY159" i="61"/>
  <c r="AX159" i="61"/>
  <c r="AF159" i="61"/>
  <c r="AC159" i="61"/>
  <c r="Z159" i="61"/>
  <c r="G159" i="61"/>
  <c r="DC158" i="61"/>
  <c r="DB158" i="61"/>
  <c r="AZ158" i="61"/>
  <c r="AY158" i="61"/>
  <c r="AX158" i="61"/>
  <c r="AF158" i="61"/>
  <c r="AC158" i="61"/>
  <c r="Z158" i="61"/>
  <c r="G158" i="61"/>
  <c r="DC157" i="61"/>
  <c r="DB157" i="61"/>
  <c r="AZ157" i="61"/>
  <c r="BA157" i="61" s="1"/>
  <c r="AY157" i="61"/>
  <c r="AX157" i="61"/>
  <c r="AF157" i="61"/>
  <c r="AC157" i="61"/>
  <c r="Z157" i="61"/>
  <c r="G157" i="61"/>
  <c r="DC156" i="61"/>
  <c r="DB156" i="61"/>
  <c r="AZ156" i="61"/>
  <c r="BA156" i="61" s="1"/>
  <c r="AY156" i="61"/>
  <c r="AX156" i="61"/>
  <c r="AF156" i="61"/>
  <c r="AC156" i="61"/>
  <c r="Z156" i="61"/>
  <c r="G156" i="61"/>
  <c r="DC155" i="61"/>
  <c r="DB155" i="61"/>
  <c r="AZ155" i="61"/>
  <c r="BA155" i="61" s="1"/>
  <c r="AY155" i="61"/>
  <c r="AX155" i="61"/>
  <c r="AF155" i="61"/>
  <c r="AC155" i="61"/>
  <c r="Z155" i="61"/>
  <c r="G155" i="61"/>
  <c r="DC154" i="61"/>
  <c r="DB154" i="61"/>
  <c r="AZ154" i="61"/>
  <c r="BA154" i="61" s="1"/>
  <c r="AY154" i="61"/>
  <c r="AX154" i="61"/>
  <c r="AF154" i="61"/>
  <c r="AC154" i="61"/>
  <c r="Z154" i="61"/>
  <c r="G154" i="61"/>
  <c r="DC153" i="61"/>
  <c r="DB153" i="61"/>
  <c r="AZ153" i="61"/>
  <c r="BA153" i="61" s="1"/>
  <c r="AY153" i="61"/>
  <c r="AX153" i="61"/>
  <c r="AF153" i="61"/>
  <c r="AC153" i="61"/>
  <c r="Z153" i="61"/>
  <c r="G153" i="61"/>
  <c r="DC152" i="61"/>
  <c r="DB152" i="61"/>
  <c r="AZ152" i="61"/>
  <c r="BA152" i="61" s="1"/>
  <c r="AY152" i="61"/>
  <c r="AX152" i="61"/>
  <c r="AF152" i="61"/>
  <c r="AC152" i="61"/>
  <c r="Z152" i="61"/>
  <c r="G152" i="61"/>
  <c r="DC151" i="61"/>
  <c r="DB151" i="61"/>
  <c r="AZ151" i="61"/>
  <c r="BA151" i="61" s="1"/>
  <c r="AY151" i="61"/>
  <c r="AX151" i="61"/>
  <c r="AF151" i="61"/>
  <c r="AC151" i="61"/>
  <c r="Z151" i="61"/>
  <c r="G151" i="61"/>
  <c r="DC150" i="61"/>
  <c r="DB150" i="61"/>
  <c r="AZ150" i="61"/>
  <c r="BA150" i="61" s="1"/>
  <c r="AY150" i="61"/>
  <c r="AX150" i="61"/>
  <c r="AF150" i="61"/>
  <c r="AC150" i="61"/>
  <c r="Z150" i="61"/>
  <c r="G150" i="61"/>
  <c r="DC149" i="61"/>
  <c r="DB149" i="61"/>
  <c r="AZ149" i="61"/>
  <c r="BA149" i="61" s="1"/>
  <c r="AY149" i="61"/>
  <c r="AX149" i="61"/>
  <c r="AF149" i="61"/>
  <c r="AC149" i="61"/>
  <c r="Z149" i="61"/>
  <c r="G149" i="61"/>
  <c r="DC148" i="61"/>
  <c r="DB148" i="61"/>
  <c r="AZ148" i="61"/>
  <c r="BA148" i="61" s="1"/>
  <c r="AY148" i="61"/>
  <c r="AX148" i="61"/>
  <c r="AF148" i="61"/>
  <c r="AC148" i="61"/>
  <c r="Z148" i="61"/>
  <c r="G148" i="61"/>
  <c r="DC147" i="61"/>
  <c r="DB147" i="61"/>
  <c r="AZ147" i="61"/>
  <c r="BA147" i="61" s="1"/>
  <c r="AY147" i="61"/>
  <c r="AX147" i="61"/>
  <c r="AF147" i="61"/>
  <c r="AC147" i="61"/>
  <c r="Z147" i="61"/>
  <c r="G147" i="61"/>
  <c r="AZ146" i="61"/>
  <c r="BA146" i="61" s="1"/>
  <c r="AY146" i="61"/>
  <c r="AX146" i="61"/>
  <c r="AF146" i="61"/>
  <c r="AC146" i="61"/>
  <c r="Z146" i="61"/>
  <c r="AZ145" i="61"/>
  <c r="BA145" i="61" s="1"/>
  <c r="AY145" i="61"/>
  <c r="AX145" i="61"/>
  <c r="AF145" i="61"/>
  <c r="AC145" i="61"/>
  <c r="Z145" i="61"/>
  <c r="AZ144" i="61"/>
  <c r="AY144" i="61"/>
  <c r="AX144" i="61"/>
  <c r="AF144" i="61"/>
  <c r="AC144" i="61"/>
  <c r="Z144" i="61"/>
  <c r="AZ143" i="61"/>
  <c r="AY143" i="61"/>
  <c r="AX143" i="61"/>
  <c r="AF143" i="61"/>
  <c r="AC143" i="61"/>
  <c r="Z143" i="61"/>
  <c r="AZ142" i="61"/>
  <c r="AY142" i="61"/>
  <c r="AX142" i="61"/>
  <c r="AF142" i="61"/>
  <c r="AC142" i="61"/>
  <c r="Z142" i="61"/>
  <c r="AZ141" i="61"/>
  <c r="AY141" i="61"/>
  <c r="AX141" i="61"/>
  <c r="AF141" i="61"/>
  <c r="AC141" i="61"/>
  <c r="Z141" i="61"/>
  <c r="AZ140" i="61"/>
  <c r="AY140" i="61"/>
  <c r="AX140" i="61"/>
  <c r="AF140" i="61"/>
  <c r="AC140" i="61"/>
  <c r="Z140" i="61"/>
  <c r="AZ139" i="61"/>
  <c r="AY139" i="61"/>
  <c r="AX139" i="61"/>
  <c r="AF139" i="61"/>
  <c r="AC139" i="61"/>
  <c r="Z139" i="61"/>
  <c r="AZ138" i="61"/>
  <c r="AY138" i="61"/>
  <c r="AX138" i="61"/>
  <c r="AF138" i="61"/>
  <c r="AC138" i="61"/>
  <c r="Z138" i="61"/>
  <c r="AZ137" i="61"/>
  <c r="AY137" i="61"/>
  <c r="AX137" i="61"/>
  <c r="AF137" i="61"/>
  <c r="AC137" i="61"/>
  <c r="Z137" i="61"/>
  <c r="AZ136" i="61"/>
  <c r="AY136" i="61"/>
  <c r="AX136" i="61"/>
  <c r="AF136" i="61"/>
  <c r="AC136" i="61"/>
  <c r="Z136" i="61"/>
  <c r="AZ135" i="61"/>
  <c r="AY135" i="61"/>
  <c r="AX135" i="61"/>
  <c r="AF135" i="61"/>
  <c r="AC135" i="61"/>
  <c r="Z135" i="61"/>
  <c r="AZ134" i="61"/>
  <c r="AY134" i="61"/>
  <c r="AX134" i="61"/>
  <c r="AF134" i="61"/>
  <c r="AC134" i="61"/>
  <c r="Z134" i="61"/>
  <c r="AZ133" i="61"/>
  <c r="AY133" i="61"/>
  <c r="AX133" i="61"/>
  <c r="AF133" i="61"/>
  <c r="AC133" i="61"/>
  <c r="Z133" i="61"/>
  <c r="AZ132" i="61"/>
  <c r="AY132" i="61"/>
  <c r="AX132" i="61"/>
  <c r="AF132" i="61"/>
  <c r="AC132" i="61"/>
  <c r="Z132" i="61"/>
  <c r="AZ131" i="61"/>
  <c r="AY131" i="61"/>
  <c r="AX131" i="61"/>
  <c r="AF131" i="61"/>
  <c r="AC131" i="61"/>
  <c r="Z131" i="61"/>
  <c r="AZ130" i="61"/>
  <c r="AY130" i="61"/>
  <c r="AX130" i="61"/>
  <c r="AF130" i="61"/>
  <c r="AC130" i="61"/>
  <c r="Z130" i="61"/>
  <c r="AZ129" i="61"/>
  <c r="AY129" i="61"/>
  <c r="AX129" i="61"/>
  <c r="AF129" i="61"/>
  <c r="AC129" i="61"/>
  <c r="Z129" i="61"/>
  <c r="AZ128" i="61"/>
  <c r="AY128" i="61"/>
  <c r="AX128" i="61"/>
  <c r="AF128" i="61"/>
  <c r="AC128" i="61"/>
  <c r="Z128" i="61"/>
  <c r="AZ127" i="61"/>
  <c r="AY127" i="61"/>
  <c r="AX127" i="61"/>
  <c r="AF127" i="61"/>
  <c r="AC127" i="61"/>
  <c r="Z127" i="61"/>
  <c r="AZ126" i="61"/>
  <c r="AY126" i="61"/>
  <c r="AX126" i="61"/>
  <c r="AF126" i="61"/>
  <c r="AC126" i="61"/>
  <c r="Z126" i="61"/>
  <c r="AZ125" i="61"/>
  <c r="AY125" i="61"/>
  <c r="AX125" i="61"/>
  <c r="AF125" i="61"/>
  <c r="AC125" i="61"/>
  <c r="Z125" i="61"/>
  <c r="AZ124" i="61"/>
  <c r="AY124" i="61"/>
  <c r="AX124" i="61"/>
  <c r="AF124" i="61"/>
  <c r="AC124" i="61"/>
  <c r="Z124" i="61"/>
  <c r="AZ123" i="61"/>
  <c r="AY123" i="61"/>
  <c r="AX123" i="61"/>
  <c r="AF123" i="61"/>
  <c r="AC123" i="61"/>
  <c r="Z123" i="61"/>
  <c r="AZ122" i="61"/>
  <c r="AY122" i="61"/>
  <c r="AX122" i="61"/>
  <c r="AF122" i="61"/>
  <c r="AC122" i="61"/>
  <c r="Z122" i="61"/>
  <c r="AY121" i="61"/>
  <c r="AX121" i="61"/>
  <c r="B111" i="61"/>
  <c r="B110" i="61"/>
  <c r="I107" i="61"/>
  <c r="G107" i="61"/>
  <c r="A107" i="61"/>
  <c r="E107" i="61" s="1"/>
  <c r="I106" i="61"/>
  <c r="G106" i="61"/>
  <c r="A106" i="61"/>
  <c r="F106" i="61" s="1"/>
  <c r="I105" i="61"/>
  <c r="G105" i="61"/>
  <c r="A105" i="61"/>
  <c r="E105" i="61" s="1"/>
  <c r="I104" i="61"/>
  <c r="G104" i="61"/>
  <c r="A104" i="61"/>
  <c r="F104" i="61" s="1"/>
  <c r="I103" i="61"/>
  <c r="G103" i="61"/>
  <c r="A103" i="61"/>
  <c r="E103" i="61" s="1"/>
  <c r="J102" i="61"/>
  <c r="H102" i="61"/>
  <c r="A102" i="61"/>
  <c r="J96" i="61"/>
  <c r="I96" i="61"/>
  <c r="J95" i="61"/>
  <c r="I95" i="61"/>
  <c r="J94" i="61"/>
  <c r="I94" i="61"/>
  <c r="O81" i="61"/>
  <c r="J81" i="61"/>
  <c r="O80" i="61"/>
  <c r="J80" i="61"/>
  <c r="O79" i="61"/>
  <c r="J79" i="61"/>
  <c r="K75" i="61"/>
  <c r="J75" i="61"/>
  <c r="I75" i="61"/>
  <c r="K74" i="61"/>
  <c r="J74" i="61"/>
  <c r="I74" i="61"/>
  <c r="K73" i="61"/>
  <c r="J73" i="61"/>
  <c r="I73" i="61"/>
  <c r="K60" i="61"/>
  <c r="J60" i="61"/>
  <c r="I60" i="61"/>
  <c r="K59" i="61"/>
  <c r="J59" i="61"/>
  <c r="I59" i="61"/>
  <c r="K58" i="61"/>
  <c r="J58" i="61"/>
  <c r="J20" i="61"/>
  <c r="I20" i="61"/>
  <c r="J19" i="61"/>
  <c r="J18" i="61"/>
  <c r="J17" i="61"/>
  <c r="J16" i="61"/>
  <c r="J15" i="61"/>
  <c r="J14" i="61"/>
  <c r="J13" i="61"/>
  <c r="J12" i="61"/>
  <c r="I102" i="61"/>
  <c r="J11" i="61"/>
  <c r="AE151" i="61"/>
  <c r="AE150" i="61"/>
  <c r="AE138" i="61"/>
  <c r="AE169" i="61"/>
  <c r="AE127" i="61"/>
  <c r="AE239" i="61"/>
  <c r="AE163" i="61"/>
  <c r="AE200" i="61"/>
  <c r="AE158" i="61"/>
  <c r="AE229" i="61"/>
  <c r="AE223" i="61"/>
  <c r="AE148" i="61"/>
  <c r="AE180" i="61"/>
  <c r="AE136" i="61"/>
  <c r="AE174" i="61"/>
  <c r="AE243" i="61"/>
  <c r="AE155" i="61"/>
  <c r="AE215" i="61"/>
  <c r="AE203" i="61"/>
  <c r="AE191" i="61"/>
  <c r="AE125" i="61"/>
  <c r="AE231" i="61"/>
  <c r="AE232" i="61"/>
  <c r="AE216" i="61"/>
  <c r="AE196" i="61"/>
  <c r="AE194" i="61"/>
  <c r="AE218" i="61"/>
  <c r="AE221" i="61"/>
  <c r="AE142" i="61"/>
  <c r="AE162" i="61"/>
  <c r="AE144" i="61"/>
  <c r="AE156" i="61"/>
  <c r="AE214" i="61"/>
  <c r="AE172" i="61"/>
  <c r="AE173" i="61"/>
  <c r="AE197" i="61"/>
  <c r="AE219" i="61"/>
  <c r="AE236" i="61"/>
  <c r="AE244" i="61"/>
  <c r="AE177" i="61"/>
  <c r="AE176" i="61"/>
  <c r="AE133" i="61"/>
  <c r="AE164" i="61"/>
  <c r="AE217" i="61"/>
  <c r="AE192" i="61"/>
  <c r="AE227" i="61"/>
  <c r="AE171" i="61"/>
  <c r="AE122" i="61"/>
  <c r="AE240" i="61"/>
  <c r="AE149" i="61"/>
  <c r="AE246" i="61"/>
  <c r="AE160" i="61"/>
  <c r="AE249" i="61"/>
  <c r="AE208" i="61"/>
  <c r="AE165" i="61"/>
  <c r="AE233" i="61"/>
  <c r="AE234" i="61"/>
  <c r="AE145" i="61"/>
  <c r="AE238" i="61"/>
  <c r="AE199" i="61"/>
  <c r="AE143" i="61"/>
  <c r="AE201" i="61"/>
  <c r="AE161" i="61"/>
  <c r="AE168" i="61"/>
  <c r="AE123" i="61"/>
  <c r="AE154" i="61"/>
  <c r="AE137" i="61"/>
  <c r="AE245" i="61"/>
  <c r="AE170" i="61"/>
  <c r="AE211" i="61"/>
  <c r="AE131" i="61"/>
  <c r="AE166" i="61"/>
  <c r="AE247" i="61"/>
  <c r="AE130" i="61"/>
  <c r="AE206" i="61"/>
  <c r="AE212" i="61"/>
  <c r="AE135" i="61"/>
  <c r="AE242" i="61"/>
  <c r="AE147" i="61"/>
  <c r="AE220" i="61"/>
  <c r="AE248" i="61"/>
  <c r="AE205" i="61"/>
  <c r="AE153" i="61"/>
  <c r="AE129" i="61"/>
  <c r="AE134" i="61"/>
  <c r="AE198" i="61"/>
  <c r="AE222" i="61"/>
  <c r="AE235" i="61"/>
  <c r="AE152" i="61"/>
  <c r="AE157" i="61"/>
  <c r="AE159" i="61"/>
  <c r="AE193" i="61"/>
  <c r="AE146" i="61"/>
  <c r="AE181" i="61"/>
  <c r="AE179" i="61"/>
  <c r="AE175" i="61"/>
  <c r="AE224" i="61"/>
  <c r="AE190" i="61"/>
  <c r="AE141" i="61"/>
  <c r="AE139" i="61"/>
  <c r="AE124" i="61"/>
  <c r="AE202" i="61"/>
  <c r="AE178" i="61"/>
  <c r="AE140" i="61"/>
  <c r="AE207" i="61"/>
  <c r="AE132" i="61"/>
  <c r="AE226" i="61"/>
  <c r="AE189" i="61"/>
  <c r="AE209" i="61"/>
  <c r="AE128" i="61"/>
  <c r="AE195" i="61"/>
  <c r="AE210" i="61"/>
  <c r="AE241" i="61"/>
  <c r="AE204" i="61"/>
  <c r="AE167" i="61"/>
  <c r="AE126" i="61"/>
  <c r="AE237" i="61"/>
  <c r="AE230" i="61"/>
  <c r="AE225" i="61"/>
  <c r="AE213" i="61"/>
  <c r="AE228" i="61"/>
  <c r="K68" i="61" l="1"/>
  <c r="J76" i="61"/>
  <c r="C107" i="61"/>
  <c r="CB191" i="61"/>
  <c r="CB195" i="61"/>
  <c r="CB199" i="61"/>
  <c r="CB206" i="61"/>
  <c r="C105" i="61"/>
  <c r="CB249" i="61"/>
  <c r="N6" i="61"/>
  <c r="E48" i="61" s="1"/>
  <c r="K6" i="61"/>
  <c r="E28" i="61" s="1"/>
  <c r="O6" i="61"/>
  <c r="E50" i="61" s="1"/>
  <c r="C91" i="61"/>
  <c r="J90" i="61" s="1"/>
  <c r="C89" i="61"/>
  <c r="O2" i="62"/>
  <c r="O57" i="62" s="1"/>
  <c r="H29" i="62"/>
  <c r="N2" i="62"/>
  <c r="N5" i="62" s="1"/>
  <c r="H4" i="62"/>
  <c r="H37" i="62"/>
  <c r="H13" i="62"/>
  <c r="H41" i="62"/>
  <c r="CB189" i="61"/>
  <c r="CB217" i="61"/>
  <c r="CB234" i="61"/>
  <c r="CB208" i="61"/>
  <c r="CB203" i="61"/>
  <c r="CB212" i="61"/>
  <c r="CB225" i="61"/>
  <c r="C103" i="61"/>
  <c r="CB216" i="61"/>
  <c r="CB236" i="61"/>
  <c r="CB230" i="61"/>
  <c r="CB246" i="61"/>
  <c r="J61" i="61"/>
  <c r="L73" i="61"/>
  <c r="I76" i="61"/>
  <c r="B112" i="61"/>
  <c r="CA191" i="61"/>
  <c r="I61" i="61"/>
  <c r="F103" i="61"/>
  <c r="H103" i="61" s="1"/>
  <c r="F105" i="61"/>
  <c r="H105" i="61" s="1"/>
  <c r="F107" i="61"/>
  <c r="H107" i="61" s="1"/>
  <c r="L59" i="61"/>
  <c r="L74" i="61"/>
  <c r="CB221" i="61"/>
  <c r="CB240" i="61"/>
  <c r="CB248" i="61"/>
  <c r="I88" i="61" l="1"/>
  <c r="BJ142" i="61" s="1"/>
  <c r="H142" i="61" s="1"/>
  <c r="I89" i="61"/>
  <c r="BJ169" i="61" s="1"/>
  <c r="H169" i="61" s="1"/>
  <c r="N57" i="62"/>
  <c r="D173" i="61" s="1"/>
  <c r="D121" i="61"/>
  <c r="N7" i="62"/>
  <c r="D123" i="61" s="1"/>
  <c r="I90" i="61"/>
  <c r="BJ181" i="61" s="1"/>
  <c r="CA203" i="61"/>
  <c r="CA199" i="61"/>
  <c r="CA248" i="61"/>
  <c r="CB192" i="61"/>
  <c r="CA195" i="61"/>
  <c r="N43" i="62"/>
  <c r="D159" i="61" s="1"/>
  <c r="N39" i="62"/>
  <c r="D155" i="61" s="1"/>
  <c r="N35" i="62"/>
  <c r="D151" i="61" s="1"/>
  <c r="N31" i="62"/>
  <c r="D147" i="61" s="1"/>
  <c r="N27" i="62"/>
  <c r="D143" i="61" s="1"/>
  <c r="N23" i="62"/>
  <c r="D139" i="61" s="1"/>
  <c r="N19" i="62"/>
  <c r="D135" i="61" s="1"/>
  <c r="N15" i="62"/>
  <c r="D131" i="61" s="1"/>
  <c r="N11" i="62"/>
  <c r="D127" i="61" s="1"/>
  <c r="N40" i="62"/>
  <c r="D156" i="61" s="1"/>
  <c r="N36" i="62"/>
  <c r="D152" i="61" s="1"/>
  <c r="N32" i="62"/>
  <c r="D148" i="61" s="1"/>
  <c r="N28" i="62"/>
  <c r="D144" i="61" s="1"/>
  <c r="N24" i="62"/>
  <c r="D140" i="61" s="1"/>
  <c r="N20" i="62"/>
  <c r="D136" i="61" s="1"/>
  <c r="N16" i="62"/>
  <c r="D132" i="61" s="1"/>
  <c r="N12" i="62"/>
  <c r="D128" i="61" s="1"/>
  <c r="N8" i="62"/>
  <c r="D124" i="61" s="1"/>
  <c r="N65" i="62"/>
  <c r="D181" i="61" s="1"/>
  <c r="N64" i="62"/>
  <c r="D180" i="61" s="1"/>
  <c r="N63" i="62"/>
  <c r="D179" i="61" s="1"/>
  <c r="N62" i="62"/>
  <c r="D178" i="61" s="1"/>
  <c r="N61" i="62"/>
  <c r="D177" i="61" s="1"/>
  <c r="N60" i="62"/>
  <c r="D176" i="61" s="1"/>
  <c r="N59" i="62"/>
  <c r="D175" i="61" s="1"/>
  <c r="N58" i="62"/>
  <c r="D174" i="61" s="1"/>
  <c r="N56" i="62"/>
  <c r="D172" i="61" s="1"/>
  <c r="N55" i="62"/>
  <c r="D171" i="61" s="1"/>
  <c r="N54" i="62"/>
  <c r="D170" i="61" s="1"/>
  <c r="N53" i="62"/>
  <c r="D169" i="61" s="1"/>
  <c r="N52" i="62"/>
  <c r="D168" i="61" s="1"/>
  <c r="N51" i="62"/>
  <c r="D167" i="61" s="1"/>
  <c r="N50" i="62"/>
  <c r="D166" i="61" s="1"/>
  <c r="N49" i="62"/>
  <c r="D165" i="61" s="1"/>
  <c r="N48" i="62"/>
  <c r="D164" i="61" s="1"/>
  <c r="N47" i="62"/>
  <c r="D163" i="61" s="1"/>
  <c r="N46" i="62"/>
  <c r="D162" i="61" s="1"/>
  <c r="N45" i="62"/>
  <c r="D161" i="61" s="1"/>
  <c r="N44" i="62"/>
  <c r="D160" i="61" s="1"/>
  <c r="N41" i="62"/>
  <c r="D157" i="61" s="1"/>
  <c r="N37" i="62"/>
  <c r="D153" i="61" s="1"/>
  <c r="N33" i="62"/>
  <c r="D149" i="61" s="1"/>
  <c r="N29" i="62"/>
  <c r="D145" i="61" s="1"/>
  <c r="N25" i="62"/>
  <c r="D141" i="61" s="1"/>
  <c r="N21" i="62"/>
  <c r="D137" i="61" s="1"/>
  <c r="N17" i="62"/>
  <c r="D133" i="61" s="1"/>
  <c r="N13" i="62"/>
  <c r="D129" i="61" s="1"/>
  <c r="N9" i="62"/>
  <c r="D125" i="61" s="1"/>
  <c r="O40" i="62"/>
  <c r="O36" i="62"/>
  <c r="O32" i="62"/>
  <c r="O28" i="62"/>
  <c r="O24" i="62"/>
  <c r="O20" i="62"/>
  <c r="O16" i="62"/>
  <c r="O12" i="62"/>
  <c r="O8" i="62"/>
  <c r="O7" i="62"/>
  <c r="O6" i="62"/>
  <c r="O65" i="62"/>
  <c r="O64" i="62"/>
  <c r="O63" i="62"/>
  <c r="O62" i="62"/>
  <c r="O61" i="62"/>
  <c r="O60" i="62"/>
  <c r="O59" i="62"/>
  <c r="O58" i="62"/>
  <c r="O56" i="62"/>
  <c r="O55" i="62"/>
  <c r="O54" i="62"/>
  <c r="O53" i="62"/>
  <c r="O52" i="62"/>
  <c r="O51" i="62"/>
  <c r="O50" i="62"/>
  <c r="O49" i="62"/>
  <c r="O48" i="62"/>
  <c r="O47" i="62"/>
  <c r="O46" i="62"/>
  <c r="O45" i="62"/>
  <c r="O44" i="62"/>
  <c r="O41" i="62"/>
  <c r="O37" i="62"/>
  <c r="O33" i="62"/>
  <c r="O29" i="62"/>
  <c r="O25" i="62"/>
  <c r="O21" i="62"/>
  <c r="O17" i="62"/>
  <c r="O13" i="62"/>
  <c r="O9" i="62"/>
  <c r="O42" i="62"/>
  <c r="O38" i="62"/>
  <c r="O34" i="62"/>
  <c r="O30" i="62"/>
  <c r="O26" i="62"/>
  <c r="O22" i="62"/>
  <c r="O18" i="62"/>
  <c r="O14" i="62"/>
  <c r="O10" i="62"/>
  <c r="N10" i="62"/>
  <c r="D126" i="61" s="1"/>
  <c r="F12" i="62"/>
  <c r="O15" i="62"/>
  <c r="N18" i="62"/>
  <c r="D134" i="61" s="1"/>
  <c r="F20" i="62"/>
  <c r="O23" i="62"/>
  <c r="N26" i="62"/>
  <c r="D142" i="61" s="1"/>
  <c r="F28" i="62"/>
  <c r="O31" i="62"/>
  <c r="N34" i="62"/>
  <c r="D150" i="61" s="1"/>
  <c r="F36" i="62"/>
  <c r="O39" i="62"/>
  <c r="N42" i="62"/>
  <c r="D158" i="61" s="1"/>
  <c r="H5" i="62"/>
  <c r="F6" i="62"/>
  <c r="H9" i="62"/>
  <c r="H17" i="62"/>
  <c r="H25" i="62"/>
  <c r="H33" i="62"/>
  <c r="H42" i="62"/>
  <c r="F41" i="62"/>
  <c r="H38" i="62"/>
  <c r="F37" i="62"/>
  <c r="H34" i="62"/>
  <c r="F33" i="62"/>
  <c r="H30" i="62"/>
  <c r="F29" i="62"/>
  <c r="H26" i="62"/>
  <c r="F25" i="62"/>
  <c r="H22" i="62"/>
  <c r="F21" i="62"/>
  <c r="H18" i="62"/>
  <c r="F17" i="62"/>
  <c r="H14" i="62"/>
  <c r="F13" i="62"/>
  <c r="H10" i="62"/>
  <c r="F9" i="62"/>
  <c r="H43" i="62"/>
  <c r="F42" i="62"/>
  <c r="H39" i="62"/>
  <c r="F38" i="62"/>
  <c r="H35" i="62"/>
  <c r="F34" i="62"/>
  <c r="H31" i="62"/>
  <c r="F30" i="62"/>
  <c r="H27" i="62"/>
  <c r="F26" i="62"/>
  <c r="H23" i="62"/>
  <c r="F22" i="62"/>
  <c r="H19" i="62"/>
  <c r="F18" i="62"/>
  <c r="H15" i="62"/>
  <c r="F14" i="62"/>
  <c r="H11" i="62"/>
  <c r="F10" i="62"/>
  <c r="F43" i="62"/>
  <c r="H40" i="62"/>
  <c r="F39" i="62"/>
  <c r="H36" i="62"/>
  <c r="F35" i="62"/>
  <c r="H32" i="62"/>
  <c r="F31" i="62"/>
  <c r="H28" i="62"/>
  <c r="F27" i="62"/>
  <c r="H24" i="62"/>
  <c r="F23" i="62"/>
  <c r="H20" i="62"/>
  <c r="F19" i="62"/>
  <c r="H16" i="62"/>
  <c r="F15" i="62"/>
  <c r="H12" i="62"/>
  <c r="F11" i="62"/>
  <c r="H8" i="62"/>
  <c r="H7" i="62"/>
  <c r="H6" i="62"/>
  <c r="F5" i="62"/>
  <c r="F4" i="62"/>
  <c r="O5" i="62"/>
  <c r="N6" i="62"/>
  <c r="D122" i="61" s="1"/>
  <c r="F7" i="62"/>
  <c r="F8" i="62"/>
  <c r="O11" i="62"/>
  <c r="N14" i="62"/>
  <c r="D130" i="61" s="1"/>
  <c r="F16" i="62"/>
  <c r="O19" i="62"/>
  <c r="N22" i="62"/>
  <c r="D138" i="61" s="1"/>
  <c r="F24" i="62"/>
  <c r="O27" i="62"/>
  <c r="N30" i="62"/>
  <c r="D146" i="61" s="1"/>
  <c r="F32" i="62"/>
  <c r="O35" i="62"/>
  <c r="N38" i="62"/>
  <c r="D154" i="61" s="1"/>
  <c r="F40" i="62"/>
  <c r="O43" i="62"/>
  <c r="J104" i="61"/>
  <c r="H104" i="61"/>
  <c r="H108" i="61" s="1"/>
  <c r="J106" i="61"/>
  <c r="H106" i="61"/>
  <c r="L60" i="61"/>
  <c r="L61" i="61" s="1"/>
  <c r="M58" i="61" s="1"/>
  <c r="K61" i="61"/>
  <c r="L75" i="61"/>
  <c r="K76" i="61"/>
  <c r="BR181" i="61"/>
  <c r="BR178" i="61"/>
  <c r="BR174" i="61"/>
  <c r="BR177" i="61"/>
  <c r="BR173" i="61"/>
  <c r="BR180" i="61"/>
  <c r="BR176" i="61"/>
  <c r="BR172" i="61"/>
  <c r="BR179" i="61"/>
  <c r="BR175" i="61"/>
  <c r="BR171" i="61"/>
  <c r="BR238" i="61"/>
  <c r="BR237" i="61"/>
  <c r="G102" i="61"/>
  <c r="C104" i="61"/>
  <c r="C106" i="61"/>
  <c r="BA143" i="61"/>
  <c r="BJ236" i="61"/>
  <c r="H236" i="61" s="1"/>
  <c r="BJ233" i="61"/>
  <c r="H233" i="61" s="1"/>
  <c r="F233" i="61" s="1"/>
  <c r="BJ229" i="61"/>
  <c r="H229" i="61" s="1"/>
  <c r="F229" i="61" s="1"/>
  <c r="BJ235" i="61"/>
  <c r="H235" i="61" s="1"/>
  <c r="F235" i="61" s="1"/>
  <c r="BJ232" i="61"/>
  <c r="H232" i="61" s="1"/>
  <c r="F232" i="61" s="1"/>
  <c r="BJ228" i="61"/>
  <c r="H228" i="61" s="1"/>
  <c r="F228" i="61" s="1"/>
  <c r="BJ231" i="61"/>
  <c r="H231" i="61" s="1"/>
  <c r="F231" i="61" s="1"/>
  <c r="BJ234" i="61"/>
  <c r="H234" i="61" s="1"/>
  <c r="F234" i="61" s="1"/>
  <c r="BJ230" i="61"/>
  <c r="H230" i="61" s="1"/>
  <c r="F230" i="61" s="1"/>
  <c r="BJ224" i="61"/>
  <c r="H224" i="61" s="1"/>
  <c r="F224" i="61" s="1"/>
  <c r="BJ220" i="61"/>
  <c r="H220" i="61" s="1"/>
  <c r="F220" i="61" s="1"/>
  <c r="BJ223" i="61"/>
  <c r="H223" i="61" s="1"/>
  <c r="F223" i="61" s="1"/>
  <c r="BJ219" i="61"/>
  <c r="H219" i="61" s="1"/>
  <c r="F219" i="61" s="1"/>
  <c r="BJ227" i="61"/>
  <c r="H227" i="61" s="1"/>
  <c r="F227" i="61" s="1"/>
  <c r="BJ226" i="61"/>
  <c r="H226" i="61" s="1"/>
  <c r="F226" i="61" s="1"/>
  <c r="BJ222" i="61"/>
  <c r="H222" i="61" s="1"/>
  <c r="F222" i="61" s="1"/>
  <c r="BJ218" i="61"/>
  <c r="H218" i="61" s="1"/>
  <c r="F218" i="61" s="1"/>
  <c r="BJ225" i="61"/>
  <c r="H225" i="61" s="1"/>
  <c r="F225" i="61" s="1"/>
  <c r="BJ221" i="61"/>
  <c r="H221" i="61" s="1"/>
  <c r="F221" i="61" s="1"/>
  <c r="BJ217" i="61"/>
  <c r="H217" i="61" s="1"/>
  <c r="F217" i="61" s="1"/>
  <c r="BJ215" i="61"/>
  <c r="H215" i="61" s="1"/>
  <c r="F215" i="61" s="1"/>
  <c r="BJ211" i="61"/>
  <c r="H211" i="61" s="1"/>
  <c r="F211" i="61" s="1"/>
  <c r="BJ214" i="61"/>
  <c r="H214" i="61" s="1"/>
  <c r="F214" i="61" s="1"/>
  <c r="BJ210" i="61"/>
  <c r="H210" i="61" s="1"/>
  <c r="F210" i="61" s="1"/>
  <c r="BJ206" i="61"/>
  <c r="H206" i="61" s="1"/>
  <c r="F206" i="61" s="1"/>
  <c r="BJ213" i="61"/>
  <c r="H213" i="61" s="1"/>
  <c r="F213" i="61" s="1"/>
  <c r="BJ209" i="61"/>
  <c r="H209" i="61" s="1"/>
  <c r="F209" i="61" s="1"/>
  <c r="BJ216" i="61"/>
  <c r="H216" i="61" s="1"/>
  <c r="F216" i="61" s="1"/>
  <c r="BJ212" i="61"/>
  <c r="H212" i="61" s="1"/>
  <c r="F212" i="61" s="1"/>
  <c r="BJ208" i="61"/>
  <c r="H208" i="61" s="1"/>
  <c r="F208" i="61" s="1"/>
  <c r="BJ202" i="61"/>
  <c r="H202" i="61" s="1"/>
  <c r="F202" i="61" s="1"/>
  <c r="BJ198" i="61"/>
  <c r="H198" i="61" s="1"/>
  <c r="F198" i="61" s="1"/>
  <c r="BJ194" i="61"/>
  <c r="H194" i="61" s="1"/>
  <c r="F194" i="61" s="1"/>
  <c r="BJ207" i="61"/>
  <c r="H207" i="61" s="1"/>
  <c r="F207" i="61" s="1"/>
  <c r="BJ205" i="61"/>
  <c r="H205" i="61" s="1"/>
  <c r="F205" i="61" s="1"/>
  <c r="BJ201" i="61"/>
  <c r="H201" i="61" s="1"/>
  <c r="F201" i="61" s="1"/>
  <c r="BJ197" i="61"/>
  <c r="H197" i="61" s="1"/>
  <c r="F197" i="61" s="1"/>
  <c r="BJ193" i="61"/>
  <c r="H193" i="61" s="1"/>
  <c r="F193" i="61" s="1"/>
  <c r="BJ189" i="61"/>
  <c r="H189" i="61" s="1"/>
  <c r="F189" i="61" s="1"/>
  <c r="BJ203" i="61"/>
  <c r="H203" i="61" s="1"/>
  <c r="F203" i="61" s="1"/>
  <c r="BJ199" i="61"/>
  <c r="H199" i="61" s="1"/>
  <c r="F199" i="61" s="1"/>
  <c r="BJ195" i="61"/>
  <c r="H195" i="61" s="1"/>
  <c r="F195" i="61" s="1"/>
  <c r="BJ191" i="61"/>
  <c r="H191" i="61" s="1"/>
  <c r="F191" i="61" s="1"/>
  <c r="BJ196" i="61"/>
  <c r="H196" i="61" s="1"/>
  <c r="F196" i="61" s="1"/>
  <c r="BJ200" i="61"/>
  <c r="H200" i="61" s="1"/>
  <c r="F200" i="61" s="1"/>
  <c r="BJ190" i="61"/>
  <c r="H190" i="61" s="1"/>
  <c r="F190" i="61" s="1"/>
  <c r="BJ204" i="61"/>
  <c r="H204" i="61" s="1"/>
  <c r="F204" i="61" s="1"/>
  <c r="BJ192" i="61"/>
  <c r="H192" i="61" s="1"/>
  <c r="F192" i="61" s="1"/>
  <c r="BJ249" i="61"/>
  <c r="BJ248" i="61"/>
  <c r="H248" i="61" s="1"/>
  <c r="BJ244" i="61"/>
  <c r="H244" i="61" s="1"/>
  <c r="BJ247" i="61"/>
  <c r="H247" i="61" s="1"/>
  <c r="BJ246" i="61"/>
  <c r="H246" i="61" s="1"/>
  <c r="BJ245" i="61"/>
  <c r="H245" i="61" s="1"/>
  <c r="BJ243" i="61"/>
  <c r="H243" i="61" s="1"/>
  <c r="BJ239" i="61"/>
  <c r="H239" i="61" s="1"/>
  <c r="BJ242" i="61"/>
  <c r="H242" i="61" s="1"/>
  <c r="BJ241" i="61"/>
  <c r="H241" i="61" s="1"/>
  <c r="BJ240" i="61"/>
  <c r="H240" i="61" s="1"/>
  <c r="J103" i="61"/>
  <c r="J105" i="61"/>
  <c r="J107" i="61"/>
  <c r="BR236" i="61"/>
  <c r="BR233" i="61"/>
  <c r="BR229" i="61"/>
  <c r="BR235" i="61"/>
  <c r="BR232" i="61"/>
  <c r="BR228" i="61"/>
  <c r="BR231" i="61"/>
  <c r="BR234" i="61"/>
  <c r="BR230" i="61"/>
  <c r="BR224" i="61"/>
  <c r="BR220" i="61"/>
  <c r="BR223" i="61"/>
  <c r="BR219" i="61"/>
  <c r="BR227" i="61"/>
  <c r="BR226" i="61"/>
  <c r="BR222" i="61"/>
  <c r="BR218" i="61"/>
  <c r="BR225" i="61"/>
  <c r="BR221" i="61"/>
  <c r="BR217" i="61"/>
  <c r="BR215" i="61"/>
  <c r="BR211" i="61"/>
  <c r="BR214" i="61"/>
  <c r="BR210" i="61"/>
  <c r="BR206" i="61"/>
  <c r="BR213" i="61"/>
  <c r="BR209" i="61"/>
  <c r="BR216" i="61"/>
  <c r="BR212" i="61"/>
  <c r="BR208" i="61"/>
  <c r="BR202" i="61"/>
  <c r="BR198" i="61"/>
  <c r="BR194" i="61"/>
  <c r="BR207" i="61"/>
  <c r="BR205" i="61"/>
  <c r="BR201" i="61"/>
  <c r="BR197" i="61"/>
  <c r="BR193" i="61"/>
  <c r="BR189" i="61"/>
  <c r="BR203" i="61"/>
  <c r="BR199" i="61"/>
  <c r="BR195" i="61"/>
  <c r="BR191" i="61"/>
  <c r="BR204" i="61"/>
  <c r="BR196" i="61"/>
  <c r="BR190" i="61"/>
  <c r="BR200" i="61"/>
  <c r="BR192" i="61"/>
  <c r="BR248" i="61"/>
  <c r="BR244" i="61"/>
  <c r="BR249" i="61"/>
  <c r="BR247" i="61"/>
  <c r="BR246" i="61"/>
  <c r="BR245" i="61"/>
  <c r="BR243" i="61"/>
  <c r="BR239" i="61"/>
  <c r="BR242" i="61"/>
  <c r="BR241" i="61"/>
  <c r="BR240" i="61"/>
  <c r="E104" i="61"/>
  <c r="E106" i="61"/>
  <c r="BA121" i="61"/>
  <c r="BA122" i="61"/>
  <c r="BA123" i="61"/>
  <c r="BA124" i="61"/>
  <c r="BA125" i="61"/>
  <c r="BA126" i="61"/>
  <c r="BA127" i="61"/>
  <c r="BA128" i="61"/>
  <c r="BA129" i="61"/>
  <c r="BA130" i="61"/>
  <c r="BA131" i="61"/>
  <c r="BA132" i="61"/>
  <c r="BA133" i="61"/>
  <c r="BA134" i="61"/>
  <c r="BA135" i="61"/>
  <c r="BA136" i="61"/>
  <c r="BA137" i="61"/>
  <c r="BA138" i="61"/>
  <c r="BA139" i="61"/>
  <c r="BA140" i="61"/>
  <c r="BA141" i="61"/>
  <c r="BA142" i="61"/>
  <c r="BA144" i="61"/>
  <c r="BJ156" i="61"/>
  <c r="H156" i="61" s="1"/>
  <c r="BJ238" i="61"/>
  <c r="H238" i="61" s="1"/>
  <c r="BJ237" i="61"/>
  <c r="H237" i="61" s="1"/>
  <c r="BJ124" i="61"/>
  <c r="H124" i="61" s="1"/>
  <c r="BJ128" i="61"/>
  <c r="H128" i="61" s="1"/>
  <c r="BJ132" i="61"/>
  <c r="H132" i="61" s="1"/>
  <c r="BJ135" i="61"/>
  <c r="H135" i="61" s="1"/>
  <c r="BJ137" i="61"/>
  <c r="H137" i="61" s="1"/>
  <c r="BJ139" i="61"/>
  <c r="H139" i="61" s="1"/>
  <c r="BJ141" i="61"/>
  <c r="H141" i="61" s="1"/>
  <c r="BA158" i="61"/>
  <c r="BA159" i="61"/>
  <c r="BA160" i="61"/>
  <c r="BA161" i="61"/>
  <c r="BA162" i="61"/>
  <c r="BA163" i="61"/>
  <c r="BA164" i="61"/>
  <c r="BA165" i="61"/>
  <c r="CA197" i="61"/>
  <c r="CB197" i="61"/>
  <c r="BA190" i="61"/>
  <c r="CA189" i="61"/>
  <c r="CA193" i="61"/>
  <c r="CB193" i="61"/>
  <c r="BA202" i="61"/>
  <c r="CB204" i="61"/>
  <c r="CA204" i="61"/>
  <c r="BA207" i="61"/>
  <c r="CB209" i="61"/>
  <c r="CA209" i="61"/>
  <c r="CB213" i="61"/>
  <c r="CA213" i="61"/>
  <c r="BA198" i="61"/>
  <c r="CB200" i="61"/>
  <c r="CA200" i="61"/>
  <c r="CA205" i="61"/>
  <c r="CB205" i="61"/>
  <c r="BA194" i="61"/>
  <c r="CB196" i="61"/>
  <c r="CA196" i="61"/>
  <c r="CA201" i="61"/>
  <c r="CB201" i="61"/>
  <c r="CM250" i="61"/>
  <c r="E256" i="61" s="1"/>
  <c r="F256" i="61" s="1"/>
  <c r="CA206" i="61"/>
  <c r="CB210" i="61"/>
  <c r="CB214" i="61"/>
  <c r="CB222" i="61"/>
  <c r="CA222" i="61"/>
  <c r="CA208" i="61"/>
  <c r="CA212" i="61"/>
  <c r="CA216" i="61"/>
  <c r="CA217" i="61"/>
  <c r="BA211" i="61"/>
  <c r="BA215" i="61"/>
  <c r="CB218" i="61"/>
  <c r="CA218" i="61"/>
  <c r="CB219" i="61"/>
  <c r="CB223" i="61"/>
  <c r="BA226" i="61"/>
  <c r="CA228" i="61"/>
  <c r="CB228" i="61"/>
  <c r="CA221" i="61"/>
  <c r="CA225" i="61"/>
  <c r="CB229" i="61"/>
  <c r="CA229" i="61"/>
  <c r="CB233" i="61"/>
  <c r="CA233" i="61"/>
  <c r="BA220" i="61"/>
  <c r="BA224" i="61"/>
  <c r="CB227" i="61"/>
  <c r="BA231" i="61"/>
  <c r="CB232" i="61"/>
  <c r="BA235" i="61"/>
  <c r="CB237" i="61"/>
  <c r="CA237" i="61"/>
  <c r="CA230" i="61"/>
  <c r="CA234" i="61"/>
  <c r="CA236" i="61"/>
  <c r="CB241" i="61"/>
  <c r="CA241" i="61"/>
  <c r="CB238" i="61"/>
  <c r="CB242" i="61"/>
  <c r="CA240" i="61"/>
  <c r="CA244" i="61"/>
  <c r="BA239" i="61"/>
  <c r="BA243" i="61"/>
  <c r="CB245" i="61"/>
  <c r="CA245" i="61"/>
  <c r="BA247" i="61"/>
  <c r="CA246" i="61"/>
  <c r="CA249" i="61"/>
  <c r="BJ147" i="61" l="1"/>
  <c r="H147" i="61" s="1"/>
  <c r="BJ140" i="61"/>
  <c r="H140" i="61" s="1"/>
  <c r="BJ136" i="61"/>
  <c r="H136" i="61" s="1"/>
  <c r="BJ130" i="61"/>
  <c r="H130" i="61" s="1"/>
  <c r="BJ151" i="61"/>
  <c r="H151" i="61" s="1"/>
  <c r="BJ138" i="61"/>
  <c r="H138" i="61" s="1"/>
  <c r="BJ134" i="61"/>
  <c r="H134" i="61" s="1"/>
  <c r="BJ126" i="61"/>
  <c r="H126" i="61" s="1"/>
  <c r="BJ143" i="61"/>
  <c r="H143" i="61" s="1"/>
  <c r="BJ145" i="61"/>
  <c r="H145" i="61" s="1"/>
  <c r="BJ153" i="61"/>
  <c r="H153" i="61" s="1"/>
  <c r="BJ149" i="61"/>
  <c r="H149" i="61" s="1"/>
  <c r="BJ133" i="61"/>
  <c r="H133" i="61" s="1"/>
  <c r="BJ129" i="61"/>
  <c r="H129" i="61" s="1"/>
  <c r="BJ125" i="61"/>
  <c r="H125" i="61" s="1"/>
  <c r="BJ146" i="61"/>
  <c r="H146" i="61" s="1"/>
  <c r="BJ150" i="61"/>
  <c r="H150" i="61" s="1"/>
  <c r="BJ154" i="61"/>
  <c r="H154" i="61" s="1"/>
  <c r="BJ131" i="61"/>
  <c r="H131" i="61" s="1"/>
  <c r="BJ127" i="61"/>
  <c r="H127" i="61" s="1"/>
  <c r="BJ123" i="61"/>
  <c r="H123" i="61" s="1"/>
  <c r="BJ144" i="61"/>
  <c r="H144" i="61" s="1"/>
  <c r="BJ148" i="61"/>
  <c r="H148" i="61" s="1"/>
  <c r="BJ152" i="61"/>
  <c r="H152" i="61" s="1"/>
  <c r="BJ160" i="61"/>
  <c r="H160" i="61" s="1"/>
  <c r="BJ155" i="61"/>
  <c r="H155" i="61" s="1"/>
  <c r="BJ164" i="61"/>
  <c r="H164" i="61" s="1"/>
  <c r="BJ157" i="61"/>
  <c r="H157" i="61" s="1"/>
  <c r="BJ158" i="61"/>
  <c r="H158" i="61" s="1"/>
  <c r="BJ159" i="61"/>
  <c r="H159" i="61" s="1"/>
  <c r="BJ168" i="61"/>
  <c r="H168" i="61" s="1"/>
  <c r="BJ166" i="61"/>
  <c r="H166" i="61" s="1"/>
  <c r="BJ162" i="61"/>
  <c r="H162" i="61" s="1"/>
  <c r="BJ163" i="61"/>
  <c r="H163" i="61" s="1"/>
  <c r="BJ167" i="61"/>
  <c r="H167" i="61" s="1"/>
  <c r="BJ161" i="61"/>
  <c r="H161" i="61" s="1"/>
  <c r="BJ165" i="61"/>
  <c r="H165" i="61" s="1"/>
  <c r="BJ121" i="61"/>
  <c r="H121" i="61" s="1"/>
  <c r="BJ122" i="61"/>
  <c r="H122" i="61" s="1"/>
  <c r="J89" i="61"/>
  <c r="J88" i="61"/>
  <c r="BR154" i="61" s="1"/>
  <c r="BU154" i="61" s="1"/>
  <c r="I154" i="61" s="1"/>
  <c r="BJ180" i="61"/>
  <c r="H180" i="61" s="1"/>
  <c r="BJ170" i="61"/>
  <c r="H170" i="61" s="1"/>
  <c r="BJ175" i="61"/>
  <c r="H175" i="61" s="1"/>
  <c r="BJ174" i="61"/>
  <c r="H174" i="61" s="1"/>
  <c r="BJ179" i="61"/>
  <c r="H179" i="61" s="1"/>
  <c r="BJ173" i="61"/>
  <c r="H173" i="61" s="1"/>
  <c r="BJ178" i="61"/>
  <c r="H178" i="61" s="1"/>
  <c r="BJ172" i="61"/>
  <c r="H172" i="61" s="1"/>
  <c r="BJ177" i="61"/>
  <c r="H177" i="61" s="1"/>
  <c r="BJ171" i="61"/>
  <c r="H171" i="61" s="1"/>
  <c r="BJ176" i="61"/>
  <c r="H176" i="61" s="1"/>
  <c r="P6" i="62"/>
  <c r="P7" i="62" s="1"/>
  <c r="P8" i="62" s="1"/>
  <c r="P9" i="62" s="1"/>
  <c r="P10" i="62" s="1"/>
  <c r="P11" i="62" s="1"/>
  <c r="P12" i="62" s="1"/>
  <c r="P13" i="62" s="1"/>
  <c r="P14" i="62" s="1"/>
  <c r="P15" i="62" s="1"/>
  <c r="P16" i="62" s="1"/>
  <c r="P17" i="62" s="1"/>
  <c r="P18" i="62" s="1"/>
  <c r="P19" i="62" s="1"/>
  <c r="P20" i="62" s="1"/>
  <c r="P21" i="62" s="1"/>
  <c r="P22" i="62" s="1"/>
  <c r="P23" i="62" s="1"/>
  <c r="P24" i="62" s="1"/>
  <c r="P25" i="62" s="1"/>
  <c r="P26" i="62" s="1"/>
  <c r="P27" i="62" s="1"/>
  <c r="P28" i="62" s="1"/>
  <c r="P29" i="62" s="1"/>
  <c r="P30" i="62" s="1"/>
  <c r="P31" i="62" s="1"/>
  <c r="P32" i="62" s="1"/>
  <c r="P33" i="62" s="1"/>
  <c r="P34" i="62" s="1"/>
  <c r="P35" i="62" s="1"/>
  <c r="P36" i="62" s="1"/>
  <c r="P37" i="62" s="1"/>
  <c r="P38" i="62" s="1"/>
  <c r="P39" i="62" s="1"/>
  <c r="P40" i="62" s="1"/>
  <c r="P41" i="62" s="1"/>
  <c r="P42" i="62" s="1"/>
  <c r="P43" i="62" s="1"/>
  <c r="P44" i="62" s="1"/>
  <c r="P45" i="62" s="1"/>
  <c r="P46" i="62" s="1"/>
  <c r="P47" i="62" s="1"/>
  <c r="P48" i="62" s="1"/>
  <c r="P49" i="62" s="1"/>
  <c r="P50" i="62" s="1"/>
  <c r="P51" i="62" s="1"/>
  <c r="P52" i="62" s="1"/>
  <c r="P53" i="62" s="1"/>
  <c r="P54" i="62" s="1"/>
  <c r="P55" i="62" s="1"/>
  <c r="P56" i="62" s="1"/>
  <c r="P57" i="62" s="1"/>
  <c r="P58" i="62" s="1"/>
  <c r="P59" i="62" s="1"/>
  <c r="P60" i="62" s="1"/>
  <c r="P61" i="62" s="1"/>
  <c r="P62" i="62" s="1"/>
  <c r="P63" i="62" s="1"/>
  <c r="P64" i="62" s="1"/>
  <c r="P65" i="62" s="1"/>
  <c r="F44" i="62"/>
  <c r="N19" i="61" s="1"/>
  <c r="BU175" i="61"/>
  <c r="BU180" i="61"/>
  <c r="I180" i="61" s="1"/>
  <c r="BU178" i="61"/>
  <c r="I178" i="61" s="1"/>
  <c r="BU176" i="61"/>
  <c r="I176" i="61" s="1"/>
  <c r="BU179" i="61"/>
  <c r="I179" i="61" s="1"/>
  <c r="BU173" i="61"/>
  <c r="I173" i="61" s="1"/>
  <c r="BU181" i="61"/>
  <c r="I181" i="61" s="1"/>
  <c r="CY181" i="61" s="1"/>
  <c r="BU171" i="61"/>
  <c r="BU174" i="61"/>
  <c r="I174" i="61" s="1"/>
  <c r="BU172" i="61"/>
  <c r="I172" i="61" s="1"/>
  <c r="BU177" i="61"/>
  <c r="I177" i="61" s="1"/>
  <c r="BU245" i="61"/>
  <c r="I245" i="61" s="1"/>
  <c r="BU207" i="61"/>
  <c r="I207" i="61" s="1"/>
  <c r="J207" i="61" s="1"/>
  <c r="K207" i="61" s="1"/>
  <c r="BU227" i="61"/>
  <c r="I227" i="61" s="1"/>
  <c r="J227" i="61" s="1"/>
  <c r="K227" i="61" s="1"/>
  <c r="BU233" i="61"/>
  <c r="I233" i="61" s="1"/>
  <c r="J233" i="61" s="1"/>
  <c r="K233" i="61" s="1"/>
  <c r="BU242" i="61"/>
  <c r="I242" i="61" s="1"/>
  <c r="BU246" i="61"/>
  <c r="I246" i="61" s="1"/>
  <c r="CY246" i="61" s="1"/>
  <c r="BU248" i="61"/>
  <c r="I248" i="61" s="1"/>
  <c r="CY248" i="61" s="1"/>
  <c r="BU196" i="61"/>
  <c r="I196" i="61" s="1"/>
  <c r="CY196" i="61" s="1"/>
  <c r="BU199" i="61"/>
  <c r="I199" i="61" s="1"/>
  <c r="J199" i="61" s="1"/>
  <c r="K199" i="61" s="1"/>
  <c r="BU197" i="61"/>
  <c r="I197" i="61" s="1"/>
  <c r="CY197" i="61" s="1"/>
  <c r="BU194" i="61"/>
  <c r="I194" i="61" s="1"/>
  <c r="CY194" i="61" s="1"/>
  <c r="BU212" i="61"/>
  <c r="I212" i="61" s="1"/>
  <c r="J212" i="61" s="1"/>
  <c r="K212" i="61" s="1"/>
  <c r="BU206" i="61"/>
  <c r="I206" i="61" s="1"/>
  <c r="CY206" i="61" s="1"/>
  <c r="BU215" i="61"/>
  <c r="I215" i="61" s="1"/>
  <c r="J215" i="61" s="1"/>
  <c r="K215" i="61" s="1"/>
  <c r="BU218" i="61"/>
  <c r="I218" i="61" s="1"/>
  <c r="CY218" i="61" s="1"/>
  <c r="BU219" i="61"/>
  <c r="I219" i="61" s="1"/>
  <c r="CY219" i="61" s="1"/>
  <c r="BU230" i="61"/>
  <c r="I230" i="61" s="1"/>
  <c r="CY230" i="61" s="1"/>
  <c r="BU232" i="61"/>
  <c r="I232" i="61" s="1"/>
  <c r="J232" i="61" s="1"/>
  <c r="K232" i="61" s="1"/>
  <c r="BU236" i="61"/>
  <c r="H260" i="61" s="1"/>
  <c r="BU241" i="61"/>
  <c r="I241" i="61" s="1"/>
  <c r="CY241" i="61" s="1"/>
  <c r="BU190" i="61"/>
  <c r="I190" i="61" s="1"/>
  <c r="J190" i="61" s="1"/>
  <c r="K190" i="61" s="1"/>
  <c r="BU193" i="61"/>
  <c r="I193" i="61" s="1"/>
  <c r="CY193" i="61" s="1"/>
  <c r="BU213" i="61"/>
  <c r="I213" i="61" s="1"/>
  <c r="J213" i="61" s="1"/>
  <c r="K213" i="61" s="1"/>
  <c r="BU225" i="61"/>
  <c r="I225" i="61" s="1"/>
  <c r="J225" i="61" s="1"/>
  <c r="K225" i="61" s="1"/>
  <c r="BU228" i="61"/>
  <c r="I228" i="61" s="1"/>
  <c r="CY228" i="61" s="1"/>
  <c r="BU239" i="61"/>
  <c r="I239" i="61" s="1"/>
  <c r="CY239" i="61" s="1"/>
  <c r="BU247" i="61"/>
  <c r="I247" i="61" s="1"/>
  <c r="CY247" i="61" s="1"/>
  <c r="BU192" i="61"/>
  <c r="I192" i="61" s="1"/>
  <c r="J192" i="61" s="1"/>
  <c r="K192" i="61" s="1"/>
  <c r="BU204" i="61"/>
  <c r="I204" i="61" s="1"/>
  <c r="J204" i="61" s="1"/>
  <c r="K204" i="61" s="1"/>
  <c r="BU203" i="61"/>
  <c r="I203" i="61" s="1"/>
  <c r="CY203" i="61" s="1"/>
  <c r="BU201" i="61"/>
  <c r="I201" i="61" s="1"/>
  <c r="J201" i="61" s="1"/>
  <c r="K201" i="61" s="1"/>
  <c r="BU198" i="61"/>
  <c r="I198" i="61" s="1"/>
  <c r="J198" i="61" s="1"/>
  <c r="K198" i="61" s="1"/>
  <c r="BU216" i="61"/>
  <c r="I216" i="61" s="1"/>
  <c r="BU210" i="61"/>
  <c r="I210" i="61" s="1"/>
  <c r="CY210" i="61" s="1"/>
  <c r="BU217" i="61"/>
  <c r="I217" i="61" s="1"/>
  <c r="CY217" i="61" s="1"/>
  <c r="BU222" i="61"/>
  <c r="I222" i="61" s="1"/>
  <c r="J222" i="61" s="1"/>
  <c r="K222" i="61" s="1"/>
  <c r="BU223" i="61"/>
  <c r="I223" i="61" s="1"/>
  <c r="J223" i="61" s="1"/>
  <c r="K223" i="61" s="1"/>
  <c r="BU234" i="61"/>
  <c r="I234" i="61" s="1"/>
  <c r="CY234" i="61" s="1"/>
  <c r="BU235" i="61"/>
  <c r="I235" i="61" s="1"/>
  <c r="CY235" i="61" s="1"/>
  <c r="BU237" i="61"/>
  <c r="I237" i="61" s="1"/>
  <c r="CY237" i="61" s="1"/>
  <c r="BU244" i="61"/>
  <c r="F244" i="61" s="1"/>
  <c r="BU195" i="61"/>
  <c r="I195" i="61" s="1"/>
  <c r="CY195" i="61" s="1"/>
  <c r="BU208" i="61"/>
  <c r="I208" i="61" s="1"/>
  <c r="J208" i="61" s="1"/>
  <c r="K208" i="61" s="1"/>
  <c r="BU211" i="61"/>
  <c r="I211" i="61" s="1"/>
  <c r="J211" i="61" s="1"/>
  <c r="K211" i="61" s="1"/>
  <c r="BU224" i="61"/>
  <c r="I224" i="61" s="1"/>
  <c r="J224" i="61" s="1"/>
  <c r="K224" i="61" s="1"/>
  <c r="BU240" i="61"/>
  <c r="I240" i="61" s="1"/>
  <c r="CY240" i="61" s="1"/>
  <c r="BU243" i="61"/>
  <c r="I243" i="61" s="1"/>
  <c r="CY243" i="61" s="1"/>
  <c r="BU249" i="61"/>
  <c r="I249" i="61" s="1"/>
  <c r="CY249" i="61" s="1"/>
  <c r="BU200" i="61"/>
  <c r="I200" i="61" s="1"/>
  <c r="CY200" i="61" s="1"/>
  <c r="BU191" i="61"/>
  <c r="I191" i="61" s="1"/>
  <c r="CY191" i="61" s="1"/>
  <c r="BU189" i="61"/>
  <c r="I189" i="61" s="1"/>
  <c r="J189" i="61" s="1"/>
  <c r="K189" i="61" s="1"/>
  <c r="BU205" i="61"/>
  <c r="I205" i="61" s="1"/>
  <c r="CY205" i="61" s="1"/>
  <c r="BU202" i="61"/>
  <c r="I202" i="61" s="1"/>
  <c r="J202" i="61" s="1"/>
  <c r="K202" i="61" s="1"/>
  <c r="BU209" i="61"/>
  <c r="I209" i="61" s="1"/>
  <c r="J209" i="61" s="1"/>
  <c r="K209" i="61" s="1"/>
  <c r="BU214" i="61"/>
  <c r="I214" i="61" s="1"/>
  <c r="J214" i="61" s="1"/>
  <c r="K214" i="61" s="1"/>
  <c r="BU221" i="61"/>
  <c r="I221" i="61" s="1"/>
  <c r="CY221" i="61" s="1"/>
  <c r="BU226" i="61"/>
  <c r="I226" i="61" s="1"/>
  <c r="BU220" i="61"/>
  <c r="I220" i="61" s="1"/>
  <c r="J220" i="61" s="1"/>
  <c r="K220" i="61" s="1"/>
  <c r="BU231" i="61"/>
  <c r="I231" i="61" s="1"/>
  <c r="CY231" i="61" s="1"/>
  <c r="BU229" i="61"/>
  <c r="I229" i="61" s="1"/>
  <c r="J229" i="61" s="1"/>
  <c r="K229" i="61" s="1"/>
  <c r="BU238" i="61"/>
  <c r="H261" i="61" s="1"/>
  <c r="H44" i="62"/>
  <c r="M61" i="61"/>
  <c r="M59" i="61"/>
  <c r="CA247" i="61"/>
  <c r="CB247" i="61"/>
  <c r="CB239" i="61"/>
  <c r="CA239" i="61"/>
  <c r="CB211" i="61"/>
  <c r="CA211" i="61"/>
  <c r="CB243" i="61"/>
  <c r="CA243" i="61"/>
  <c r="CB231" i="61"/>
  <c r="CA231" i="61"/>
  <c r="CB215" i="61"/>
  <c r="CA215" i="61"/>
  <c r="CY242" i="61"/>
  <c r="CY215" i="61"/>
  <c r="J108" i="61"/>
  <c r="L79" i="61" s="1"/>
  <c r="F239" i="61"/>
  <c r="J234" i="61"/>
  <c r="CB224" i="61"/>
  <c r="CA224" i="61"/>
  <c r="CB226" i="61"/>
  <c r="CA226" i="61"/>
  <c r="J191" i="61"/>
  <c r="K191" i="61" s="1"/>
  <c r="L76" i="61"/>
  <c r="CA194" i="61"/>
  <c r="CB194" i="61"/>
  <c r="CA198" i="61"/>
  <c r="CB198" i="61"/>
  <c r="CY182" i="61"/>
  <c r="H181" i="61"/>
  <c r="J193" i="61"/>
  <c r="K193" i="61" s="1"/>
  <c r="J228" i="61"/>
  <c r="K228" i="61" s="1"/>
  <c r="M60" i="61"/>
  <c r="CA235" i="61"/>
  <c r="CB235" i="61"/>
  <c r="CB220" i="61"/>
  <c r="CA220" i="61"/>
  <c r="CA207" i="61"/>
  <c r="CB207" i="61"/>
  <c r="CA202" i="61"/>
  <c r="CB202" i="61"/>
  <c r="CA190" i="61"/>
  <c r="CB190" i="61"/>
  <c r="CY245" i="61"/>
  <c r="CY207" i="61"/>
  <c r="CY224" i="61"/>
  <c r="F246" i="61"/>
  <c r="CY250" i="61"/>
  <c r="CS250" i="61"/>
  <c r="H249" i="61"/>
  <c r="J200" i="61"/>
  <c r="K200" i="61" s="1"/>
  <c r="Q38" i="62"/>
  <c r="Q40" i="62"/>
  <c r="E238" i="61"/>
  <c r="E245" i="61"/>
  <c r="Q60" i="62"/>
  <c r="E226" i="61"/>
  <c r="Q39" i="62"/>
  <c r="Q19" i="62"/>
  <c r="Q6" i="62"/>
  <c r="E243" i="61"/>
  <c r="E208" i="61"/>
  <c r="Q44" i="62"/>
  <c r="Q52" i="62"/>
  <c r="E198" i="61"/>
  <c r="E190" i="61"/>
  <c r="E248" i="61"/>
  <c r="E194" i="61"/>
  <c r="Q20" i="62"/>
  <c r="E197" i="61"/>
  <c r="Q31" i="62"/>
  <c r="E232" i="61"/>
  <c r="E241" i="61"/>
  <c r="E225" i="61"/>
  <c r="E210" i="61"/>
  <c r="Q59" i="62"/>
  <c r="E206" i="61"/>
  <c r="Q62" i="62"/>
  <c r="Q49" i="62"/>
  <c r="E230" i="61"/>
  <c r="Q16" i="62"/>
  <c r="E218" i="61"/>
  <c r="Q35" i="62"/>
  <c r="Q65" i="62"/>
  <c r="Q58" i="62"/>
  <c r="E246" i="61"/>
  <c r="Q10" i="62"/>
  <c r="Q32" i="62"/>
  <c r="Q64" i="62"/>
  <c r="E224" i="61"/>
  <c r="Q21" i="62"/>
  <c r="Q54" i="62"/>
  <c r="Q23" i="62"/>
  <c r="Q26" i="62"/>
  <c r="Q24" i="62"/>
  <c r="E216" i="61"/>
  <c r="E201" i="61"/>
  <c r="E235" i="61"/>
  <c r="E219" i="61"/>
  <c r="E234" i="61"/>
  <c r="Q61" i="62"/>
  <c r="Q22" i="62"/>
  <c r="Q29" i="62"/>
  <c r="Q42" i="62"/>
  <c r="E202" i="61"/>
  <c r="Q57" i="62"/>
  <c r="E203" i="61"/>
  <c r="E247" i="61"/>
  <c r="Q41" i="62"/>
  <c r="E193" i="61"/>
  <c r="E195" i="61"/>
  <c r="Q36" i="62"/>
  <c r="Q28" i="62"/>
  <c r="Q7" i="62"/>
  <c r="E239" i="61"/>
  <c r="E237" i="61"/>
  <c r="E214" i="61"/>
  <c r="E200" i="61"/>
  <c r="E204" i="61"/>
  <c r="Q18" i="62"/>
  <c r="E192" i="61"/>
  <c r="Q50" i="62"/>
  <c r="Q37" i="62"/>
  <c r="Q9" i="62"/>
  <c r="Q25" i="62"/>
  <c r="E205" i="61"/>
  <c r="Q34" i="62"/>
  <c r="Q56" i="62"/>
  <c r="Q8" i="62"/>
  <c r="Q14" i="62"/>
  <c r="E196" i="61"/>
  <c r="Q11" i="62"/>
  <c r="Q33" i="62"/>
  <c r="E211" i="61"/>
  <c r="E199" i="61"/>
  <c r="E223" i="61"/>
  <c r="Q15" i="62"/>
  <c r="Q13" i="62"/>
  <c r="E236" i="61"/>
  <c r="Q63" i="62"/>
  <c r="Q27" i="62"/>
  <c r="E233" i="61"/>
  <c r="E191" i="61"/>
  <c r="Q43" i="62"/>
  <c r="Q46" i="62"/>
  <c r="Q51" i="62"/>
  <c r="Q17" i="62"/>
  <c r="Q12" i="62"/>
  <c r="E220" i="61"/>
  <c r="E189" i="61"/>
  <c r="Q48" i="62"/>
  <c r="E212" i="61"/>
  <c r="E228" i="61"/>
  <c r="E242" i="61"/>
  <c r="E215" i="61"/>
  <c r="E244" i="61"/>
  <c r="E213" i="61"/>
  <c r="E227" i="61"/>
  <c r="E207" i="61"/>
  <c r="Q47" i="62"/>
  <c r="Q45" i="62"/>
  <c r="E217" i="61"/>
  <c r="E209" i="61"/>
  <c r="Q30" i="62"/>
  <c r="E231" i="61"/>
  <c r="E222" i="61"/>
  <c r="E221" i="61"/>
  <c r="Q55" i="62"/>
  <c r="E229" i="61"/>
  <c r="Q53" i="62"/>
  <c r="Q5" i="62"/>
  <c r="E240" i="61"/>
  <c r="E249" i="61"/>
  <c r="BR164" i="61" l="1"/>
  <c r="BU164" i="61" s="1"/>
  <c r="F164" i="61" s="1"/>
  <c r="BR166" i="61"/>
  <c r="BU166" i="61" s="1"/>
  <c r="I166" i="61" s="1"/>
  <c r="CY166" i="61" s="1"/>
  <c r="F154" i="61"/>
  <c r="J154" i="61" s="1"/>
  <c r="K154" i="61" s="1"/>
  <c r="BR150" i="61"/>
  <c r="BU150" i="61" s="1"/>
  <c r="BR160" i="61"/>
  <c r="BU160" i="61" s="1"/>
  <c r="BR146" i="61"/>
  <c r="BU146" i="61" s="1"/>
  <c r="BR121" i="61"/>
  <c r="BU121" i="61" s="1"/>
  <c r="I121" i="61" s="1"/>
  <c r="CY121" i="61" s="1"/>
  <c r="BR125" i="61"/>
  <c r="BU125" i="61" s="1"/>
  <c r="BR131" i="61"/>
  <c r="BU131" i="61" s="1"/>
  <c r="F131" i="61" s="1"/>
  <c r="BR133" i="61"/>
  <c r="BU133" i="61" s="1"/>
  <c r="BR135" i="61"/>
  <c r="BU135" i="61" s="1"/>
  <c r="BR139" i="61"/>
  <c r="BU139" i="61" s="1"/>
  <c r="BR167" i="61"/>
  <c r="BU167" i="61" s="1"/>
  <c r="I167" i="61" s="1"/>
  <c r="CY167" i="61" s="1"/>
  <c r="BR156" i="61"/>
  <c r="BU156" i="61" s="1"/>
  <c r="BR148" i="61"/>
  <c r="BU148" i="61" s="1"/>
  <c r="BR161" i="61"/>
  <c r="BU161" i="61" s="1"/>
  <c r="BR168" i="61"/>
  <c r="BU168" i="61" s="1"/>
  <c r="H254" i="61" s="1"/>
  <c r="BR151" i="61"/>
  <c r="BU151" i="61" s="1"/>
  <c r="BR143" i="61"/>
  <c r="BU143" i="61" s="1"/>
  <c r="BR122" i="61"/>
  <c r="BU122" i="61" s="1"/>
  <c r="I122" i="61" s="1"/>
  <c r="CY122" i="61" s="1"/>
  <c r="BR124" i="61"/>
  <c r="BU124" i="61" s="1"/>
  <c r="BR128" i="61"/>
  <c r="BU128" i="61" s="1"/>
  <c r="BR132" i="61"/>
  <c r="BU132" i="61" s="1"/>
  <c r="BR136" i="61"/>
  <c r="BU136" i="61" s="1"/>
  <c r="BR140" i="61"/>
  <c r="BU140" i="61" s="1"/>
  <c r="BR163" i="61"/>
  <c r="BU163" i="61" s="1"/>
  <c r="BR159" i="61"/>
  <c r="BU159" i="61" s="1"/>
  <c r="BR157" i="61"/>
  <c r="BU157" i="61" s="1"/>
  <c r="BR153" i="61"/>
  <c r="BU153" i="61" s="1"/>
  <c r="BR149" i="61"/>
  <c r="BU149" i="61" s="1"/>
  <c r="BR145" i="61"/>
  <c r="BU145" i="61" s="1"/>
  <c r="BR123" i="61"/>
  <c r="BU123" i="61" s="1"/>
  <c r="BR127" i="61"/>
  <c r="BU127" i="61" s="1"/>
  <c r="BR129" i="61"/>
  <c r="BU129" i="61" s="1"/>
  <c r="BR137" i="61"/>
  <c r="BU137" i="61" s="1"/>
  <c r="BR141" i="61"/>
  <c r="BU141" i="61" s="1"/>
  <c r="BR162" i="61"/>
  <c r="BU162" i="61" s="1"/>
  <c r="BR158" i="61"/>
  <c r="BU158" i="61" s="1"/>
  <c r="BR152" i="61"/>
  <c r="BU152" i="61" s="1"/>
  <c r="BR144" i="61"/>
  <c r="BU144" i="61" s="1"/>
  <c r="BR165" i="61"/>
  <c r="BU165" i="61" s="1"/>
  <c r="BR155" i="61"/>
  <c r="BU155" i="61" s="1"/>
  <c r="BR147" i="61"/>
  <c r="BU147" i="61" s="1"/>
  <c r="BR142" i="61"/>
  <c r="BU142" i="61" s="1"/>
  <c r="BR126" i="61"/>
  <c r="BU126" i="61" s="1"/>
  <c r="BR130" i="61"/>
  <c r="BU130" i="61" s="1"/>
  <c r="BR134" i="61"/>
  <c r="BU134" i="61" s="1"/>
  <c r="BR138" i="61"/>
  <c r="BU138" i="61" s="1"/>
  <c r="BR170" i="61"/>
  <c r="BU170" i="61" s="1"/>
  <c r="H255" i="61" s="1"/>
  <c r="BR169" i="61"/>
  <c r="BU169" i="61" s="1"/>
  <c r="I169" i="61" s="1"/>
  <c r="CY169" i="61" s="1"/>
  <c r="CY225" i="61"/>
  <c r="J219" i="61"/>
  <c r="J221" i="61"/>
  <c r="K221" i="61" s="1"/>
  <c r="J196" i="61"/>
  <c r="K196" i="61" s="1"/>
  <c r="CY198" i="61"/>
  <c r="F249" i="61"/>
  <c r="CY229" i="61"/>
  <c r="J205" i="61"/>
  <c r="K205" i="61" s="1"/>
  <c r="CY212" i="61"/>
  <c r="CY208" i="61"/>
  <c r="J235" i="61"/>
  <c r="K235" i="61" s="1"/>
  <c r="F176" i="61"/>
  <c r="F180" i="61"/>
  <c r="J180" i="61" s="1"/>
  <c r="K180" i="61" s="1"/>
  <c r="CY180" i="61"/>
  <c r="CY179" i="61" s="1"/>
  <c r="CY173" i="61"/>
  <c r="CY177" i="61"/>
  <c r="CY172" i="61"/>
  <c r="CY174" i="61"/>
  <c r="CY178" i="61"/>
  <c r="BS240" i="61"/>
  <c r="CN205" i="61"/>
  <c r="BS205" i="61"/>
  <c r="CO205" i="61"/>
  <c r="BS224" i="61"/>
  <c r="BS229" i="61"/>
  <c r="BS189" i="61"/>
  <c r="CN189" i="61"/>
  <c r="CO189" i="61"/>
  <c r="CO195" i="61"/>
  <c r="BS195" i="61"/>
  <c r="CN195" i="61"/>
  <c r="BS226" i="61"/>
  <c r="CN199" i="61"/>
  <c r="BS199" i="61"/>
  <c r="CO199" i="61"/>
  <c r="BS243" i="61"/>
  <c r="BS220" i="61"/>
  <c r="BS211" i="61"/>
  <c r="BS221" i="61"/>
  <c r="BS248" i="61"/>
  <c r="CO248" i="61"/>
  <c r="CN248" i="61"/>
  <c r="BS209" i="61"/>
  <c r="BS234" i="61"/>
  <c r="CN193" i="61"/>
  <c r="BS193" i="61"/>
  <c r="CO193" i="61"/>
  <c r="CO246" i="61"/>
  <c r="CN246" i="61"/>
  <c r="BS246" i="61"/>
  <c r="BS222" i="61"/>
  <c r="BS233" i="61"/>
  <c r="CN202" i="61"/>
  <c r="BS202" i="61"/>
  <c r="CO202" i="61"/>
  <c r="BS223" i="61"/>
  <c r="CN190" i="61"/>
  <c r="BS190" i="61"/>
  <c r="CO190" i="61"/>
  <c r="BS242" i="61"/>
  <c r="CO249" i="61"/>
  <c r="BS249" i="61"/>
  <c r="CN249" i="61"/>
  <c r="BS212" i="61"/>
  <c r="BS231" i="61"/>
  <c r="BS208" i="61"/>
  <c r="CN247" i="61"/>
  <c r="BS247" i="61"/>
  <c r="CO247" i="61"/>
  <c r="BS210" i="61"/>
  <c r="BS232" i="61"/>
  <c r="BS207" i="61"/>
  <c r="CO194" i="61"/>
  <c r="BS194" i="61"/>
  <c r="CN194" i="61"/>
  <c r="CN200" i="61"/>
  <c r="CO200" i="61"/>
  <c r="BS200" i="61"/>
  <c r="BS230" i="61"/>
  <c r="BS237" i="61"/>
  <c r="BS214" i="61"/>
  <c r="BS235" i="61"/>
  <c r="BS215" i="61"/>
  <c r="BS238" i="61"/>
  <c r="CO206" i="61"/>
  <c r="CN206" i="61"/>
  <c r="BS206" i="61"/>
  <c r="BS218" i="61"/>
  <c r="BS217" i="61"/>
  <c r="BS239" i="61"/>
  <c r="BS219" i="61"/>
  <c r="BS228" i="61"/>
  <c r="BS227" i="61"/>
  <c r="CO191" i="61"/>
  <c r="CN191" i="61"/>
  <c r="BS191" i="61"/>
  <c r="CO198" i="61"/>
  <c r="BS198" i="61"/>
  <c r="CN198" i="61"/>
  <c r="BS216" i="61"/>
  <c r="BS245" i="61"/>
  <c r="BS196" i="61"/>
  <c r="CN196" i="61"/>
  <c r="CO196" i="61"/>
  <c r="BS213" i="61"/>
  <c r="BS203" i="61"/>
  <c r="CO203" i="61"/>
  <c r="CN203" i="61"/>
  <c r="BS225" i="61"/>
  <c r="BS204" i="61"/>
  <c r="CO204" i="61"/>
  <c r="CN204" i="61"/>
  <c r="BS192" i="61"/>
  <c r="CO192" i="61"/>
  <c r="CN192" i="61"/>
  <c r="BS236" i="61"/>
  <c r="CN197" i="61"/>
  <c r="BS197" i="61"/>
  <c r="CO197" i="61"/>
  <c r="BS244" i="61"/>
  <c r="BS241" i="61"/>
  <c r="CO201" i="61"/>
  <c r="BS201" i="61"/>
  <c r="CN201" i="61"/>
  <c r="C163" i="61"/>
  <c r="C167" i="61"/>
  <c r="C171" i="61"/>
  <c r="C175" i="61"/>
  <c r="C179" i="61"/>
  <c r="C129" i="61"/>
  <c r="C137" i="61"/>
  <c r="C145" i="61"/>
  <c r="C153" i="61"/>
  <c r="C160" i="61"/>
  <c r="C164" i="61"/>
  <c r="C168" i="61"/>
  <c r="C172" i="61"/>
  <c r="C176" i="61"/>
  <c r="C180" i="61"/>
  <c r="C161" i="61"/>
  <c r="C165" i="61"/>
  <c r="C169" i="61"/>
  <c r="C173" i="61"/>
  <c r="C177" i="61"/>
  <c r="C181" i="61"/>
  <c r="C125" i="61"/>
  <c r="C133" i="61"/>
  <c r="C141" i="61"/>
  <c r="C149" i="61"/>
  <c r="C157" i="61"/>
  <c r="C162" i="61"/>
  <c r="C166" i="61"/>
  <c r="C170" i="61"/>
  <c r="C174" i="61"/>
  <c r="C178" i="61"/>
  <c r="C121" i="61"/>
  <c r="C122" i="61"/>
  <c r="C123" i="61"/>
  <c r="C124" i="61"/>
  <c r="C128" i="61"/>
  <c r="C132" i="61"/>
  <c r="C136" i="61"/>
  <c r="C140" i="61"/>
  <c r="C144" i="61"/>
  <c r="C148" i="61"/>
  <c r="C152" i="61"/>
  <c r="C156" i="61"/>
  <c r="C127" i="61"/>
  <c r="C131" i="61"/>
  <c r="C135" i="61"/>
  <c r="C139" i="61"/>
  <c r="C143" i="61"/>
  <c r="C147" i="61"/>
  <c r="C151" i="61"/>
  <c r="C155" i="61"/>
  <c r="C159" i="61"/>
  <c r="C126" i="61"/>
  <c r="C130" i="61"/>
  <c r="C134" i="61"/>
  <c r="C138" i="61"/>
  <c r="C142" i="61"/>
  <c r="C146" i="61"/>
  <c r="C150" i="61"/>
  <c r="C154" i="61"/>
  <c r="C158" i="61"/>
  <c r="CY154" i="61"/>
  <c r="CY204" i="61"/>
  <c r="J230" i="61"/>
  <c r="K230" i="61" s="1"/>
  <c r="J206" i="61"/>
  <c r="K206" i="61" s="1"/>
  <c r="CY233" i="61"/>
  <c r="CY211" i="61"/>
  <c r="I244" i="61"/>
  <c r="H256" i="61"/>
  <c r="F245" i="61"/>
  <c r="F181" i="61"/>
  <c r="CY223" i="61"/>
  <c r="CY192" i="61"/>
  <c r="F242" i="61"/>
  <c r="CY190" i="61"/>
  <c r="H259" i="61"/>
  <c r="K219" i="61"/>
  <c r="H262" i="61"/>
  <c r="F241" i="61"/>
  <c r="CY222" i="61"/>
  <c r="F174" i="61"/>
  <c r="J195" i="61"/>
  <c r="K195" i="61" s="1"/>
  <c r="CY209" i="61"/>
  <c r="F172" i="61"/>
  <c r="F240" i="61"/>
  <c r="CY232" i="61"/>
  <c r="F179" i="61"/>
  <c r="F178" i="61"/>
  <c r="J197" i="61"/>
  <c r="K197" i="61" s="1"/>
  <c r="CY220" i="61"/>
  <c r="CY226" i="61"/>
  <c r="J226" i="61"/>
  <c r="J216" i="61"/>
  <c r="K216" i="61" s="1"/>
  <c r="CY216" i="61"/>
  <c r="I175" i="61"/>
  <c r="CY175" i="61" s="1"/>
  <c r="F175" i="61"/>
  <c r="I171" i="61"/>
  <c r="CY171" i="61" s="1"/>
  <c r="F171" i="61"/>
  <c r="I164" i="61"/>
  <c r="F173" i="61"/>
  <c r="F177" i="61"/>
  <c r="BT205" i="61"/>
  <c r="E167" i="61"/>
  <c r="BT217" i="61"/>
  <c r="BT249" i="61"/>
  <c r="E129" i="61"/>
  <c r="E131" i="61"/>
  <c r="BT243" i="61"/>
  <c r="BT223" i="61"/>
  <c r="E154" i="61"/>
  <c r="BT210" i="61"/>
  <c r="E126" i="61"/>
  <c r="BT245" i="61"/>
  <c r="E165" i="61"/>
  <c r="BT230" i="61"/>
  <c r="E168" i="61"/>
  <c r="BT199" i="61"/>
  <c r="BT235" i="61"/>
  <c r="E150" i="61"/>
  <c r="E132" i="61"/>
  <c r="E169" i="61"/>
  <c r="BT213" i="61"/>
  <c r="BT247" i="61"/>
  <c r="E133" i="61"/>
  <c r="E142" i="61"/>
  <c r="BT191" i="61"/>
  <c r="E140" i="61"/>
  <c r="E135" i="61"/>
  <c r="E146" i="61"/>
  <c r="BT212" i="61"/>
  <c r="BT233" i="61"/>
  <c r="E149" i="61"/>
  <c r="BT240" i="61"/>
  <c r="E147" i="61"/>
  <c r="E175" i="61"/>
  <c r="E181" i="61"/>
  <c r="E141" i="61"/>
  <c r="E148" i="61"/>
  <c r="BT221" i="61"/>
  <c r="E174" i="61"/>
  <c r="BT192" i="61"/>
  <c r="E172" i="61"/>
  <c r="E123" i="61"/>
  <c r="BT248" i="61"/>
  <c r="BT244" i="61"/>
  <c r="E162" i="61"/>
  <c r="BT193" i="61"/>
  <c r="E164" i="61"/>
  <c r="E134" i="61"/>
  <c r="E159" i="61"/>
  <c r="BT207" i="61"/>
  <c r="E152" i="61"/>
  <c r="E158" i="61"/>
  <c r="E161" i="61"/>
  <c r="E160" i="61"/>
  <c r="BT194" i="61"/>
  <c r="BT220" i="61"/>
  <c r="BT195" i="61"/>
  <c r="BT237" i="61"/>
  <c r="E179" i="61"/>
  <c r="BT196" i="61"/>
  <c r="BT190" i="61"/>
  <c r="E157" i="61"/>
  <c r="E144" i="61"/>
  <c r="BT229" i="61"/>
  <c r="E138" i="61"/>
  <c r="E156" i="61"/>
  <c r="E177" i="61"/>
  <c r="E143" i="61"/>
  <c r="BT236" i="61"/>
  <c r="E139" i="61"/>
  <c r="E166" i="61"/>
  <c r="BT227" i="61"/>
  <c r="BT232" i="61"/>
  <c r="E121" i="61"/>
  <c r="BT225" i="61"/>
  <c r="BT201" i="61"/>
  <c r="E124" i="61"/>
  <c r="E130" i="61"/>
  <c r="BT202" i="61"/>
  <c r="E151" i="61"/>
  <c r="BT234" i="61"/>
  <c r="E163" i="61"/>
  <c r="BT211" i="61"/>
  <c r="BT241" i="61"/>
  <c r="BT228" i="61"/>
  <c r="E136" i="61"/>
  <c r="E128" i="61"/>
  <c r="E178" i="61"/>
  <c r="BT209" i="61"/>
  <c r="E145" i="61"/>
  <c r="E155" i="61"/>
  <c r="BT242" i="61"/>
  <c r="BT226" i="61"/>
  <c r="E137" i="61"/>
  <c r="BT238" i="61"/>
  <c r="E170" i="61"/>
  <c r="BT200" i="61"/>
  <c r="BT231" i="61"/>
  <c r="BT208" i="61"/>
  <c r="BT215" i="61"/>
  <c r="E171" i="61"/>
  <c r="E153" i="61"/>
  <c r="BT198" i="61"/>
  <c r="E127" i="61"/>
  <c r="E122" i="61"/>
  <c r="BT216" i="61"/>
  <c r="BT219" i="61"/>
  <c r="BT218" i="61"/>
  <c r="BT203" i="61"/>
  <c r="BT214" i="61"/>
  <c r="BT204" i="61"/>
  <c r="BT206" i="61"/>
  <c r="E173" i="61"/>
  <c r="BT222" i="61"/>
  <c r="BT224" i="61"/>
  <c r="BT197" i="61"/>
  <c r="BT239" i="61"/>
  <c r="BT189" i="61"/>
  <c r="BT246" i="61"/>
  <c r="E180" i="61"/>
  <c r="E176" i="61"/>
  <c r="E125" i="61"/>
  <c r="F166" i="61" l="1"/>
  <c r="J166" i="61" s="1"/>
  <c r="K166" i="61" s="1"/>
  <c r="F168" i="61"/>
  <c r="F170" i="61"/>
  <c r="I168" i="61"/>
  <c r="I170" i="61"/>
  <c r="F121" i="61"/>
  <c r="J121" i="61" s="1"/>
  <c r="K121" i="61" s="1"/>
  <c r="L121" i="61" s="1"/>
  <c r="I155" i="61"/>
  <c r="CY155" i="61" s="1"/>
  <c r="F155" i="61"/>
  <c r="I126" i="61"/>
  <c r="CY126" i="61" s="1"/>
  <c r="F126" i="61"/>
  <c r="I165" i="61"/>
  <c r="CY165" i="61" s="1"/>
  <c r="F165" i="61"/>
  <c r="I162" i="61"/>
  <c r="CY162" i="61" s="1"/>
  <c r="F162" i="61"/>
  <c r="I127" i="61"/>
  <c r="CY127" i="61" s="1"/>
  <c r="F127" i="61"/>
  <c r="I153" i="61"/>
  <c r="CY153" i="61" s="1"/>
  <c r="F153" i="61"/>
  <c r="I140" i="61"/>
  <c r="F140" i="61"/>
  <c r="I124" i="61"/>
  <c r="CY124" i="61" s="1"/>
  <c r="F124" i="61"/>
  <c r="I160" i="61"/>
  <c r="CY160" i="61" s="1"/>
  <c r="F160" i="61"/>
  <c r="I142" i="61"/>
  <c r="F142" i="61"/>
  <c r="I144" i="61"/>
  <c r="F144" i="61"/>
  <c r="I123" i="61"/>
  <c r="CY123" i="61" s="1"/>
  <c r="F123" i="61"/>
  <c r="I157" i="61"/>
  <c r="CY157" i="61" s="1"/>
  <c r="F157" i="61"/>
  <c r="I136" i="61"/>
  <c r="CY136" i="61" s="1"/>
  <c r="F136" i="61"/>
  <c r="I161" i="61"/>
  <c r="CY161" i="61" s="1"/>
  <c r="F161" i="61"/>
  <c r="I139" i="61"/>
  <c r="CY139" i="61" s="1"/>
  <c r="F139" i="61"/>
  <c r="I125" i="61"/>
  <c r="CY125" i="61" s="1"/>
  <c r="F125" i="61"/>
  <c r="I150" i="61"/>
  <c r="CY150" i="61" s="1"/>
  <c r="F150" i="61"/>
  <c r="I138" i="61"/>
  <c r="F138" i="61"/>
  <c r="I141" i="61"/>
  <c r="CY141" i="61" s="1"/>
  <c r="F141" i="61"/>
  <c r="I134" i="61"/>
  <c r="CY134" i="61" s="1"/>
  <c r="F134" i="61"/>
  <c r="I147" i="61"/>
  <c r="CY147" i="61" s="1"/>
  <c r="F147" i="61"/>
  <c r="I152" i="61"/>
  <c r="CY152" i="61" s="1"/>
  <c r="F152" i="61"/>
  <c r="I137" i="61"/>
  <c r="CY137" i="61" s="1"/>
  <c r="F137" i="61"/>
  <c r="I145" i="61"/>
  <c r="CY145" i="61" s="1"/>
  <c r="F145" i="61"/>
  <c r="I159" i="61"/>
  <c r="F159" i="61"/>
  <c r="I132" i="61"/>
  <c r="F132" i="61"/>
  <c r="I143" i="61"/>
  <c r="CY143" i="61" s="1"/>
  <c r="F143" i="61"/>
  <c r="I148" i="61"/>
  <c r="F148" i="61"/>
  <c r="I135" i="61"/>
  <c r="F135" i="61"/>
  <c r="I130" i="61"/>
  <c r="CY130" i="61" s="1"/>
  <c r="F130" i="61"/>
  <c r="I158" i="61"/>
  <c r="F158" i="61"/>
  <c r="I129" i="61"/>
  <c r="F129" i="61"/>
  <c r="I149" i="61"/>
  <c r="CY149" i="61" s="1"/>
  <c r="F149" i="61"/>
  <c r="I163" i="61"/>
  <c r="CY163" i="61" s="1"/>
  <c r="F163" i="61"/>
  <c r="I128" i="61"/>
  <c r="CY128" i="61" s="1"/>
  <c r="F128" i="61"/>
  <c r="I151" i="61"/>
  <c r="F151" i="61"/>
  <c r="I156" i="61"/>
  <c r="F156" i="61"/>
  <c r="I133" i="61"/>
  <c r="CY133" i="61" s="1"/>
  <c r="F133" i="61"/>
  <c r="I146" i="61"/>
  <c r="F146" i="61"/>
  <c r="F122" i="61"/>
  <c r="J122" i="61" s="1"/>
  <c r="K122" i="61" s="1"/>
  <c r="F169" i="61"/>
  <c r="H253" i="61"/>
  <c r="I131" i="61"/>
  <c r="J131" i="61" s="1"/>
  <c r="K131" i="61" s="1"/>
  <c r="F167" i="61"/>
  <c r="J167" i="61" s="1"/>
  <c r="K167" i="61" s="1"/>
  <c r="J176" i="61"/>
  <c r="K176" i="61" s="1"/>
  <c r="BS121" i="61"/>
  <c r="I259" i="61"/>
  <c r="I262" i="61"/>
  <c r="I260" i="61"/>
  <c r="I261" i="61"/>
  <c r="BS146" i="61"/>
  <c r="BS130" i="61"/>
  <c r="BS151" i="61"/>
  <c r="BS135" i="61"/>
  <c r="BS152" i="61"/>
  <c r="BS136" i="61"/>
  <c r="BS123" i="61"/>
  <c r="BS174" i="61"/>
  <c r="BS154" i="61"/>
  <c r="BS138" i="61"/>
  <c r="BS159" i="61"/>
  <c r="BS143" i="61"/>
  <c r="BS127" i="61"/>
  <c r="BS144" i="61"/>
  <c r="BS128" i="61"/>
  <c r="CN121" i="61"/>
  <c r="CO121" i="61"/>
  <c r="BS166" i="61"/>
  <c r="BS141" i="61"/>
  <c r="BS177" i="61"/>
  <c r="BS161" i="61"/>
  <c r="BS168" i="61"/>
  <c r="BS145" i="61"/>
  <c r="BS175" i="61"/>
  <c r="BS150" i="61"/>
  <c r="BS134" i="61"/>
  <c r="BS155" i="61"/>
  <c r="BS139" i="61"/>
  <c r="BS156" i="61"/>
  <c r="BS140" i="61"/>
  <c r="BS124" i="61"/>
  <c r="BS178" i="61"/>
  <c r="BS162" i="61"/>
  <c r="BS133" i="61"/>
  <c r="BS173" i="61"/>
  <c r="BS180" i="61"/>
  <c r="BS164" i="61"/>
  <c r="BS137" i="61"/>
  <c r="BS171" i="61"/>
  <c r="BS157" i="61"/>
  <c r="BS125" i="61"/>
  <c r="BS169" i="61"/>
  <c r="BS176" i="61"/>
  <c r="BS160" i="61"/>
  <c r="BS129" i="61"/>
  <c r="BS167" i="61"/>
  <c r="BS158" i="61"/>
  <c r="BS142" i="61"/>
  <c r="BS126" i="61"/>
  <c r="BS147" i="61"/>
  <c r="BS131" i="61"/>
  <c r="BS148" i="61"/>
  <c r="BS132" i="61"/>
  <c r="BS122" i="61"/>
  <c r="BS170" i="61"/>
  <c r="BS149" i="61"/>
  <c r="BS181" i="61"/>
  <c r="BS165" i="61"/>
  <c r="BS172" i="61"/>
  <c r="BS153" i="61"/>
  <c r="BS179" i="61"/>
  <c r="BS163" i="61"/>
  <c r="J174" i="61"/>
  <c r="K174" i="61" s="1"/>
  <c r="J178" i="61"/>
  <c r="K178" i="61" s="1"/>
  <c r="J172" i="61"/>
  <c r="K172" i="61" s="1"/>
  <c r="J179" i="61"/>
  <c r="K179" i="61" s="1"/>
  <c r="J171" i="61"/>
  <c r="K171" i="61" s="1"/>
  <c r="J177" i="61"/>
  <c r="K177" i="61" s="1"/>
  <c r="J173" i="61"/>
  <c r="K173" i="61" s="1"/>
  <c r="CY164" i="61"/>
  <c r="J164" i="61"/>
  <c r="K164" i="61" s="1"/>
  <c r="J175" i="61"/>
  <c r="K175" i="61" s="1"/>
  <c r="BT168" i="61"/>
  <c r="BK194" i="61"/>
  <c r="BK225" i="61"/>
  <c r="BK249" i="61"/>
  <c r="BT172" i="61"/>
  <c r="BK226" i="61"/>
  <c r="BT164" i="61"/>
  <c r="BT145" i="61"/>
  <c r="J262" i="61"/>
  <c r="BK211" i="61"/>
  <c r="BK196" i="61"/>
  <c r="BK208" i="61"/>
  <c r="BK190" i="61"/>
  <c r="BK205" i="61"/>
  <c r="BK231" i="61"/>
  <c r="BK222" i="61"/>
  <c r="BK218" i="61"/>
  <c r="BK192" i="61"/>
  <c r="BK234" i="61"/>
  <c r="BT146" i="61"/>
  <c r="BK230" i="61"/>
  <c r="BT128" i="61"/>
  <c r="BT137" i="61"/>
  <c r="BK191" i="61"/>
  <c r="BK212" i="61"/>
  <c r="BT153" i="61"/>
  <c r="BK193" i="61"/>
  <c r="BT166" i="61"/>
  <c r="BT151" i="61"/>
  <c r="BK199" i="61"/>
  <c r="BK210" i="61"/>
  <c r="BT161" i="61"/>
  <c r="BK189" i="61"/>
  <c r="BK247" i="61"/>
  <c r="BT171" i="61"/>
  <c r="BK223" i="61"/>
  <c r="BK215" i="61"/>
  <c r="BT138" i="61"/>
  <c r="BK206" i="61"/>
  <c r="BT147" i="61"/>
  <c r="BK202" i="61"/>
  <c r="BT178" i="61"/>
  <c r="BT144" i="61"/>
  <c r="BT130" i="61"/>
  <c r="BK243" i="61"/>
  <c r="BT162" i="61"/>
  <c r="BK248" i="61"/>
  <c r="BT132" i="61"/>
  <c r="BK207" i="61"/>
  <c r="BK228" i="61"/>
  <c r="BK240" i="61"/>
  <c r="BT134" i="61"/>
  <c r="BT159" i="61"/>
  <c r="BT152" i="61"/>
  <c r="BK203" i="61"/>
  <c r="BT158" i="61"/>
  <c r="BK198" i="61"/>
  <c r="BK197" i="61"/>
  <c r="BT157" i="61"/>
  <c r="BT181" i="61"/>
  <c r="BK214" i="61"/>
  <c r="BK217" i="61"/>
  <c r="BT135" i="61"/>
  <c r="BK232" i="61"/>
  <c r="BK229" i="61"/>
  <c r="BK195" i="61"/>
  <c r="BT160" i="61"/>
  <c r="BK221" i="61"/>
  <c r="BT142" i="61"/>
  <c r="J259" i="61"/>
  <c r="BT148" i="61"/>
  <c r="BT121" i="61"/>
  <c r="BT126" i="61"/>
  <c r="BT169" i="61"/>
  <c r="BT176" i="61"/>
  <c r="BK239" i="61"/>
  <c r="BK201" i="61"/>
  <c r="BT136" i="61"/>
  <c r="BT133" i="61"/>
  <c r="BK241" i="61"/>
  <c r="BK246" i="61"/>
  <c r="BK220" i="61"/>
  <c r="BT170" i="61"/>
  <c r="BK233" i="61"/>
  <c r="BT127" i="61"/>
  <c r="BT156" i="61"/>
  <c r="BT163" i="61"/>
  <c r="BK244" i="61"/>
  <c r="BT139" i="61"/>
  <c r="BT180" i="61"/>
  <c r="BT125" i="61"/>
  <c r="BK236" i="61"/>
  <c r="BT143" i="61"/>
  <c r="BT124" i="61"/>
  <c r="BK213" i="61"/>
  <c r="BK216" i="61"/>
  <c r="BT165" i="61"/>
  <c r="BT155" i="61"/>
  <c r="BT131" i="61"/>
  <c r="BT141" i="61"/>
  <c r="BT177" i="61"/>
  <c r="BK242" i="61"/>
  <c r="BT122" i="61"/>
  <c r="J260" i="61"/>
  <c r="BK219" i="61"/>
  <c r="BK238" i="61"/>
  <c r="BK245" i="61"/>
  <c r="BT167" i="61"/>
  <c r="BT129" i="61"/>
  <c r="BT174" i="61"/>
  <c r="BK200" i="61"/>
  <c r="BK237" i="61"/>
  <c r="BT123" i="61"/>
  <c r="BT149" i="61"/>
  <c r="BK235" i="61"/>
  <c r="BK204" i="61"/>
  <c r="BT140" i="61"/>
  <c r="BK224" i="61"/>
  <c r="BK209" i="61"/>
  <c r="BK227" i="61"/>
  <c r="BT173" i="61"/>
  <c r="BT175" i="61"/>
  <c r="BT179" i="61"/>
  <c r="BT154" i="61"/>
  <c r="BT150" i="61"/>
  <c r="J261" i="61"/>
  <c r="J126" i="61" l="1"/>
  <c r="K126" i="61" s="1"/>
  <c r="L126" i="61" s="1"/>
  <c r="J155" i="61"/>
  <c r="K155" i="61" s="1"/>
  <c r="J168" i="61"/>
  <c r="K168" i="61" s="1"/>
  <c r="L168" i="61" s="1"/>
  <c r="J132" i="61"/>
  <c r="K132" i="61" s="1"/>
  <c r="L132" i="61" s="1"/>
  <c r="J151" i="61"/>
  <c r="K151" i="61" s="1"/>
  <c r="L151" i="61" s="1"/>
  <c r="J129" i="61"/>
  <c r="K129" i="61" s="1"/>
  <c r="L129" i="61" s="1"/>
  <c r="CY132" i="61"/>
  <c r="J156" i="61"/>
  <c r="K156" i="61" s="1"/>
  <c r="L156" i="61" s="1"/>
  <c r="J158" i="61"/>
  <c r="K158" i="61" s="1"/>
  <c r="L158" i="61" s="1"/>
  <c r="J127" i="61"/>
  <c r="K127" i="61" s="1"/>
  <c r="L127" i="61" s="1"/>
  <c r="J165" i="61"/>
  <c r="K165" i="61" s="1"/>
  <c r="L165" i="61" s="1"/>
  <c r="J142" i="61"/>
  <c r="K142" i="61" s="1"/>
  <c r="L142" i="61" s="1"/>
  <c r="J162" i="61"/>
  <c r="K162" i="61" s="1"/>
  <c r="L162" i="61" s="1"/>
  <c r="CY158" i="61"/>
  <c r="CY129" i="61"/>
  <c r="CY151" i="61"/>
  <c r="J149" i="61"/>
  <c r="K149" i="61" s="1"/>
  <c r="L149" i="61" s="1"/>
  <c r="J145" i="61"/>
  <c r="K145" i="61" s="1"/>
  <c r="L145" i="61" s="1"/>
  <c r="J137" i="61"/>
  <c r="K137" i="61" s="1"/>
  <c r="L137" i="61" s="1"/>
  <c r="J141" i="61"/>
  <c r="K141" i="61" s="1"/>
  <c r="L141" i="61" s="1"/>
  <c r="J150" i="61"/>
  <c r="K150" i="61" s="1"/>
  <c r="L150" i="61" s="1"/>
  <c r="J139" i="61"/>
  <c r="K139" i="61" s="1"/>
  <c r="L139" i="61" s="1"/>
  <c r="CY156" i="61"/>
  <c r="CY142" i="61"/>
  <c r="J125" i="61"/>
  <c r="K125" i="61" s="1"/>
  <c r="L125" i="61" s="1"/>
  <c r="J161" i="61"/>
  <c r="K161" i="61" s="1"/>
  <c r="L161" i="61" s="1"/>
  <c r="J147" i="61"/>
  <c r="K147" i="61" s="1"/>
  <c r="L147" i="61" s="1"/>
  <c r="J128" i="61"/>
  <c r="K128" i="61" s="1"/>
  <c r="L128" i="61" s="1"/>
  <c r="J163" i="61"/>
  <c r="K163" i="61" s="1"/>
  <c r="L163" i="61" s="1"/>
  <c r="J152" i="61"/>
  <c r="K152" i="61" s="1"/>
  <c r="L152" i="61" s="1"/>
  <c r="J134" i="61"/>
  <c r="K134" i="61" s="1"/>
  <c r="L134" i="61" s="1"/>
  <c r="J136" i="61"/>
  <c r="K136" i="61" s="1"/>
  <c r="L136" i="61" s="1"/>
  <c r="J123" i="61"/>
  <c r="K123" i="61" s="1"/>
  <c r="L123" i="61" s="1"/>
  <c r="J124" i="61"/>
  <c r="K124" i="61" s="1"/>
  <c r="L124" i="61" s="1"/>
  <c r="J153" i="61"/>
  <c r="K153" i="61" s="1"/>
  <c r="L153" i="61" s="1"/>
  <c r="J148" i="61"/>
  <c r="K148" i="61" s="1"/>
  <c r="L148" i="61" s="1"/>
  <c r="CY148" i="61"/>
  <c r="J130" i="61"/>
  <c r="K130" i="61" s="1"/>
  <c r="L130" i="61" s="1"/>
  <c r="J133" i="61"/>
  <c r="K133" i="61" s="1"/>
  <c r="L133" i="61" s="1"/>
  <c r="J157" i="61"/>
  <c r="K157" i="61" s="1"/>
  <c r="L157" i="61" s="1"/>
  <c r="J143" i="61"/>
  <c r="K143" i="61" s="1"/>
  <c r="L143" i="61" s="1"/>
  <c r="J138" i="61"/>
  <c r="K138" i="61" s="1"/>
  <c r="L138" i="61" s="1"/>
  <c r="CY138" i="61"/>
  <c r="J160" i="61"/>
  <c r="K160" i="61" s="1"/>
  <c r="L160" i="61" s="1"/>
  <c r="J146" i="61"/>
  <c r="K146" i="61" s="1"/>
  <c r="L146" i="61" s="1"/>
  <c r="CY146" i="61"/>
  <c r="J135" i="61"/>
  <c r="K135" i="61" s="1"/>
  <c r="L135" i="61" s="1"/>
  <c r="CY135" i="61"/>
  <c r="J159" i="61"/>
  <c r="K159" i="61" s="1"/>
  <c r="L159" i="61" s="1"/>
  <c r="CY159" i="61"/>
  <c r="J144" i="61"/>
  <c r="K144" i="61" s="1"/>
  <c r="L144" i="61" s="1"/>
  <c r="CY144" i="61"/>
  <c r="J140" i="61"/>
  <c r="K140" i="61" s="1"/>
  <c r="L140" i="61" s="1"/>
  <c r="CY140" i="61"/>
  <c r="BW121" i="61"/>
  <c r="BW163" i="61"/>
  <c r="BW181" i="61"/>
  <c r="BW147" i="61"/>
  <c r="BW176" i="61"/>
  <c r="M176" i="61" s="1"/>
  <c r="BW180" i="61"/>
  <c r="BW156" i="61"/>
  <c r="BW150" i="61"/>
  <c r="BW161" i="61"/>
  <c r="BW128" i="61"/>
  <c r="BW123" i="61"/>
  <c r="BW130" i="61"/>
  <c r="BW179" i="61"/>
  <c r="M179" i="61" s="1"/>
  <c r="BW165" i="61"/>
  <c r="BW132" i="61"/>
  <c r="BW126" i="61"/>
  <c r="BW142" i="61"/>
  <c r="BW125" i="61"/>
  <c r="BW164" i="61"/>
  <c r="M164" i="61" s="1"/>
  <c r="BW159" i="61"/>
  <c r="BW154" i="61"/>
  <c r="M154" i="61" s="1"/>
  <c r="BW149" i="61"/>
  <c r="BW122" i="61"/>
  <c r="M122" i="61" s="1"/>
  <c r="BW160" i="61"/>
  <c r="BW169" i="61"/>
  <c r="BW173" i="61"/>
  <c r="BW162" i="61"/>
  <c r="BW124" i="61"/>
  <c r="BW140" i="61"/>
  <c r="BW139" i="61"/>
  <c r="BW134" i="61"/>
  <c r="BW175" i="61"/>
  <c r="M175" i="61" s="1"/>
  <c r="BW168" i="61"/>
  <c r="M168" i="61" s="1"/>
  <c r="BW177" i="61"/>
  <c r="BW166" i="61"/>
  <c r="BW144" i="61"/>
  <c r="BW152" i="61"/>
  <c r="BW151" i="61"/>
  <c r="BW170" i="61"/>
  <c r="BW131" i="61"/>
  <c r="M131" i="61" s="1"/>
  <c r="BW133" i="61"/>
  <c r="BW155" i="61"/>
  <c r="BW145" i="61"/>
  <c r="BW141" i="61"/>
  <c r="BW136" i="61"/>
  <c r="BW135" i="61"/>
  <c r="BW153" i="61"/>
  <c r="BW167" i="61"/>
  <c r="M167" i="61" s="1"/>
  <c r="BW171" i="61"/>
  <c r="BW127" i="61"/>
  <c r="BW172" i="61"/>
  <c r="M172" i="61" s="1"/>
  <c r="BW148" i="61"/>
  <c r="BW158" i="61"/>
  <c r="BW129" i="61"/>
  <c r="BW157" i="61"/>
  <c r="BW137" i="61"/>
  <c r="BW178" i="61"/>
  <c r="M178" i="61" s="1"/>
  <c r="BW143" i="61"/>
  <c r="BW138" i="61"/>
  <c r="BW174" i="61"/>
  <c r="M174" i="61" s="1"/>
  <c r="BW146" i="61"/>
  <c r="I256" i="61"/>
  <c r="I254" i="61"/>
  <c r="I255" i="61"/>
  <c r="I253" i="61"/>
  <c r="CY189" i="61"/>
  <c r="CY201" i="61"/>
  <c r="J217" i="61"/>
  <c r="K217" i="61" s="1"/>
  <c r="L217" i="61" s="1"/>
  <c r="CY214" i="61"/>
  <c r="J231" i="61"/>
  <c r="K231" i="61" s="1"/>
  <c r="CY213" i="61"/>
  <c r="F243" i="61"/>
  <c r="CC243" i="61" s="1"/>
  <c r="F247" i="61"/>
  <c r="CC247" i="61" s="1"/>
  <c r="CN229" i="61"/>
  <c r="CN221" i="61"/>
  <c r="CN211" i="61"/>
  <c r="CN234" i="61"/>
  <c r="CN210" i="61"/>
  <c r="CN239" i="61"/>
  <c r="CN232" i="61"/>
  <c r="CN215" i="61"/>
  <c r="CN233" i="61"/>
  <c r="CN231" i="61"/>
  <c r="CN214" i="61"/>
  <c r="CN243" i="61"/>
  <c r="CN208" i="61"/>
  <c r="CN244" i="61"/>
  <c r="CN223" i="61"/>
  <c r="CN216" i="61"/>
  <c r="CN228" i="61"/>
  <c r="CN230" i="61"/>
  <c r="CN227" i="61"/>
  <c r="CN220" i="61"/>
  <c r="CN209" i="61"/>
  <c r="CN240" i="61"/>
  <c r="CN237" i="61"/>
  <c r="CN222" i="61"/>
  <c r="CN225" i="61"/>
  <c r="CN241" i="61"/>
  <c r="CN219" i="61"/>
  <c r="CN207" i="61"/>
  <c r="CN212" i="61"/>
  <c r="CN238" i="61"/>
  <c r="CN226" i="61"/>
  <c r="CN224" i="61"/>
  <c r="CN235" i="61"/>
  <c r="CN217" i="61"/>
  <c r="CN213" i="61"/>
  <c r="CN236" i="61"/>
  <c r="CN218" i="61"/>
  <c r="CN242" i="61"/>
  <c r="CN245" i="61"/>
  <c r="BW229" i="61"/>
  <c r="M229" i="61" s="1"/>
  <c r="BW221" i="61"/>
  <c r="M221" i="61" s="1"/>
  <c r="BW211" i="61"/>
  <c r="BW234" i="61"/>
  <c r="BW210" i="61"/>
  <c r="BW203" i="61"/>
  <c r="BW204" i="61"/>
  <c r="M204" i="61" s="1"/>
  <c r="BW192" i="61"/>
  <c r="M192" i="61" s="1"/>
  <c r="BW239" i="61"/>
  <c r="BW232" i="61"/>
  <c r="M232" i="61" s="1"/>
  <c r="BW215" i="61"/>
  <c r="BW196" i="61"/>
  <c r="M196" i="61" s="1"/>
  <c r="BW233" i="61"/>
  <c r="M233" i="61" s="1"/>
  <c r="BW231" i="61"/>
  <c r="M231" i="61" s="1"/>
  <c r="BW214" i="61"/>
  <c r="BW191" i="61"/>
  <c r="M191" i="61" s="1"/>
  <c r="BW243" i="61"/>
  <c r="BW208" i="61"/>
  <c r="M208" i="61" s="1"/>
  <c r="BW244" i="61"/>
  <c r="BW223" i="61"/>
  <c r="M223" i="61" s="1"/>
  <c r="BW216" i="61"/>
  <c r="M216" i="61" s="1"/>
  <c r="BW201" i="61"/>
  <c r="M201" i="61" s="1"/>
  <c r="BW228" i="61"/>
  <c r="BW230" i="61"/>
  <c r="M230" i="61" s="1"/>
  <c r="BW197" i="61"/>
  <c r="M197" i="61" s="1"/>
  <c r="BW227" i="61"/>
  <c r="M227" i="61" s="1"/>
  <c r="BW220" i="61"/>
  <c r="BW209" i="61"/>
  <c r="M209" i="61" s="1"/>
  <c r="BW240" i="61"/>
  <c r="BW237" i="61"/>
  <c r="BW222" i="61"/>
  <c r="BW247" i="61"/>
  <c r="BW225" i="61"/>
  <c r="M225" i="61" s="1"/>
  <c r="BW193" i="61"/>
  <c r="M193" i="61" s="1"/>
  <c r="BW241" i="61"/>
  <c r="BW219" i="61"/>
  <c r="M219" i="61" s="1"/>
  <c r="BW206" i="61"/>
  <c r="M206" i="61" s="1"/>
  <c r="BW194" i="61"/>
  <c r="BW246" i="61"/>
  <c r="BW207" i="61"/>
  <c r="M207" i="61" s="1"/>
  <c r="BW212" i="61"/>
  <c r="M212" i="61" s="1"/>
  <c r="BW238" i="61"/>
  <c r="BW226" i="61"/>
  <c r="BW202" i="61"/>
  <c r="M202" i="61" s="1"/>
  <c r="BW205" i="61"/>
  <c r="M205" i="61" s="1"/>
  <c r="BW189" i="61"/>
  <c r="M189" i="61" s="1"/>
  <c r="BW200" i="61"/>
  <c r="BW249" i="61"/>
  <c r="BW224" i="61"/>
  <c r="M224" i="61" s="1"/>
  <c r="BW195" i="61"/>
  <c r="M195" i="61" s="1"/>
  <c r="BW235" i="61"/>
  <c r="BW217" i="61"/>
  <c r="BW198" i="61"/>
  <c r="M198" i="61" s="1"/>
  <c r="BW213" i="61"/>
  <c r="M213" i="61" s="1"/>
  <c r="BW190" i="61"/>
  <c r="M190" i="61" s="1"/>
  <c r="BW236" i="61"/>
  <c r="BW218" i="61"/>
  <c r="BW199" i="61"/>
  <c r="M199" i="61" s="1"/>
  <c r="BW248" i="61"/>
  <c r="BW242" i="61"/>
  <c r="BW245" i="61"/>
  <c r="F238" i="61"/>
  <c r="F236" i="61"/>
  <c r="J194" i="61"/>
  <c r="K194" i="61" s="1"/>
  <c r="L194" i="61" s="1"/>
  <c r="CY227" i="61"/>
  <c r="I238" i="61"/>
  <c r="CY238" i="61" s="1"/>
  <c r="K226" i="61"/>
  <c r="K234" i="61"/>
  <c r="J203" i="61"/>
  <c r="F237" i="61"/>
  <c r="J237" i="61" s="1"/>
  <c r="K237" i="61" s="1"/>
  <c r="L237" i="61" s="1"/>
  <c r="J218" i="61"/>
  <c r="K218" i="61" s="1"/>
  <c r="L218" i="61" s="1"/>
  <c r="F248" i="61"/>
  <c r="CY202" i="61"/>
  <c r="J210" i="61"/>
  <c r="K210" i="61" s="1"/>
  <c r="L210" i="61" s="1"/>
  <c r="K203" i="61"/>
  <c r="I236" i="61"/>
  <c r="L228" i="61"/>
  <c r="L211" i="61"/>
  <c r="L207" i="61"/>
  <c r="L190" i="61"/>
  <c r="L231" i="61"/>
  <c r="L209" i="61"/>
  <c r="L174" i="61"/>
  <c r="L232" i="61"/>
  <c r="L197" i="61"/>
  <c r="L155" i="61"/>
  <c r="L224" i="61"/>
  <c r="L213" i="61"/>
  <c r="L166" i="61"/>
  <c r="L171" i="61"/>
  <c r="L221" i="61"/>
  <c r="L202" i="61"/>
  <c r="L178" i="61"/>
  <c r="L223" i="61"/>
  <c r="L230" i="61"/>
  <c r="L199" i="61"/>
  <c r="L175" i="61"/>
  <c r="L227" i="61"/>
  <c r="L205" i="61"/>
  <c r="L235" i="61"/>
  <c r="L167" i="61"/>
  <c r="L179" i="61"/>
  <c r="L200" i="61"/>
  <c r="L176" i="61"/>
  <c r="L225" i="61"/>
  <c r="L195" i="61"/>
  <c r="L229" i="61"/>
  <c r="L189" i="61"/>
  <c r="J246" i="61"/>
  <c r="K246" i="61" s="1"/>
  <c r="CC246" i="61"/>
  <c r="CC248" i="61"/>
  <c r="J248" i="61"/>
  <c r="K248" i="61" s="1"/>
  <c r="M76" i="61"/>
  <c r="M73" i="61"/>
  <c r="M74" i="61"/>
  <c r="M75" i="61"/>
  <c r="L81" i="61"/>
  <c r="L215" i="61"/>
  <c r="CC249" i="61"/>
  <c r="J249" i="61"/>
  <c r="K249" i="61" s="1"/>
  <c r="J242" i="61"/>
  <c r="K242" i="61" s="1"/>
  <c r="CC242" i="61"/>
  <c r="L180" i="61"/>
  <c r="L122" i="61"/>
  <c r="L233" i="61"/>
  <c r="L193" i="61"/>
  <c r="CC245" i="61"/>
  <c r="J245" i="61"/>
  <c r="K245" i="61" s="1"/>
  <c r="L154" i="61"/>
  <c r="J181" i="61"/>
  <c r="K181" i="61" s="1"/>
  <c r="K240" i="61"/>
  <c r="J240" i="61"/>
  <c r="L172" i="61"/>
  <c r="L131" i="61"/>
  <c r="J170" i="61"/>
  <c r="K170" i="61" s="1"/>
  <c r="L222" i="61"/>
  <c r="L216" i="61"/>
  <c r="CY236" i="61"/>
  <c r="CY199" i="61"/>
  <c r="L219" i="61"/>
  <c r="CY244" i="61"/>
  <c r="CY176" i="61"/>
  <c r="L208" i="61"/>
  <c r="J241" i="61"/>
  <c r="K241" i="61" s="1"/>
  <c r="CC241" i="61"/>
  <c r="CY168" i="61"/>
  <c r="J169" i="61"/>
  <c r="K169" i="61" s="1"/>
  <c r="L220" i="61"/>
  <c r="L214" i="61"/>
  <c r="L204" i="61"/>
  <c r="L164" i="61"/>
  <c r="L177" i="61"/>
  <c r="L234" i="61"/>
  <c r="L196" i="61"/>
  <c r="L173" i="61"/>
  <c r="L80" i="61"/>
  <c r="L206" i="61"/>
  <c r="L212" i="61"/>
  <c r="CY170" i="61"/>
  <c r="L191" i="61"/>
  <c r="CC244" i="61"/>
  <c r="J244" i="61"/>
  <c r="K244" i="61" s="1"/>
  <c r="L198" i="61"/>
  <c r="L201" i="61"/>
  <c r="L192" i="61"/>
  <c r="J239" i="61"/>
  <c r="K239" i="61" s="1"/>
  <c r="CY131" i="61"/>
  <c r="AQ245" i="61"/>
  <c r="AQ224" i="61"/>
  <c r="AQ210" i="61"/>
  <c r="AQ214" i="61"/>
  <c r="AQ219" i="61"/>
  <c r="AQ217" i="61"/>
  <c r="AQ156" i="61"/>
  <c r="AQ142" i="61"/>
  <c r="BV206" i="61"/>
  <c r="BV157" i="61"/>
  <c r="BV141" i="61"/>
  <c r="BV172" i="61"/>
  <c r="BV226" i="61"/>
  <c r="BK131" i="61"/>
  <c r="BV229" i="61"/>
  <c r="BL237" i="61"/>
  <c r="BL208" i="61"/>
  <c r="BL242" i="61"/>
  <c r="BV235" i="61"/>
  <c r="BK169" i="61"/>
  <c r="BL222" i="61"/>
  <c r="BV126" i="61"/>
  <c r="BV230" i="61"/>
  <c r="BK128" i="61"/>
  <c r="BK147" i="61"/>
  <c r="BV124" i="61"/>
  <c r="BL225" i="61"/>
  <c r="BL197" i="61"/>
  <c r="BK156" i="61"/>
  <c r="BK130" i="61"/>
  <c r="BV227" i="61"/>
  <c r="BV179" i="61"/>
  <c r="BL212" i="61"/>
  <c r="BV210" i="61"/>
  <c r="BK167" i="61"/>
  <c r="BL246" i="61"/>
  <c r="BV174" i="61"/>
  <c r="BV213" i="61"/>
  <c r="BV199" i="61"/>
  <c r="BV241" i="61"/>
  <c r="BK153" i="61"/>
  <c r="BK145" i="61"/>
  <c r="BV178" i="61"/>
  <c r="BL233" i="61"/>
  <c r="BV200" i="61"/>
  <c r="BK122" i="61"/>
  <c r="BV165" i="61"/>
  <c r="BK163" i="61"/>
  <c r="BV134" i="61"/>
  <c r="BK143" i="61"/>
  <c r="BV189" i="61"/>
  <c r="BK125" i="61"/>
  <c r="BK152" i="61"/>
  <c r="BV205" i="61"/>
  <c r="BV158" i="61"/>
  <c r="BV244" i="61"/>
  <c r="BL204" i="61"/>
  <c r="BL221" i="61"/>
  <c r="BV137" i="61"/>
  <c r="BV192" i="61"/>
  <c r="BV220" i="61"/>
  <c r="BL234" i="61"/>
  <c r="BK154" i="61"/>
  <c r="BL215" i="61"/>
  <c r="BV214" i="61"/>
  <c r="BV212" i="61"/>
  <c r="BV121" i="61"/>
  <c r="BV151" i="61"/>
  <c r="BL248" i="61"/>
  <c r="BV181" i="61"/>
  <c r="BL224" i="61"/>
  <c r="BV208" i="61"/>
  <c r="BK168" i="61"/>
  <c r="BK126" i="61"/>
  <c r="BV248" i="61"/>
  <c r="BV142" i="61"/>
  <c r="BV161" i="61"/>
  <c r="BL228" i="61"/>
  <c r="BL231" i="61"/>
  <c r="BL241" i="61"/>
  <c r="BL193" i="61"/>
  <c r="BL219" i="61"/>
  <c r="BV122" i="61"/>
  <c r="BV218" i="61"/>
  <c r="BK148" i="61"/>
  <c r="BV155" i="61"/>
  <c r="BV245" i="61"/>
  <c r="BK140" i="61"/>
  <c r="BK121" i="61"/>
  <c r="BV201" i="61"/>
  <c r="BV163" i="61"/>
  <c r="BL218" i="61"/>
  <c r="BV239" i="61"/>
  <c r="BV242" i="61"/>
  <c r="BV156" i="61"/>
  <c r="BL230" i="61"/>
  <c r="BV221" i="61"/>
  <c r="BV198" i="61"/>
  <c r="BL216" i="61"/>
  <c r="BL249" i="61"/>
  <c r="BL206" i="61"/>
  <c r="BV217" i="61"/>
  <c r="BK132" i="61"/>
  <c r="BV143" i="61"/>
  <c r="BV131" i="61"/>
  <c r="BK166" i="61"/>
  <c r="BV128" i="61"/>
  <c r="BV132" i="61"/>
  <c r="BV204" i="61"/>
  <c r="BL207" i="61"/>
  <c r="BV123" i="61"/>
  <c r="BK180" i="61"/>
  <c r="BL201" i="61"/>
  <c r="BV133" i="61"/>
  <c r="BV193" i="61"/>
  <c r="BK123" i="61"/>
  <c r="BV176" i="61"/>
  <c r="BL236" i="61"/>
  <c r="BL194" i="61"/>
  <c r="BL243" i="61"/>
  <c r="BK157" i="61"/>
  <c r="BV219" i="61"/>
  <c r="BV136" i="61"/>
  <c r="BK178" i="61"/>
  <c r="BK129" i="61"/>
  <c r="BV164" i="61"/>
  <c r="J255" i="61"/>
  <c r="BL192" i="61"/>
  <c r="BL202" i="61"/>
  <c r="BV144" i="61"/>
  <c r="BL191" i="61"/>
  <c r="BV246" i="61"/>
  <c r="BV197" i="61"/>
  <c r="BV173" i="61"/>
  <c r="BK138" i="61"/>
  <c r="BL190" i="61"/>
  <c r="BV222" i="61"/>
  <c r="BK175" i="61"/>
  <c r="J256" i="61"/>
  <c r="BV150" i="61"/>
  <c r="BK141" i="61"/>
  <c r="BV194" i="61"/>
  <c r="BL211" i="61"/>
  <c r="BK146" i="61"/>
  <c r="BV195" i="61"/>
  <c r="BV237" i="61"/>
  <c r="BK176" i="61"/>
  <c r="BK142" i="61"/>
  <c r="BV130" i="61"/>
  <c r="BK161" i="61"/>
  <c r="BV211" i="61"/>
  <c r="BV125" i="61"/>
  <c r="BL226" i="61"/>
  <c r="BV160" i="61"/>
  <c r="BL214" i="61"/>
  <c r="BV139" i="61"/>
  <c r="BL196" i="61"/>
  <c r="BK150" i="61"/>
  <c r="BV166" i="61"/>
  <c r="BK149" i="61"/>
  <c r="BV232" i="61"/>
  <c r="BK174" i="61"/>
  <c r="BV233" i="61"/>
  <c r="BL200" i="61"/>
  <c r="BL238" i="61"/>
  <c r="J253" i="61"/>
  <c r="BL210" i="61"/>
  <c r="BV129" i="61"/>
  <c r="BV249" i="61"/>
  <c r="BV190" i="61"/>
  <c r="BK127" i="61"/>
  <c r="BV135" i="61"/>
  <c r="BV168" i="61"/>
  <c r="BK134" i="61"/>
  <c r="BL189" i="61"/>
  <c r="BV159" i="61"/>
  <c r="BV145" i="61"/>
  <c r="BK139" i="61"/>
  <c r="BL220" i="61"/>
  <c r="BK137" i="61"/>
  <c r="BV216" i="61"/>
  <c r="BV215" i="61"/>
  <c r="BL232" i="61"/>
  <c r="BK165" i="61"/>
  <c r="BV138" i="61"/>
  <c r="BL240" i="61"/>
  <c r="BK136" i="61"/>
  <c r="BK181" i="61"/>
  <c r="BK160" i="61"/>
  <c r="BL235" i="61"/>
  <c r="BV180" i="61"/>
  <c r="BV243" i="61"/>
  <c r="BV238" i="61"/>
  <c r="BK170" i="61"/>
  <c r="BK135" i="61"/>
  <c r="BV202" i="61"/>
  <c r="BL205" i="61"/>
  <c r="BV196" i="61"/>
  <c r="BL209" i="61"/>
  <c r="BV191" i="61"/>
  <c r="BV247" i="61"/>
  <c r="BV225" i="61"/>
  <c r="BV207" i="61"/>
  <c r="BV175" i="61"/>
  <c r="BK124" i="61"/>
  <c r="BK133" i="61"/>
  <c r="BV146" i="61"/>
  <c r="BL223" i="61"/>
  <c r="BV149" i="61"/>
  <c r="BK171" i="61"/>
  <c r="BL195" i="61"/>
  <c r="BV236" i="61"/>
  <c r="BK179" i="61"/>
  <c r="BV162" i="61"/>
  <c r="BL213" i="61"/>
  <c r="BL244" i="61"/>
  <c r="BL239" i="61"/>
  <c r="BV240" i="61"/>
  <c r="BV154" i="61"/>
  <c r="BV140" i="61"/>
  <c r="BV147" i="61"/>
  <c r="BK144" i="61"/>
  <c r="BL247" i="61"/>
  <c r="BL198" i="61"/>
  <c r="BV228" i="61"/>
  <c r="BK151" i="61"/>
  <c r="BL229" i="61"/>
  <c r="BK162" i="61"/>
  <c r="BL245" i="61"/>
  <c r="BV224" i="61"/>
  <c r="BV223" i="61"/>
  <c r="BK172" i="61"/>
  <c r="BV234" i="61"/>
  <c r="BV231" i="61"/>
  <c r="BV177" i="61"/>
  <c r="BL217" i="61"/>
  <c r="BL199" i="61"/>
  <c r="BK173" i="61"/>
  <c r="BK155" i="61"/>
  <c r="BV167" i="61"/>
  <c r="BK177" i="61"/>
  <c r="BV170" i="61"/>
  <c r="BK158" i="61"/>
  <c r="BV209" i="61"/>
  <c r="BV169" i="61"/>
  <c r="BV171" i="61"/>
  <c r="BV152" i="61"/>
  <c r="J254" i="61"/>
  <c r="BL227" i="61"/>
  <c r="BL203" i="61"/>
  <c r="BV203" i="61"/>
  <c r="BK164" i="61"/>
  <c r="BV127" i="61"/>
  <c r="BV153" i="61"/>
  <c r="BV148" i="61"/>
  <c r="BK159" i="61"/>
  <c r="M126" i="61" l="1"/>
  <c r="M124" i="61"/>
  <c r="M130" i="61"/>
  <c r="M128" i="61"/>
  <c r="M133" i="61"/>
  <c r="M162" i="61"/>
  <c r="M226" i="61"/>
  <c r="M157" i="61"/>
  <c r="M156" i="61"/>
  <c r="M155" i="61"/>
  <c r="M152" i="61"/>
  <c r="M161" i="61"/>
  <c r="M158" i="61"/>
  <c r="M142" i="61"/>
  <c r="M151" i="61"/>
  <c r="M149" i="61"/>
  <c r="M125" i="61"/>
  <c r="M163" i="61"/>
  <c r="M148" i="61"/>
  <c r="M141" i="61"/>
  <c r="M160" i="61"/>
  <c r="M150" i="61"/>
  <c r="M138" i="61"/>
  <c r="M153" i="61"/>
  <c r="M137" i="61"/>
  <c r="M144" i="61"/>
  <c r="M147" i="61"/>
  <c r="M129" i="61"/>
  <c r="M165" i="61"/>
  <c r="M140" i="61"/>
  <c r="M159" i="61"/>
  <c r="CN181" i="61"/>
  <c r="CN157" i="61"/>
  <c r="M237" i="61"/>
  <c r="M234" i="61"/>
  <c r="CN180" i="61"/>
  <c r="CN130" i="61"/>
  <c r="CN132" i="61"/>
  <c r="CN133" i="61"/>
  <c r="CN134" i="61"/>
  <c r="CN125" i="61"/>
  <c r="CN126" i="61"/>
  <c r="CN123" i="61"/>
  <c r="CN129" i="61"/>
  <c r="CN127" i="61"/>
  <c r="CN131" i="61"/>
  <c r="CN124" i="61"/>
  <c r="CN122" i="61"/>
  <c r="CN135" i="61"/>
  <c r="CN128" i="61"/>
  <c r="CN178" i="61"/>
  <c r="AR224" i="61"/>
  <c r="CN156" i="61"/>
  <c r="CN142" i="61"/>
  <c r="CN176" i="61"/>
  <c r="CN163" i="61"/>
  <c r="CN149" i="61"/>
  <c r="AR217" i="61"/>
  <c r="CN172" i="61"/>
  <c r="CN147" i="61"/>
  <c r="CN173" i="61"/>
  <c r="AR245" i="61"/>
  <c r="CN167" i="61"/>
  <c r="CN141" i="61"/>
  <c r="AR210" i="61"/>
  <c r="CN144" i="61"/>
  <c r="CN174" i="61"/>
  <c r="AR219" i="61"/>
  <c r="CN164" i="61"/>
  <c r="CN162" i="61"/>
  <c r="AR214" i="61"/>
  <c r="CN160" i="61"/>
  <c r="M121" i="61"/>
  <c r="AR218" i="61"/>
  <c r="AR234" i="61"/>
  <c r="AR222" i="61"/>
  <c r="CN139" i="61"/>
  <c r="CN138" i="61"/>
  <c r="CN168" i="61"/>
  <c r="CN171" i="61"/>
  <c r="CN165" i="61"/>
  <c r="CN148" i="61"/>
  <c r="CN155" i="61"/>
  <c r="CN159" i="61"/>
  <c r="CN154" i="61"/>
  <c r="AR225" i="61"/>
  <c r="AR243" i="61"/>
  <c r="AR229" i="61"/>
  <c r="AR226" i="61"/>
  <c r="AR239" i="61"/>
  <c r="AR216" i="61"/>
  <c r="AR233" i="61"/>
  <c r="AR223" i="61"/>
  <c r="AR240" i="61"/>
  <c r="CN140" i="61"/>
  <c r="CN150" i="61"/>
  <c r="CN170" i="61"/>
  <c r="CN137" i="61"/>
  <c r="CN169" i="61"/>
  <c r="CN179" i="61"/>
  <c r="CN143" i="61"/>
  <c r="CN158" i="61"/>
  <c r="CN177" i="61"/>
  <c r="CN152" i="61"/>
  <c r="CN153" i="61"/>
  <c r="CN145" i="61"/>
  <c r="CN151" i="61"/>
  <c r="CN161" i="61"/>
  <c r="CN136" i="61"/>
  <c r="CN146" i="61"/>
  <c r="CN166" i="61"/>
  <c r="CN175" i="61"/>
  <c r="AR244" i="61"/>
  <c r="AR220" i="61"/>
  <c r="AR207" i="61"/>
  <c r="AR236" i="61"/>
  <c r="AR209" i="61"/>
  <c r="AR242" i="61"/>
  <c r="AR212" i="61"/>
  <c r="AR235" i="61"/>
  <c r="AR211" i="61"/>
  <c r="AR241" i="61"/>
  <c r="AR228" i="61"/>
  <c r="AR215" i="61"/>
  <c r="AR230" i="61"/>
  <c r="AR237" i="61"/>
  <c r="AR227" i="61"/>
  <c r="AR221" i="61"/>
  <c r="AR231" i="61"/>
  <c r="AR232" i="61"/>
  <c r="AR238" i="61"/>
  <c r="AR213" i="61"/>
  <c r="AR208" i="61"/>
  <c r="AR197" i="61"/>
  <c r="AR248" i="61"/>
  <c r="AR199" i="61"/>
  <c r="AR198" i="61"/>
  <c r="AR249" i="61"/>
  <c r="AR196" i="61"/>
  <c r="AR190" i="61"/>
  <c r="AR195" i="61"/>
  <c r="AR201" i="61"/>
  <c r="AR191" i="61"/>
  <c r="AR204" i="61"/>
  <c r="AR193" i="61"/>
  <c r="AR205" i="61"/>
  <c r="AR202" i="61"/>
  <c r="AR192" i="61"/>
  <c r="AR200" i="61"/>
  <c r="AR189" i="61"/>
  <c r="AR203" i="61"/>
  <c r="AR206" i="61"/>
  <c r="AR247" i="61"/>
  <c r="AR246" i="61"/>
  <c r="AR194" i="61"/>
  <c r="M203" i="61"/>
  <c r="M127" i="61"/>
  <c r="M145" i="61"/>
  <c r="M173" i="61"/>
  <c r="M180" i="61"/>
  <c r="M171" i="61"/>
  <c r="M166" i="61"/>
  <c r="M143" i="61"/>
  <c r="M132" i="61"/>
  <c r="M134" i="61"/>
  <c r="M177" i="61"/>
  <c r="M136" i="61"/>
  <c r="M139" i="61"/>
  <c r="M123" i="61"/>
  <c r="M135" i="61"/>
  <c r="M146" i="61"/>
  <c r="M194" i="61"/>
  <c r="M81" i="61"/>
  <c r="M80" i="61"/>
  <c r="J247" i="61"/>
  <c r="K247" i="61" s="1"/>
  <c r="J243" i="61"/>
  <c r="K243" i="61" s="1"/>
  <c r="M210" i="61"/>
  <c r="M217" i="61"/>
  <c r="AQ226" i="61"/>
  <c r="AQ208" i="61"/>
  <c r="AQ209" i="61"/>
  <c r="AQ198" i="61"/>
  <c r="AQ239" i="61"/>
  <c r="AQ242" i="61"/>
  <c r="AQ215" i="61"/>
  <c r="AQ231" i="61"/>
  <c r="AQ216" i="61"/>
  <c r="AQ227" i="61"/>
  <c r="AQ213" i="61"/>
  <c r="AQ211" i="61"/>
  <c r="AQ232" i="61"/>
  <c r="AQ191" i="61"/>
  <c r="AQ189" i="61"/>
  <c r="AQ194" i="61"/>
  <c r="AQ204" i="61"/>
  <c r="AQ244" i="61"/>
  <c r="AQ196" i="61"/>
  <c r="AQ241" i="61"/>
  <c r="AQ233" i="61"/>
  <c r="AQ207" i="61"/>
  <c r="AQ203" i="61"/>
  <c r="AQ221" i="61"/>
  <c r="AQ223" i="61"/>
  <c r="AQ206" i="61"/>
  <c r="AQ236" i="61"/>
  <c r="AQ229" i="61"/>
  <c r="AQ218" i="61"/>
  <c r="AQ190" i="61"/>
  <c r="AQ197" i="61"/>
  <c r="AQ238" i="61"/>
  <c r="AQ212" i="61"/>
  <c r="AQ220" i="61"/>
  <c r="AQ235" i="61"/>
  <c r="AQ202" i="61"/>
  <c r="AQ248" i="61"/>
  <c r="AQ201" i="61"/>
  <c r="AQ228" i="61"/>
  <c r="AQ243" i="61"/>
  <c r="AQ192" i="61"/>
  <c r="AQ205" i="61"/>
  <c r="AQ249" i="61"/>
  <c r="AQ246" i="61"/>
  <c r="AQ195" i="61"/>
  <c r="AQ234" i="61"/>
  <c r="AQ222" i="61"/>
  <c r="AQ200" i="61"/>
  <c r="AQ199" i="61"/>
  <c r="AQ230" i="61"/>
  <c r="AQ240" i="61"/>
  <c r="AQ247" i="61"/>
  <c r="AQ237" i="61"/>
  <c r="AQ225" i="61"/>
  <c r="AQ193" i="61"/>
  <c r="AQ138" i="61"/>
  <c r="AQ121" i="61"/>
  <c r="AQ174" i="61"/>
  <c r="AQ175" i="61"/>
  <c r="AQ141" i="61"/>
  <c r="AQ128" i="61"/>
  <c r="AQ131" i="61"/>
  <c r="AQ159" i="61"/>
  <c r="AQ167" i="61"/>
  <c r="AQ132" i="61"/>
  <c r="AQ139" i="61"/>
  <c r="AQ124" i="61"/>
  <c r="AQ176" i="61"/>
  <c r="AQ150" i="61"/>
  <c r="AQ148" i="61"/>
  <c r="AQ129" i="61"/>
  <c r="AQ135" i="61"/>
  <c r="AQ158" i="61"/>
  <c r="AQ152" i="61"/>
  <c r="AQ151" i="61"/>
  <c r="AQ123" i="61"/>
  <c r="AQ140" i="61"/>
  <c r="AQ146" i="61"/>
  <c r="AQ149" i="61"/>
  <c r="AQ165" i="61"/>
  <c r="AQ179" i="61"/>
  <c r="AQ168" i="61"/>
  <c r="AQ153" i="61"/>
  <c r="AQ122" i="61"/>
  <c r="AQ172" i="61"/>
  <c r="AQ134" i="61"/>
  <c r="AQ126" i="61"/>
  <c r="AQ161" i="61"/>
  <c r="AQ133" i="61"/>
  <c r="AQ173" i="61"/>
  <c r="AQ144" i="61"/>
  <c r="AQ127" i="61"/>
  <c r="AQ181" i="61"/>
  <c r="AQ157" i="61"/>
  <c r="AQ171" i="61"/>
  <c r="AQ147" i="61"/>
  <c r="AQ164" i="61"/>
  <c r="AQ163" i="61"/>
  <c r="AQ166" i="61"/>
  <c r="AQ160" i="61"/>
  <c r="AQ170" i="61"/>
  <c r="AQ177" i="61"/>
  <c r="AQ178" i="61"/>
  <c r="AQ180" i="61"/>
  <c r="AQ169" i="61"/>
  <c r="AQ162" i="61"/>
  <c r="AQ143" i="61"/>
  <c r="AQ130" i="61"/>
  <c r="L226" i="61" l="1"/>
  <c r="J236" i="61"/>
  <c r="K236" i="61" s="1"/>
  <c r="L203" i="61"/>
  <c r="T203" i="61" s="1"/>
  <c r="M218" i="61"/>
  <c r="M222" i="61"/>
  <c r="M211" i="61"/>
  <c r="J238" i="61"/>
  <c r="K238" i="61" s="1"/>
  <c r="M200" i="61"/>
  <c r="M214" i="61"/>
  <c r="M220" i="61"/>
  <c r="M215" i="61"/>
  <c r="M235" i="61"/>
  <c r="M228" i="61"/>
  <c r="M181" i="61"/>
  <c r="L181" i="61"/>
  <c r="L249" i="61"/>
  <c r="M249" i="61"/>
  <c r="M247" i="61"/>
  <c r="L247" i="61"/>
  <c r="M244" i="61"/>
  <c r="L244" i="61"/>
  <c r="L245" i="61"/>
  <c r="M245" i="61"/>
  <c r="M248" i="61"/>
  <c r="L248" i="61"/>
  <c r="U165" i="61"/>
  <c r="T165" i="61"/>
  <c r="U173" i="61"/>
  <c r="T173" i="61"/>
  <c r="T196" i="61"/>
  <c r="U196" i="61"/>
  <c r="T234" i="61"/>
  <c r="U234" i="61"/>
  <c r="T147" i="61"/>
  <c r="U147" i="61"/>
  <c r="U139" i="61"/>
  <c r="T139" i="61"/>
  <c r="U123" i="61"/>
  <c r="T123" i="61"/>
  <c r="U138" i="61"/>
  <c r="T138" i="61"/>
  <c r="U122" i="61"/>
  <c r="T122" i="61"/>
  <c r="U215" i="61"/>
  <c r="T215" i="61"/>
  <c r="P79" i="61"/>
  <c r="K79" i="61"/>
  <c r="CP206" i="61"/>
  <c r="CV206" i="61"/>
  <c r="CR206" i="61"/>
  <c r="CS206" i="61"/>
  <c r="CQ206" i="61"/>
  <c r="CU206" i="61"/>
  <c r="CD206" i="61"/>
  <c r="CP189" i="61"/>
  <c r="CV189" i="61"/>
  <c r="CR189" i="61"/>
  <c r="CU189" i="61"/>
  <c r="CS189" i="61"/>
  <c r="CQ189" i="61"/>
  <c r="CD189" i="61"/>
  <c r="CU205" i="61"/>
  <c r="CQ205" i="61"/>
  <c r="CP205" i="61"/>
  <c r="CV205" i="61"/>
  <c r="CR205" i="61"/>
  <c r="CS205" i="61"/>
  <c r="CD205" i="61"/>
  <c r="CS203" i="61"/>
  <c r="CV203" i="61"/>
  <c r="CR203" i="61"/>
  <c r="CP203" i="61"/>
  <c r="CU203" i="61"/>
  <c r="CQ203" i="61"/>
  <c r="CD203" i="61"/>
  <c r="CV207" i="61"/>
  <c r="CU207" i="61"/>
  <c r="CD207" i="61"/>
  <c r="CD215" i="61"/>
  <c r="CV215" i="61"/>
  <c r="CU215" i="61"/>
  <c r="CV218" i="61"/>
  <c r="CU218" i="61"/>
  <c r="CD218" i="61"/>
  <c r="CU223" i="61"/>
  <c r="CV223" i="61"/>
  <c r="CD223" i="61"/>
  <c r="CV217" i="61"/>
  <c r="CU217" i="61"/>
  <c r="CD217" i="61"/>
  <c r="CV226" i="61"/>
  <c r="CU226" i="61"/>
  <c r="CD226" i="61"/>
  <c r="CD233" i="61"/>
  <c r="CV233" i="61"/>
  <c r="CU233" i="61"/>
  <c r="CV231" i="61"/>
  <c r="CU231" i="61"/>
  <c r="CD231" i="61"/>
  <c r="CD239" i="61"/>
  <c r="CV239" i="61"/>
  <c r="CU239" i="61"/>
  <c r="CV244" i="61"/>
  <c r="CU244" i="61"/>
  <c r="CD244" i="61"/>
  <c r="BY244" i="61" s="1"/>
  <c r="CR244" i="61" s="1"/>
  <c r="CV245" i="61"/>
  <c r="CU245" i="61"/>
  <c r="CD245" i="61"/>
  <c r="BY245" i="61" s="1"/>
  <c r="CR245" i="61" s="1"/>
  <c r="T152" i="61"/>
  <c r="U152" i="61"/>
  <c r="T195" i="61"/>
  <c r="U195" i="61"/>
  <c r="U176" i="61"/>
  <c r="T176" i="61"/>
  <c r="T145" i="61"/>
  <c r="U145" i="61"/>
  <c r="T237" i="61"/>
  <c r="U237" i="61"/>
  <c r="T230" i="61"/>
  <c r="U230" i="61"/>
  <c r="T221" i="61"/>
  <c r="U221" i="61"/>
  <c r="T146" i="61"/>
  <c r="U146" i="61"/>
  <c r="T143" i="61"/>
  <c r="U143" i="61"/>
  <c r="T218" i="61"/>
  <c r="U218" i="61"/>
  <c r="U217" i="61"/>
  <c r="T217" i="61"/>
  <c r="U231" i="61"/>
  <c r="T231" i="61"/>
  <c r="U211" i="61"/>
  <c r="T211" i="61"/>
  <c r="U132" i="61"/>
  <c r="T132" i="61"/>
  <c r="U198" i="61"/>
  <c r="T198" i="61"/>
  <c r="T212" i="61"/>
  <c r="U212" i="61"/>
  <c r="U129" i="61"/>
  <c r="T129" i="61"/>
  <c r="U177" i="61"/>
  <c r="T177" i="61"/>
  <c r="U226" i="61"/>
  <c r="T226" i="61"/>
  <c r="T208" i="61"/>
  <c r="U208" i="61"/>
  <c r="U128" i="61"/>
  <c r="T128" i="61"/>
  <c r="T157" i="61"/>
  <c r="U157" i="61"/>
  <c r="T154" i="61"/>
  <c r="U154" i="61"/>
  <c r="U193" i="61"/>
  <c r="T193" i="61"/>
  <c r="T158" i="61"/>
  <c r="U158" i="61"/>
  <c r="P81" i="61"/>
  <c r="Q81" i="61" s="1"/>
  <c r="R81" i="61" s="1"/>
  <c r="K81" i="61"/>
  <c r="CS190" i="61"/>
  <c r="CU190" i="61"/>
  <c r="CQ190" i="61"/>
  <c r="CR190" i="61"/>
  <c r="CD190" i="61"/>
  <c r="CP190" i="61"/>
  <c r="CV190" i="61"/>
  <c r="CU193" i="61"/>
  <c r="CQ193" i="61"/>
  <c r="CP193" i="61"/>
  <c r="CV193" i="61"/>
  <c r="CR193" i="61"/>
  <c r="CS193" i="61"/>
  <c r="CD193" i="61"/>
  <c r="CV191" i="61"/>
  <c r="CR191" i="61"/>
  <c r="CP191" i="61"/>
  <c r="CU191" i="61"/>
  <c r="CS191" i="61"/>
  <c r="CQ191" i="61"/>
  <c r="CD191" i="61"/>
  <c r="CV196" i="61"/>
  <c r="CR196" i="61"/>
  <c r="CU196" i="61"/>
  <c r="CQ196" i="61"/>
  <c r="CS196" i="61"/>
  <c r="CP196" i="61"/>
  <c r="CD196" i="61"/>
  <c r="CU210" i="61"/>
  <c r="CV210" i="61"/>
  <c r="CD210" i="61"/>
  <c r="CV208" i="61"/>
  <c r="CU208" i="61"/>
  <c r="CD208" i="61"/>
  <c r="CV209" i="61"/>
  <c r="CU209" i="61"/>
  <c r="CD209" i="61"/>
  <c r="CU227" i="61"/>
  <c r="CD227" i="61"/>
  <c r="CV227" i="61"/>
  <c r="CV221" i="61"/>
  <c r="CU221" i="61"/>
  <c r="CD221" i="61"/>
  <c r="CU228" i="61"/>
  <c r="CV228" i="61"/>
  <c r="CD228" i="61"/>
  <c r="CV230" i="61"/>
  <c r="CU230" i="61"/>
  <c r="CD230" i="61"/>
  <c r="CU235" i="61"/>
  <c r="CV235" i="61"/>
  <c r="CD235" i="61"/>
  <c r="CD243" i="61"/>
  <c r="BY243" i="61" s="1"/>
  <c r="CR243" i="61" s="1"/>
  <c r="CV243" i="61"/>
  <c r="CU243" i="61"/>
  <c r="CV241" i="61"/>
  <c r="CU241" i="61"/>
  <c r="CD241" i="61"/>
  <c r="BY241" i="61" s="1"/>
  <c r="CR241" i="61" s="1"/>
  <c r="CS249" i="61"/>
  <c r="CV249" i="61"/>
  <c r="CR249" i="61"/>
  <c r="CU249" i="61"/>
  <c r="CQ249" i="61"/>
  <c r="CP249" i="61"/>
  <c r="CD249" i="61"/>
  <c r="BY249" i="61" s="1"/>
  <c r="U127" i="61"/>
  <c r="T127" i="61"/>
  <c r="U229" i="61"/>
  <c r="T229" i="61"/>
  <c r="U126" i="61"/>
  <c r="T126" i="61"/>
  <c r="U235" i="61"/>
  <c r="T235" i="61"/>
  <c r="U125" i="61"/>
  <c r="T125" i="61"/>
  <c r="U205" i="61"/>
  <c r="T205" i="61"/>
  <c r="U227" i="61"/>
  <c r="T227" i="61"/>
  <c r="U124" i="61"/>
  <c r="T124" i="61"/>
  <c r="U210" i="61"/>
  <c r="T210" i="61"/>
  <c r="U135" i="61"/>
  <c r="T135" i="61"/>
  <c r="U202" i="61"/>
  <c r="T202" i="61"/>
  <c r="U171" i="61"/>
  <c r="T171" i="61"/>
  <c r="T166" i="61"/>
  <c r="U166" i="61"/>
  <c r="U224" i="61"/>
  <c r="T224" i="61"/>
  <c r="U134" i="61"/>
  <c r="T134" i="61"/>
  <c r="U197" i="61"/>
  <c r="T197" i="61"/>
  <c r="U232" i="61"/>
  <c r="T232" i="61"/>
  <c r="T153" i="61"/>
  <c r="U153" i="61"/>
  <c r="T190" i="61"/>
  <c r="U190" i="61"/>
  <c r="T192" i="61"/>
  <c r="U192" i="61"/>
  <c r="U191" i="61"/>
  <c r="T191" i="61"/>
  <c r="U206" i="61"/>
  <c r="T206" i="61"/>
  <c r="U163" i="61"/>
  <c r="T163" i="61"/>
  <c r="T204" i="61"/>
  <c r="U204" i="61"/>
  <c r="T216" i="61"/>
  <c r="U216" i="61"/>
  <c r="U131" i="61"/>
  <c r="T131" i="61"/>
  <c r="U130" i="61"/>
  <c r="T130" i="61"/>
  <c r="M242" i="61"/>
  <c r="L242" i="61"/>
  <c r="CP194" i="61"/>
  <c r="CD194" i="61"/>
  <c r="CS194" i="61"/>
  <c r="CU194" i="61"/>
  <c r="CQ194" i="61"/>
  <c r="CV194" i="61"/>
  <c r="CR194" i="61"/>
  <c r="CP202" i="61"/>
  <c r="CD202" i="61"/>
  <c r="CS202" i="61"/>
  <c r="CU202" i="61"/>
  <c r="CQ202" i="61"/>
  <c r="CV202" i="61"/>
  <c r="CR202" i="61"/>
  <c r="CU197" i="61"/>
  <c r="CQ197" i="61"/>
  <c r="CP197" i="61"/>
  <c r="CV197" i="61"/>
  <c r="CR197" i="61"/>
  <c r="CS197" i="61"/>
  <c r="CD197" i="61"/>
  <c r="CS195" i="61"/>
  <c r="CV195" i="61"/>
  <c r="CR195" i="61"/>
  <c r="CP195" i="61"/>
  <c r="CU195" i="61"/>
  <c r="CQ195" i="61"/>
  <c r="CD195" i="61"/>
  <c r="CV200" i="61"/>
  <c r="CR200" i="61"/>
  <c r="CU200" i="61"/>
  <c r="CQ200" i="61"/>
  <c r="CS200" i="61"/>
  <c r="CP200" i="61"/>
  <c r="CD200" i="61"/>
  <c r="CU214" i="61"/>
  <c r="CV214" i="61"/>
  <c r="CD214" i="61"/>
  <c r="CV212" i="61"/>
  <c r="CU212" i="61"/>
  <c r="CD212" i="61"/>
  <c r="CV213" i="61"/>
  <c r="CU213" i="61"/>
  <c r="CD213" i="61"/>
  <c r="CD220" i="61"/>
  <c r="CV220" i="61"/>
  <c r="CU220" i="61"/>
  <c r="CV225" i="61"/>
  <c r="CU225" i="61"/>
  <c r="CD225" i="61"/>
  <c r="CU232" i="61"/>
  <c r="CV232" i="61"/>
  <c r="CD232" i="61"/>
  <c r="CV234" i="61"/>
  <c r="CU234" i="61"/>
  <c r="CD234" i="61"/>
  <c r="CU238" i="61"/>
  <c r="CV238" i="61"/>
  <c r="CD238" i="61"/>
  <c r="CV236" i="61"/>
  <c r="CU236" i="61"/>
  <c r="CD236" i="61"/>
  <c r="CU247" i="61"/>
  <c r="CQ247" i="61"/>
  <c r="CP247" i="61"/>
  <c r="CD247" i="61"/>
  <c r="BY247" i="61" s="1"/>
  <c r="CS247" i="61"/>
  <c r="CV247" i="61"/>
  <c r="CR247" i="61"/>
  <c r="CV246" i="61"/>
  <c r="CR246" i="61"/>
  <c r="CU246" i="61"/>
  <c r="CQ246" i="61"/>
  <c r="CP246" i="61"/>
  <c r="CS246" i="61"/>
  <c r="CD246" i="61"/>
  <c r="BY246" i="61" s="1"/>
  <c r="M246" i="61"/>
  <c r="L246" i="61"/>
  <c r="T225" i="61"/>
  <c r="U225" i="61"/>
  <c r="T200" i="61"/>
  <c r="U200" i="61"/>
  <c r="T156" i="61"/>
  <c r="U156" i="61"/>
  <c r="T151" i="61"/>
  <c r="U151" i="61"/>
  <c r="T199" i="61"/>
  <c r="U199" i="61"/>
  <c r="T144" i="61"/>
  <c r="U144" i="61"/>
  <c r="T149" i="61"/>
  <c r="U149" i="61"/>
  <c r="T155" i="61"/>
  <c r="U155" i="61"/>
  <c r="T148" i="61"/>
  <c r="U148" i="61"/>
  <c r="U133" i="61"/>
  <c r="T133" i="61"/>
  <c r="U209" i="61"/>
  <c r="T209" i="61"/>
  <c r="U228" i="61"/>
  <c r="T228" i="61"/>
  <c r="U194" i="61"/>
  <c r="T194" i="61"/>
  <c r="M239" i="61"/>
  <c r="L239" i="61"/>
  <c r="U201" i="61"/>
  <c r="T201" i="61"/>
  <c r="U137" i="61"/>
  <c r="T137" i="61"/>
  <c r="U121" i="61"/>
  <c r="T121" i="61"/>
  <c r="U164" i="61"/>
  <c r="T164" i="61"/>
  <c r="U214" i="61"/>
  <c r="T214" i="61"/>
  <c r="U220" i="61"/>
  <c r="T220" i="61"/>
  <c r="M169" i="61"/>
  <c r="L169" i="61"/>
  <c r="U161" i="61"/>
  <c r="T161" i="61"/>
  <c r="M241" i="61"/>
  <c r="L241" i="61"/>
  <c r="U136" i="61"/>
  <c r="T136" i="61"/>
  <c r="U219" i="61"/>
  <c r="T219" i="61"/>
  <c r="U222" i="61"/>
  <c r="T222" i="61"/>
  <c r="M170" i="61"/>
  <c r="L170" i="61"/>
  <c r="U172" i="61"/>
  <c r="T172" i="61"/>
  <c r="L240" i="61"/>
  <c r="M240" i="61"/>
  <c r="U233" i="61"/>
  <c r="T233" i="61"/>
  <c r="U180" i="61"/>
  <c r="T180" i="61"/>
  <c r="M243" i="61"/>
  <c r="L243" i="61"/>
  <c r="P80" i="61"/>
  <c r="Q80" i="61" s="1"/>
  <c r="R80" i="61" s="1"/>
  <c r="K80" i="61"/>
  <c r="CU192" i="61"/>
  <c r="CQ192" i="61"/>
  <c r="CS192" i="61"/>
  <c r="CR192" i="61"/>
  <c r="CD192" i="61"/>
  <c r="CP192" i="61"/>
  <c r="CV192" i="61"/>
  <c r="CP198" i="61"/>
  <c r="CD198" i="61"/>
  <c r="CS198" i="61"/>
  <c r="CU198" i="61"/>
  <c r="CQ198" i="61"/>
  <c r="CR198" i="61"/>
  <c r="CV198" i="61"/>
  <c r="CU201" i="61"/>
  <c r="CQ201" i="61"/>
  <c r="CP201" i="61"/>
  <c r="CV201" i="61"/>
  <c r="CR201" i="61"/>
  <c r="CS201" i="61"/>
  <c r="CD201" i="61"/>
  <c r="CS199" i="61"/>
  <c r="CV199" i="61"/>
  <c r="CR199" i="61"/>
  <c r="CP199" i="61"/>
  <c r="CU199" i="61"/>
  <c r="CQ199" i="61"/>
  <c r="CD199" i="61"/>
  <c r="CV204" i="61"/>
  <c r="CR204" i="61"/>
  <c r="CU204" i="61"/>
  <c r="CQ204" i="61"/>
  <c r="CS204" i="61"/>
  <c r="CD204" i="61"/>
  <c r="CP204" i="61"/>
  <c r="CD211" i="61"/>
  <c r="CV211" i="61"/>
  <c r="CU211" i="61"/>
  <c r="CU216" i="61"/>
  <c r="CV216" i="61"/>
  <c r="CD216" i="61"/>
  <c r="CU219" i="61"/>
  <c r="CV219" i="61"/>
  <c r="CD219" i="61"/>
  <c r="CD224" i="61"/>
  <c r="CV224" i="61"/>
  <c r="CU224" i="61"/>
  <c r="CV222" i="61"/>
  <c r="CU222" i="61"/>
  <c r="CD222" i="61"/>
  <c r="CD229" i="61"/>
  <c r="CV229" i="61"/>
  <c r="CU229" i="61"/>
  <c r="CV237" i="61"/>
  <c r="CU237" i="61"/>
  <c r="CD237" i="61"/>
  <c r="CU242" i="61"/>
  <c r="CV242" i="61"/>
  <c r="CD242" i="61"/>
  <c r="BY242" i="61" s="1"/>
  <c r="CR242" i="61" s="1"/>
  <c r="CV240" i="61"/>
  <c r="CU240" i="61"/>
  <c r="CD240" i="61"/>
  <c r="CP248" i="61"/>
  <c r="CS248" i="61"/>
  <c r="CV248" i="61"/>
  <c r="CR248" i="61"/>
  <c r="CU248" i="61"/>
  <c r="CQ248" i="61"/>
  <c r="CD248" i="61"/>
  <c r="BY248" i="61" s="1"/>
  <c r="U189" i="61"/>
  <c r="T189" i="61"/>
  <c r="U179" i="61"/>
  <c r="T179" i="61"/>
  <c r="U167" i="61"/>
  <c r="T167" i="61"/>
  <c r="U141" i="61"/>
  <c r="T141" i="61"/>
  <c r="U140" i="61"/>
  <c r="T140" i="61"/>
  <c r="U175" i="61"/>
  <c r="T175" i="61"/>
  <c r="U162" i="61"/>
  <c r="T162" i="61"/>
  <c r="U159" i="61"/>
  <c r="T159" i="61"/>
  <c r="U223" i="61"/>
  <c r="T223" i="61"/>
  <c r="T178" i="61"/>
  <c r="U178" i="61"/>
  <c r="U160" i="61"/>
  <c r="T160" i="61"/>
  <c r="U213" i="61"/>
  <c r="T213" i="61"/>
  <c r="U142" i="61"/>
  <c r="T142" i="61"/>
  <c r="T168" i="61"/>
  <c r="U168" i="61"/>
  <c r="T174" i="61"/>
  <c r="U174" i="61"/>
  <c r="M79" i="61"/>
  <c r="T150" i="61"/>
  <c r="U150" i="61"/>
  <c r="T207" i="61"/>
  <c r="U207" i="61"/>
  <c r="AQ154" i="61"/>
  <c r="AQ145" i="61"/>
  <c r="AQ136" i="61"/>
  <c r="AQ137" i="61"/>
  <c r="AQ125" i="61"/>
  <c r="AQ155" i="61"/>
  <c r="O121" i="61"/>
  <c r="AS180" i="61"/>
  <c r="O214" i="61"/>
  <c r="AS153" i="61"/>
  <c r="BM233" i="61"/>
  <c r="AS133" i="61"/>
  <c r="O195" i="61"/>
  <c r="AS198" i="61"/>
  <c r="AS218" i="61"/>
  <c r="N214" i="61"/>
  <c r="O223" i="61"/>
  <c r="N142" i="61"/>
  <c r="BM245" i="61"/>
  <c r="N202" i="61"/>
  <c r="BL168" i="61"/>
  <c r="N237" i="61"/>
  <c r="O141" i="61"/>
  <c r="AS174" i="61"/>
  <c r="AS135" i="61"/>
  <c r="N128" i="61"/>
  <c r="BL164" i="61"/>
  <c r="O235" i="61"/>
  <c r="AS202" i="61"/>
  <c r="N178" i="61"/>
  <c r="N228" i="61"/>
  <c r="BM231" i="61"/>
  <c r="N153" i="61"/>
  <c r="O160" i="61"/>
  <c r="N159" i="61"/>
  <c r="BM226" i="61"/>
  <c r="BM232" i="61"/>
  <c r="BL140" i="61"/>
  <c r="BM225" i="61"/>
  <c r="AS127" i="61"/>
  <c r="AS232" i="61"/>
  <c r="AS197" i="61"/>
  <c r="O224" i="61"/>
  <c r="AS230" i="61"/>
  <c r="AS231" i="61"/>
  <c r="BM215" i="61"/>
  <c r="N135" i="61"/>
  <c r="O122" i="61"/>
  <c r="AS192" i="61"/>
  <c r="O139" i="61"/>
  <c r="O142" i="61"/>
  <c r="AS244" i="61"/>
  <c r="N213" i="61"/>
  <c r="AS132" i="61"/>
  <c r="O200" i="61"/>
  <c r="O168" i="61"/>
  <c r="N226" i="61"/>
  <c r="N162" i="61"/>
  <c r="BM249" i="61"/>
  <c r="AS241" i="61"/>
  <c r="O129" i="61"/>
  <c r="AS212" i="61"/>
  <c r="AS243" i="61"/>
  <c r="O126" i="61"/>
  <c r="BM235" i="61"/>
  <c r="BM248" i="61"/>
  <c r="AS129" i="61"/>
  <c r="AS249" i="61"/>
  <c r="O226" i="61"/>
  <c r="N174" i="61"/>
  <c r="N225" i="61"/>
  <c r="BL125" i="61"/>
  <c r="AS151" i="61"/>
  <c r="AS222" i="61"/>
  <c r="AS238" i="61"/>
  <c r="AS247" i="61"/>
  <c r="AS167" i="61"/>
  <c r="N167" i="61"/>
  <c r="BL131" i="61"/>
  <c r="BL126" i="61"/>
  <c r="O154" i="61"/>
  <c r="AS210" i="61"/>
  <c r="O216" i="61"/>
  <c r="BL161" i="61"/>
  <c r="O153" i="61"/>
  <c r="N231" i="61"/>
  <c r="BL143" i="61"/>
  <c r="AS209" i="61"/>
  <c r="N163" i="61"/>
  <c r="BM223" i="61"/>
  <c r="N218" i="61"/>
  <c r="BL142" i="61"/>
  <c r="AS227" i="61"/>
  <c r="BL177" i="61"/>
  <c r="AS168" i="61"/>
  <c r="N192" i="61"/>
  <c r="AS194" i="61"/>
  <c r="BM177" i="61"/>
  <c r="BM219" i="61"/>
  <c r="BM210" i="61"/>
  <c r="N198" i="61"/>
  <c r="BM197" i="61"/>
  <c r="AS169" i="61"/>
  <c r="N235" i="61"/>
  <c r="BL166" i="61"/>
  <c r="AS213" i="61"/>
  <c r="AS154" i="61"/>
  <c r="AS204" i="61"/>
  <c r="AS162" i="61"/>
  <c r="BL180" i="61"/>
  <c r="BM180" i="61" s="1"/>
  <c r="BL157" i="61"/>
  <c r="O173" i="61"/>
  <c r="AS242" i="61"/>
  <c r="N195" i="61"/>
  <c r="N171" i="61"/>
  <c r="BL170" i="61"/>
  <c r="BM238" i="61"/>
  <c r="AS201" i="61"/>
  <c r="N175" i="61"/>
  <c r="BL172" i="61"/>
  <c r="N177" i="61"/>
  <c r="BM244" i="61"/>
  <c r="AS122" i="61"/>
  <c r="N197" i="61"/>
  <c r="AS141" i="61"/>
  <c r="BL133" i="61"/>
  <c r="AS171" i="61"/>
  <c r="O234" i="61"/>
  <c r="N212" i="61"/>
  <c r="BL174" i="61"/>
  <c r="BM126" i="61"/>
  <c r="BM243" i="61"/>
  <c r="BM203" i="61"/>
  <c r="AS134" i="61"/>
  <c r="BM207" i="61"/>
  <c r="N234" i="61"/>
  <c r="AS155" i="61"/>
  <c r="AS236" i="61"/>
  <c r="O151" i="61"/>
  <c r="N199" i="61"/>
  <c r="O166" i="61"/>
  <c r="AS214" i="61"/>
  <c r="AS216" i="61"/>
  <c r="BM241" i="61"/>
  <c r="N125" i="61"/>
  <c r="AS138" i="61"/>
  <c r="O231" i="61"/>
  <c r="AS161" i="61"/>
  <c r="BL127" i="61"/>
  <c r="AS234" i="61"/>
  <c r="AS124" i="61"/>
  <c r="BL159" i="61"/>
  <c r="O147" i="61"/>
  <c r="AS219" i="61"/>
  <c r="AS190" i="61"/>
  <c r="AS178" i="61"/>
  <c r="O172" i="61"/>
  <c r="BL169" i="61"/>
  <c r="AS165" i="61"/>
  <c r="BL179" i="61"/>
  <c r="O138" i="61"/>
  <c r="BL175" i="61"/>
  <c r="BM175" i="61" s="1"/>
  <c r="AS206" i="61"/>
  <c r="N210" i="61"/>
  <c r="N179" i="61"/>
  <c r="O130" i="61"/>
  <c r="O201" i="61"/>
  <c r="N223" i="61"/>
  <c r="O162" i="61"/>
  <c r="O135" i="61"/>
  <c r="AS163" i="61"/>
  <c r="AS152" i="61"/>
  <c r="BM192" i="61"/>
  <c r="O202" i="61"/>
  <c r="O197" i="61"/>
  <c r="BL147" i="61"/>
  <c r="AS170" i="61"/>
  <c r="AS149" i="61"/>
  <c r="BL146" i="61"/>
  <c r="N149" i="61"/>
  <c r="O189" i="61"/>
  <c r="O143" i="61"/>
  <c r="AS121" i="61"/>
  <c r="BL122" i="61"/>
  <c r="O125" i="61"/>
  <c r="AS223" i="61"/>
  <c r="N233" i="61"/>
  <c r="AS189" i="61"/>
  <c r="BM199" i="61"/>
  <c r="AS199" i="61"/>
  <c r="O164" i="61"/>
  <c r="BM216" i="61"/>
  <c r="O155" i="61"/>
  <c r="BM196" i="61"/>
  <c r="O192" i="61"/>
  <c r="BM229" i="61"/>
  <c r="O179" i="61"/>
  <c r="O152" i="61"/>
  <c r="N130" i="61"/>
  <c r="BL173" i="61"/>
  <c r="N221" i="61"/>
  <c r="O213" i="61"/>
  <c r="N157" i="61"/>
  <c r="AS240" i="61"/>
  <c r="BM224" i="61"/>
  <c r="BM190" i="61"/>
  <c r="BL155" i="61"/>
  <c r="BL176" i="61"/>
  <c r="AS191" i="61"/>
  <c r="O193" i="61"/>
  <c r="N147" i="61"/>
  <c r="N220" i="61"/>
  <c r="O194" i="61"/>
  <c r="BM146" i="61"/>
  <c r="N229" i="61"/>
  <c r="O204" i="61"/>
  <c r="N136" i="61"/>
  <c r="BM168" i="61"/>
  <c r="AS211" i="61"/>
  <c r="AS142" i="61"/>
  <c r="O157" i="61"/>
  <c r="N189" i="61"/>
  <c r="N204" i="61"/>
  <c r="BM208" i="61"/>
  <c r="BM198" i="61"/>
  <c r="BL163" i="61"/>
  <c r="AS131" i="61"/>
  <c r="BL171" i="61"/>
  <c r="BM171" i="61" s="1"/>
  <c r="N217" i="61"/>
  <c r="AS156" i="61"/>
  <c r="N137" i="61"/>
  <c r="N127" i="61"/>
  <c r="AS245" i="61"/>
  <c r="AS173" i="61"/>
  <c r="N141" i="61"/>
  <c r="O208" i="61"/>
  <c r="O131" i="61"/>
  <c r="N161" i="61"/>
  <c r="O123" i="61"/>
  <c r="O177" i="61"/>
  <c r="AS235" i="61"/>
  <c r="O203" i="61"/>
  <c r="BM237" i="61"/>
  <c r="BL144" i="61"/>
  <c r="AS239" i="61"/>
  <c r="O163" i="61"/>
  <c r="O215" i="61"/>
  <c r="BL136" i="61"/>
  <c r="N140" i="61"/>
  <c r="O212" i="61"/>
  <c r="AS226" i="61"/>
  <c r="BM240" i="61"/>
  <c r="AS248" i="61"/>
  <c r="AS237" i="61"/>
  <c r="BM228" i="61"/>
  <c r="AS144" i="61"/>
  <c r="AS146" i="61"/>
  <c r="N207" i="61"/>
  <c r="AS179" i="61"/>
  <c r="N191" i="61"/>
  <c r="N205" i="61"/>
  <c r="O180" i="61"/>
  <c r="N176" i="61"/>
  <c r="BL149" i="61"/>
  <c r="O136" i="61"/>
  <c r="BM221" i="61"/>
  <c r="O134" i="61"/>
  <c r="BL123" i="61"/>
  <c r="O174" i="61"/>
  <c r="BL128" i="61"/>
  <c r="O132" i="61"/>
  <c r="AS147" i="61"/>
  <c r="AS193" i="61"/>
  <c r="BL139" i="61"/>
  <c r="AS196" i="61"/>
  <c r="BL135" i="61"/>
  <c r="O227" i="61"/>
  <c r="AS200" i="61"/>
  <c r="N156" i="61"/>
  <c r="AS203" i="61"/>
  <c r="N152" i="61"/>
  <c r="O205" i="61"/>
  <c r="BM131" i="61"/>
  <c r="AS208" i="61"/>
  <c r="O190" i="61"/>
  <c r="AS143" i="61"/>
  <c r="BM214" i="61"/>
  <c r="O199" i="61"/>
  <c r="BM195" i="61"/>
  <c r="O207" i="61"/>
  <c r="AS205" i="61"/>
  <c r="O232" i="61"/>
  <c r="O150" i="61"/>
  <c r="BL132" i="61"/>
  <c r="BM132" i="61" s="1"/>
  <c r="BL148" i="61"/>
  <c r="BM148" i="61" s="1"/>
  <c r="N145" i="61"/>
  <c r="O206" i="61"/>
  <c r="N166" i="61"/>
  <c r="N190" i="61"/>
  <c r="BM163" i="61"/>
  <c r="N129" i="61"/>
  <c r="AS128" i="61"/>
  <c r="O137" i="61"/>
  <c r="N227" i="61"/>
  <c r="AS195" i="61"/>
  <c r="BM212" i="61"/>
  <c r="BL181" i="61"/>
  <c r="AS160" i="61"/>
  <c r="BL154" i="61"/>
  <c r="N215" i="61"/>
  <c r="O230" i="61"/>
  <c r="N160" i="61"/>
  <c r="AS150" i="61"/>
  <c r="O165" i="61"/>
  <c r="AS175" i="61"/>
  <c r="AS181" i="61"/>
  <c r="BM128" i="61"/>
  <c r="O219" i="61"/>
  <c r="BM189" i="61"/>
  <c r="N208" i="61"/>
  <c r="BM213" i="61"/>
  <c r="AS220" i="61"/>
  <c r="O225" i="61"/>
  <c r="BM230" i="61"/>
  <c r="O148" i="61"/>
  <c r="BM193" i="61"/>
  <c r="O133" i="61"/>
  <c r="AS123" i="61"/>
  <c r="O237" i="61"/>
  <c r="N224" i="61"/>
  <c r="O158" i="61"/>
  <c r="AS148" i="61"/>
  <c r="AS228" i="61"/>
  <c r="N209" i="61"/>
  <c r="BM194" i="61"/>
  <c r="N139" i="61"/>
  <c r="N144" i="61"/>
  <c r="AS158" i="61"/>
  <c r="BM242" i="61"/>
  <c r="AS233" i="61"/>
  <c r="O124" i="61"/>
  <c r="AS166" i="61"/>
  <c r="BM202" i="61"/>
  <c r="N172" i="61"/>
  <c r="O176" i="61"/>
  <c r="O149" i="61"/>
  <c r="BM166" i="61"/>
  <c r="O233" i="61"/>
  <c r="N193" i="61"/>
  <c r="N196" i="61"/>
  <c r="AS217" i="61"/>
  <c r="N154" i="61"/>
  <c r="N211" i="61"/>
  <c r="N132" i="61"/>
  <c r="BL165" i="61"/>
  <c r="O229" i="61"/>
  <c r="BM200" i="61"/>
  <c r="BL130" i="61"/>
  <c r="AS139" i="61"/>
  <c r="O159" i="61"/>
  <c r="N150" i="61"/>
  <c r="BM165" i="61"/>
  <c r="N131" i="61"/>
  <c r="N203" i="61"/>
  <c r="N168" i="61"/>
  <c r="N180" i="61"/>
  <c r="N158" i="61"/>
  <c r="N134" i="61"/>
  <c r="N143" i="61"/>
  <c r="AS157" i="61"/>
  <c r="AS140" i="61"/>
  <c r="BM173" i="61"/>
  <c r="AS125" i="61"/>
  <c r="BL160" i="61"/>
  <c r="BM204" i="61"/>
  <c r="BM139" i="61"/>
  <c r="AS130" i="61"/>
  <c r="AS221" i="61"/>
  <c r="BL137" i="61"/>
  <c r="BL134" i="61"/>
  <c r="O221" i="61"/>
  <c r="BM247" i="61"/>
  <c r="BM217" i="61"/>
  <c r="N122" i="61"/>
  <c r="AS172" i="61"/>
  <c r="BL151" i="61"/>
  <c r="BM151" i="61" s="1"/>
  <c r="AS177" i="61"/>
  <c r="N148" i="61"/>
  <c r="O128" i="61"/>
  <c r="BL178" i="61"/>
  <c r="BM178" i="61" s="1"/>
  <c r="O222" i="61"/>
  <c r="N206" i="61"/>
  <c r="N165" i="61"/>
  <c r="N146" i="61"/>
  <c r="N123" i="61"/>
  <c r="AS159" i="61"/>
  <c r="O161" i="61"/>
  <c r="BM220" i="61"/>
  <c r="BM239" i="61"/>
  <c r="N173" i="61"/>
  <c r="O178" i="61"/>
  <c r="AS246" i="61"/>
  <c r="BL152" i="61"/>
  <c r="N200" i="61"/>
  <c r="BL145" i="61"/>
  <c r="O211" i="61"/>
  <c r="BM234" i="61"/>
  <c r="O191" i="61"/>
  <c r="O198" i="61"/>
  <c r="AS229" i="61"/>
  <c r="BM201" i="61"/>
  <c r="BL162" i="61"/>
  <c r="BM162" i="61" s="1"/>
  <c r="N121" i="61"/>
  <c r="AS215" i="61"/>
  <c r="BL121" i="61"/>
  <c r="BM121" i="61" s="1"/>
  <c r="O145" i="61"/>
  <c r="O209" i="61"/>
  <c r="BL158" i="61"/>
  <c r="N201" i="61"/>
  <c r="BM206" i="61"/>
  <c r="O167" i="61"/>
  <c r="O217" i="61"/>
  <c r="O175" i="61"/>
  <c r="N124" i="61"/>
  <c r="O220" i="61"/>
  <c r="N230" i="61"/>
  <c r="BM236" i="61"/>
  <c r="AS225" i="61"/>
  <c r="BM205" i="61"/>
  <c r="BM191" i="61"/>
  <c r="O156" i="61"/>
  <c r="BM222" i="61"/>
  <c r="BM246" i="61"/>
  <c r="O218" i="61"/>
  <c r="BM211" i="61"/>
  <c r="BM209" i="61"/>
  <c r="N151" i="61"/>
  <c r="N194" i="61"/>
  <c r="BL153" i="61"/>
  <c r="N219" i="61"/>
  <c r="BL141" i="61"/>
  <c r="BM227" i="61"/>
  <c r="AS207" i="61"/>
  <c r="AS126" i="61"/>
  <c r="BL167" i="61"/>
  <c r="BM167" i="61" s="1"/>
  <c r="BL138" i="61"/>
  <c r="BM138" i="61" s="1"/>
  <c r="BL150" i="61"/>
  <c r="BM150" i="61" s="1"/>
  <c r="O210" i="61"/>
  <c r="O144" i="61"/>
  <c r="AS176" i="61"/>
  <c r="O140" i="61"/>
  <c r="N133" i="61"/>
  <c r="AS224" i="61"/>
  <c r="BM218" i="61"/>
  <c r="O228" i="61"/>
  <c r="N164" i="61"/>
  <c r="O196" i="61"/>
  <c r="N222" i="61"/>
  <c r="BL156" i="61"/>
  <c r="O171" i="61"/>
  <c r="BL124" i="61"/>
  <c r="BM124" i="61" s="1"/>
  <c r="N126" i="61"/>
  <c r="N216" i="61"/>
  <c r="N155" i="61"/>
  <c r="N232" i="61"/>
  <c r="N138" i="61"/>
  <c r="AS164" i="61"/>
  <c r="O146" i="61"/>
  <c r="BM135" i="61"/>
  <c r="BM158" i="61"/>
  <c r="O127" i="61"/>
  <c r="BL129" i="61"/>
  <c r="BM129" i="61" s="1"/>
  <c r="S205" i="61" l="1"/>
  <c r="AP199" i="61"/>
  <c r="AP231" i="61"/>
  <c r="AR150" i="61"/>
  <c r="S219" i="61"/>
  <c r="AR171" i="61"/>
  <c r="AR137" i="61"/>
  <c r="AP240" i="61"/>
  <c r="AP233" i="61"/>
  <c r="S225" i="61"/>
  <c r="AR167" i="61"/>
  <c r="AP190" i="61"/>
  <c r="S233" i="61"/>
  <c r="AR169" i="61"/>
  <c r="AP244" i="61"/>
  <c r="AR128" i="61"/>
  <c r="S202" i="61"/>
  <c r="AP243" i="61"/>
  <c r="S197" i="61"/>
  <c r="AR155" i="61"/>
  <c r="AP223" i="61"/>
  <c r="AP191" i="61"/>
  <c r="AR121" i="61"/>
  <c r="AP198" i="61"/>
  <c r="AP204" i="61"/>
  <c r="S212" i="61"/>
  <c r="AR168" i="61"/>
  <c r="AP249" i="61"/>
  <c r="S224" i="61"/>
  <c r="AP213" i="61"/>
  <c r="AR153" i="61"/>
  <c r="AP189" i="61"/>
  <c r="S193" i="61"/>
  <c r="AR170" i="61"/>
  <c r="AP236" i="61"/>
  <c r="S190" i="61"/>
  <c r="S221" i="61"/>
  <c r="AR142" i="61"/>
  <c r="AR131" i="61"/>
  <c r="AP197" i="61"/>
  <c r="AR151" i="61"/>
  <c r="AP220" i="61"/>
  <c r="S191" i="61"/>
  <c r="AR133" i="61"/>
  <c r="S232" i="61"/>
  <c r="AR158" i="61"/>
  <c r="AP216" i="61"/>
  <c r="AR181" i="61"/>
  <c r="AP214" i="61"/>
  <c r="S199" i="61"/>
  <c r="AR141" i="61"/>
  <c r="AP248" i="61"/>
  <c r="AR138" i="61"/>
  <c r="AP222" i="61"/>
  <c r="AP194" i="61"/>
  <c r="AR180" i="61"/>
  <c r="AP196" i="61"/>
  <c r="S194" i="61"/>
  <c r="AR125" i="61"/>
  <c r="AR152" i="61"/>
  <c r="AR144" i="61"/>
  <c r="S227" i="61"/>
  <c r="AP218" i="61"/>
  <c r="AR175" i="61"/>
  <c r="AR160" i="61"/>
  <c r="AP208" i="61"/>
  <c r="AP200" i="61"/>
  <c r="AR139" i="61"/>
  <c r="AP215" i="61"/>
  <c r="AP203" i="61"/>
  <c r="S198" i="61"/>
  <c r="AP193" i="61"/>
  <c r="AR165" i="61"/>
  <c r="AP242" i="61"/>
  <c r="AR146" i="61"/>
  <c r="AP211" i="61"/>
  <c r="AR164" i="61"/>
  <c r="AR132" i="61"/>
  <c r="AR154" i="61"/>
  <c r="AP239" i="61"/>
  <c r="AR176" i="61"/>
  <c r="AR126" i="61"/>
  <c r="AP226" i="61"/>
  <c r="S189" i="61"/>
  <c r="AR148" i="61"/>
  <c r="AR136" i="61"/>
  <c r="S216" i="61"/>
  <c r="AR172" i="61"/>
  <c r="AR147" i="61"/>
  <c r="AP225" i="61"/>
  <c r="AR140" i="61"/>
  <c r="AP237" i="61"/>
  <c r="AR149" i="61"/>
  <c r="AP230" i="61"/>
  <c r="AR143" i="61"/>
  <c r="S201" i="61"/>
  <c r="AR134" i="61"/>
  <c r="S204" i="61"/>
  <c r="AR122" i="61"/>
  <c r="S229" i="61"/>
  <c r="S217" i="61"/>
  <c r="AP238" i="61"/>
  <c r="AR178" i="61"/>
  <c r="AR179" i="61"/>
  <c r="S192" i="61"/>
  <c r="S207" i="61"/>
  <c r="AP232" i="61"/>
  <c r="S237" i="61"/>
  <c r="AR161" i="61"/>
  <c r="AR130" i="61"/>
  <c r="AP227" i="61"/>
  <c r="AR174" i="61"/>
  <c r="AR159" i="61"/>
  <c r="S196" i="61"/>
  <c r="AP229" i="61"/>
  <c r="S213" i="61"/>
  <c r="AP224" i="61"/>
  <c r="AR162" i="61"/>
  <c r="AP210" i="61"/>
  <c r="AP219" i="61"/>
  <c r="AR156" i="61"/>
  <c r="AP245" i="61"/>
  <c r="AP192" i="61"/>
  <c r="S206" i="61"/>
  <c r="AP217" i="61"/>
  <c r="AR177" i="61"/>
  <c r="AR127" i="61"/>
  <c r="AP205" i="61"/>
  <c r="S210" i="61"/>
  <c r="AR129" i="61"/>
  <c r="AP241" i="61"/>
  <c r="AP221" i="61"/>
  <c r="AP228" i="61"/>
  <c r="S231" i="61"/>
  <c r="AP207" i="61"/>
  <c r="S195" i="61"/>
  <c r="S208" i="61"/>
  <c r="AP235" i="61"/>
  <c r="AR145" i="61"/>
  <c r="AR166" i="61"/>
  <c r="S230" i="61"/>
  <c r="AR173" i="61"/>
  <c r="AP195" i="61"/>
  <c r="AP234" i="61"/>
  <c r="AR157" i="61"/>
  <c r="AP246" i="61"/>
  <c r="AP247" i="61"/>
  <c r="AR123" i="61"/>
  <c r="S223" i="61"/>
  <c r="AR124" i="61"/>
  <c r="AP212" i="61"/>
  <c r="AP206" i="61"/>
  <c r="AR163" i="61"/>
  <c r="AP209" i="61"/>
  <c r="AP202" i="61"/>
  <c r="S234" i="61"/>
  <c r="AR135" i="61"/>
  <c r="S209" i="61"/>
  <c r="AP201" i="61"/>
  <c r="S165" i="61"/>
  <c r="AP165" i="61"/>
  <c r="S178" i="61"/>
  <c r="AP178" i="61"/>
  <c r="AP121" i="61"/>
  <c r="S121" i="61"/>
  <c r="W208" i="61"/>
  <c r="AK208" i="61" s="1"/>
  <c r="W205" i="61"/>
  <c r="AK205" i="61" s="1"/>
  <c r="AP128" i="61"/>
  <c r="S128" i="61"/>
  <c r="S124" i="61"/>
  <c r="AP124" i="61"/>
  <c r="AP162" i="61"/>
  <c r="S162" i="61"/>
  <c r="AP163" i="61"/>
  <c r="S163" i="61"/>
  <c r="S168" i="61"/>
  <c r="AP168" i="61"/>
  <c r="S167" i="61"/>
  <c r="AP167" i="61"/>
  <c r="S129" i="61"/>
  <c r="AP129" i="61"/>
  <c r="AP173" i="61"/>
  <c r="S173" i="61"/>
  <c r="S148" i="61"/>
  <c r="AP148" i="61"/>
  <c r="S146" i="61"/>
  <c r="AP146" i="61"/>
  <c r="S177" i="61"/>
  <c r="AP177" i="61"/>
  <c r="S131" i="61"/>
  <c r="AP131" i="61"/>
  <c r="S138" i="61"/>
  <c r="AP138" i="61"/>
  <c r="AP166" i="61"/>
  <c r="S166" i="61"/>
  <c r="AP135" i="61"/>
  <c r="S135" i="61"/>
  <c r="S158" i="61"/>
  <c r="AP158" i="61"/>
  <c r="AP180" i="61"/>
  <c r="S180" i="61"/>
  <c r="S171" i="61"/>
  <c r="AP171" i="61"/>
  <c r="S150" i="61"/>
  <c r="AP150" i="61"/>
  <c r="S151" i="61"/>
  <c r="AP151" i="61"/>
  <c r="AP175" i="61"/>
  <c r="S175" i="61"/>
  <c r="AP132" i="61"/>
  <c r="S132" i="61"/>
  <c r="AP139" i="61"/>
  <c r="S139" i="61"/>
  <c r="AP126" i="61"/>
  <c r="S126" i="61"/>
  <c r="W149" i="61"/>
  <c r="V149" i="61" s="1"/>
  <c r="X149" i="61" s="1"/>
  <c r="W166" i="61"/>
  <c r="V166" i="61" s="1"/>
  <c r="X166" i="61" s="1"/>
  <c r="W146" i="61"/>
  <c r="V146" i="61" s="1"/>
  <c r="X146" i="61" s="1"/>
  <c r="W135" i="61"/>
  <c r="W159" i="61"/>
  <c r="W130" i="61"/>
  <c r="W201" i="61"/>
  <c r="AK201" i="61" s="1"/>
  <c r="W163" i="61"/>
  <c r="V163" i="61" s="1"/>
  <c r="X163" i="61" s="1"/>
  <c r="W144" i="61"/>
  <c r="V144" i="61" s="1"/>
  <c r="X144" i="61" s="1"/>
  <c r="W151" i="61"/>
  <c r="V151" i="61" s="1"/>
  <c r="X151" i="61" s="1"/>
  <c r="W143" i="61"/>
  <c r="V143" i="61" s="1"/>
  <c r="X143" i="61" s="1"/>
  <c r="W152" i="61"/>
  <c r="V152" i="61" s="1"/>
  <c r="X152" i="61" s="1"/>
  <c r="W147" i="61"/>
  <c r="V147" i="61" s="1"/>
  <c r="X147" i="61" s="1"/>
  <c r="W194" i="61"/>
  <c r="AK194" i="61" s="1"/>
  <c r="W131" i="61"/>
  <c r="W142" i="61"/>
  <c r="W160" i="61"/>
  <c r="V160" i="61" s="1"/>
  <c r="X160" i="61" s="1"/>
  <c r="W223" i="61"/>
  <c r="AK223" i="61" s="1"/>
  <c r="W206" i="61"/>
  <c r="AK206" i="61" s="1"/>
  <c r="W171" i="61"/>
  <c r="V171" i="61" s="1"/>
  <c r="X171" i="61" s="1"/>
  <c r="W215" i="61"/>
  <c r="W161" i="61"/>
  <c r="V161" i="61" s="1"/>
  <c r="X161" i="61" s="1"/>
  <c r="W191" i="61"/>
  <c r="AK191" i="61" s="1"/>
  <c r="W129" i="61"/>
  <c r="W176" i="61"/>
  <c r="V176" i="61" s="1"/>
  <c r="X176" i="61" s="1"/>
  <c r="W234" i="61"/>
  <c r="W168" i="61"/>
  <c r="V168" i="61" s="1"/>
  <c r="X168" i="61" s="1"/>
  <c r="W233" i="61"/>
  <c r="W228" i="61"/>
  <c r="AK228" i="61" s="1"/>
  <c r="W133" i="61"/>
  <c r="W127" i="61"/>
  <c r="W177" i="61"/>
  <c r="V177" i="61" s="1"/>
  <c r="X177" i="61" s="1"/>
  <c r="BM156" i="61"/>
  <c r="BM155" i="61"/>
  <c r="BM140" i="61"/>
  <c r="AA177" i="61"/>
  <c r="AA160" i="61"/>
  <c r="P139" i="61"/>
  <c r="BM141" i="61"/>
  <c r="BM122" i="61"/>
  <c r="BM164" i="61"/>
  <c r="AA161" i="61"/>
  <c r="AA151" i="61"/>
  <c r="BM161" i="61"/>
  <c r="BM153" i="61"/>
  <c r="BM147" i="61"/>
  <c r="AA176" i="61"/>
  <c r="P167" i="61"/>
  <c r="BM145" i="61"/>
  <c r="BM179" i="61"/>
  <c r="AS137" i="61"/>
  <c r="P208" i="61"/>
  <c r="BM152" i="61"/>
  <c r="BM169" i="61"/>
  <c r="AA171" i="61"/>
  <c r="P162" i="61"/>
  <c r="BM134" i="61"/>
  <c r="BM159" i="61"/>
  <c r="AA166" i="61"/>
  <c r="BM144" i="61"/>
  <c r="BM137" i="61"/>
  <c r="BM127" i="61"/>
  <c r="P195" i="61"/>
  <c r="BM160" i="61"/>
  <c r="BM174" i="61"/>
  <c r="P121" i="61"/>
  <c r="AA168" i="61"/>
  <c r="BM130" i="61"/>
  <c r="BM133" i="61"/>
  <c r="AA147" i="61"/>
  <c r="BM154" i="61"/>
  <c r="BM172" i="61"/>
  <c r="AA149" i="61"/>
  <c r="BM181" i="61"/>
  <c r="BM170" i="61"/>
  <c r="BM123" i="61"/>
  <c r="BM157" i="61"/>
  <c r="AA146" i="61"/>
  <c r="AS136" i="61"/>
  <c r="AA163" i="61"/>
  <c r="BM149" i="61"/>
  <c r="BM142" i="61"/>
  <c r="P180" i="61"/>
  <c r="P198" i="61"/>
  <c r="P234" i="61"/>
  <c r="AA152" i="61"/>
  <c r="BM136" i="61"/>
  <c r="BM143" i="61"/>
  <c r="AA143" i="61"/>
  <c r="BM176" i="61"/>
  <c r="BM125" i="61"/>
  <c r="AS145" i="61"/>
  <c r="AA144" i="61"/>
  <c r="P230" i="61"/>
  <c r="AP125" i="61" l="1"/>
  <c r="S125" i="61"/>
  <c r="AP176" i="61"/>
  <c r="S176" i="61"/>
  <c r="AP143" i="61"/>
  <c r="S143" i="61"/>
  <c r="S136" i="61"/>
  <c r="AP136" i="61"/>
  <c r="AP142" i="61"/>
  <c r="S142" i="61"/>
  <c r="AP149" i="61"/>
  <c r="S149" i="61"/>
  <c r="S157" i="61"/>
  <c r="AP157" i="61"/>
  <c r="AP123" i="61"/>
  <c r="S123" i="61"/>
  <c r="AP170" i="61"/>
  <c r="AP181" i="61"/>
  <c r="AP172" i="61"/>
  <c r="S172" i="61"/>
  <c r="S154" i="61"/>
  <c r="AP154" i="61"/>
  <c r="S133" i="61"/>
  <c r="AP133" i="61"/>
  <c r="AP130" i="61"/>
  <c r="S130" i="61"/>
  <c r="S174" i="61"/>
  <c r="AP174" i="61"/>
  <c r="AP160" i="61"/>
  <c r="S160" i="61"/>
  <c r="AP127" i="61"/>
  <c r="S127" i="61"/>
  <c r="S137" i="61"/>
  <c r="AP137" i="61"/>
  <c r="S144" i="61"/>
  <c r="AP144" i="61"/>
  <c r="S159" i="61"/>
  <c r="AP159" i="61"/>
  <c r="S134" i="61"/>
  <c r="AP134" i="61"/>
  <c r="AP169" i="61"/>
  <c r="S152" i="61"/>
  <c r="AP152" i="61"/>
  <c r="AP179" i="61"/>
  <c r="S179" i="61"/>
  <c r="AP145" i="61"/>
  <c r="S145" i="61"/>
  <c r="AP147" i="61"/>
  <c r="S147" i="61"/>
  <c r="AP153" i="61"/>
  <c r="S153" i="61"/>
  <c r="AP161" i="61"/>
  <c r="S161" i="61"/>
  <c r="AP164" i="61"/>
  <c r="S164" i="61"/>
  <c r="AP122" i="61"/>
  <c r="S122" i="61"/>
  <c r="S141" i="61"/>
  <c r="AP141" i="61"/>
  <c r="AP140" i="61"/>
  <c r="S140" i="61"/>
  <c r="AP155" i="61"/>
  <c r="S155" i="61"/>
  <c r="S156" i="61"/>
  <c r="AP156" i="61"/>
  <c r="AK127" i="61"/>
  <c r="AK131" i="61"/>
  <c r="AK133" i="61"/>
  <c r="AK135" i="61"/>
  <c r="V131" i="61"/>
  <c r="X131" i="61" s="1"/>
  <c r="AK130" i="61"/>
  <c r="V130" i="61"/>
  <c r="X130" i="61" s="1"/>
  <c r="AK215" i="61"/>
  <c r="V215" i="61"/>
  <c r="AK233" i="61"/>
  <c r="V233" i="61"/>
  <c r="X233" i="61" s="1"/>
  <c r="AK129" i="61"/>
  <c r="V129" i="61"/>
  <c r="X129" i="61" s="1"/>
  <c r="AK234" i="61"/>
  <c r="CP234" i="61"/>
  <c r="N243" i="61"/>
  <c r="P165" i="61"/>
  <c r="P132" i="61"/>
  <c r="AB176" i="61"/>
  <c r="P189" i="61"/>
  <c r="AA233" i="61"/>
  <c r="P204" i="61"/>
  <c r="O244" i="61"/>
  <c r="N247" i="61"/>
  <c r="P163" i="61"/>
  <c r="AB171" i="61"/>
  <c r="Y166" i="61"/>
  <c r="P151" i="61"/>
  <c r="O181" i="61"/>
  <c r="P161" i="61"/>
  <c r="AB151" i="61"/>
  <c r="P175" i="61"/>
  <c r="N239" i="61"/>
  <c r="P147" i="61"/>
  <c r="AB163" i="61"/>
  <c r="P144" i="61"/>
  <c r="N170" i="61"/>
  <c r="Y129" i="61"/>
  <c r="P210" i="61"/>
  <c r="O240" i="61"/>
  <c r="P197" i="61"/>
  <c r="P176" i="61"/>
  <c r="O247" i="61"/>
  <c r="P221" i="61"/>
  <c r="Y171" i="61"/>
  <c r="O248" i="61"/>
  <c r="AA131" i="61"/>
  <c r="P131" i="61"/>
  <c r="P177" i="61"/>
  <c r="AB152" i="61"/>
  <c r="P134" i="61"/>
  <c r="Y130" i="61"/>
  <c r="P178" i="61"/>
  <c r="P141" i="61"/>
  <c r="P159" i="61"/>
  <c r="AB149" i="61"/>
  <c r="P168" i="61"/>
  <c r="P224" i="61"/>
  <c r="P166" i="61"/>
  <c r="P205" i="61"/>
  <c r="P150" i="61"/>
  <c r="P123" i="61"/>
  <c r="Y168" i="61"/>
  <c r="AB166" i="61"/>
  <c r="Y149" i="61"/>
  <c r="P192" i="61"/>
  <c r="P138" i="61"/>
  <c r="P143" i="61"/>
  <c r="P133" i="61"/>
  <c r="P148" i="61"/>
  <c r="P233" i="61"/>
  <c r="P127" i="61"/>
  <c r="P128" i="61"/>
  <c r="P225" i="61"/>
  <c r="Y161" i="61"/>
  <c r="N246" i="61"/>
  <c r="O170" i="61"/>
  <c r="P213" i="61"/>
  <c r="Y147" i="61"/>
  <c r="AB177" i="61"/>
  <c r="P227" i="61"/>
  <c r="P209" i="61"/>
  <c r="AB143" i="61"/>
  <c r="P212" i="61"/>
  <c r="P157" i="61"/>
  <c r="O241" i="61"/>
  <c r="P201" i="61"/>
  <c r="O246" i="61"/>
  <c r="Y233" i="61"/>
  <c r="Y163" i="61"/>
  <c r="P179" i="61"/>
  <c r="N245" i="61"/>
  <c r="P152" i="61"/>
  <c r="Y177" i="61"/>
  <c r="P154" i="61"/>
  <c r="P122" i="61"/>
  <c r="P229" i="61"/>
  <c r="P130" i="61"/>
  <c r="P145" i="61"/>
  <c r="P223" i="61"/>
  <c r="AB160" i="61"/>
  <c r="P232" i="61"/>
  <c r="P140" i="61"/>
  <c r="Y143" i="61"/>
  <c r="N244" i="61"/>
  <c r="P171" i="61"/>
  <c r="P164" i="61"/>
  <c r="P137" i="61"/>
  <c r="Y176" i="61"/>
  <c r="O243" i="61"/>
  <c r="O239" i="61"/>
  <c r="N248" i="61"/>
  <c r="Y151" i="61"/>
  <c r="P174" i="61"/>
  <c r="P155" i="61"/>
  <c r="O169" i="61"/>
  <c r="P172" i="61"/>
  <c r="P202" i="61"/>
  <c r="Y152" i="61"/>
  <c r="P125" i="61"/>
  <c r="O249" i="61"/>
  <c r="P190" i="61"/>
  <c r="O242" i="61"/>
  <c r="P217" i="61"/>
  <c r="P199" i="61"/>
  <c r="AA129" i="61"/>
  <c r="N240" i="61"/>
  <c r="AB168" i="61"/>
  <c r="AB161" i="61"/>
  <c r="P136" i="61"/>
  <c r="P126" i="61"/>
  <c r="N249" i="61"/>
  <c r="P216" i="61"/>
  <c r="P196" i="61"/>
  <c r="Y160" i="61"/>
  <c r="N242" i="61"/>
  <c r="P129" i="61"/>
  <c r="P207" i="61"/>
  <c r="O245" i="61"/>
  <c r="AB144" i="61"/>
  <c r="P149" i="61"/>
  <c r="P160" i="61"/>
  <c r="P193" i="61"/>
  <c r="P158" i="61"/>
  <c r="P135" i="61"/>
  <c r="P124" i="61"/>
  <c r="P206" i="61"/>
  <c r="Y146" i="61"/>
  <c r="N241" i="61"/>
  <c r="N169" i="61"/>
  <c r="AA130" i="61"/>
  <c r="AB146" i="61"/>
  <c r="P194" i="61"/>
  <c r="Y131" i="61"/>
  <c r="P142" i="61"/>
  <c r="P153" i="61"/>
  <c r="P173" i="61"/>
  <c r="P231" i="61"/>
  <c r="P146" i="61"/>
  <c r="N181" i="61"/>
  <c r="P191" i="61"/>
  <c r="AB147" i="61"/>
  <c r="P237" i="61"/>
  <c r="Y144" i="61"/>
  <c r="P219" i="61"/>
  <c r="P156" i="61"/>
  <c r="R122" i="61" l="1"/>
  <c r="Q122" i="61"/>
  <c r="AW122" i="61"/>
  <c r="S226" i="61"/>
  <c r="S203" i="61"/>
  <c r="M236" i="61"/>
  <c r="L236" i="61"/>
  <c r="U236" i="61" s="1"/>
  <c r="U203" i="61"/>
  <c r="W203" i="61" s="1"/>
  <c r="W221" i="61"/>
  <c r="CQ215" i="61"/>
  <c r="CP215" i="61"/>
  <c r="W213" i="61"/>
  <c r="AK213" i="61" s="1"/>
  <c r="W219" i="61"/>
  <c r="W225" i="61"/>
  <c r="AK225" i="61" s="1"/>
  <c r="W227" i="61"/>
  <c r="CP227" i="61" s="1"/>
  <c r="S220" i="61"/>
  <c r="S211" i="61"/>
  <c r="S215" i="61"/>
  <c r="S228" i="61"/>
  <c r="S214" i="61"/>
  <c r="S222" i="61"/>
  <c r="S235" i="61"/>
  <c r="S200" i="61"/>
  <c r="S218" i="61"/>
  <c r="M238" i="61"/>
  <c r="L238" i="61"/>
  <c r="V228" i="61"/>
  <c r="X228" i="61" s="1"/>
  <c r="AO228" i="61" s="1"/>
  <c r="W199" i="61"/>
  <c r="AK199" i="61" s="1"/>
  <c r="CQ234" i="61"/>
  <c r="V191" i="61"/>
  <c r="X191" i="61" s="1"/>
  <c r="AH191" i="61" s="1"/>
  <c r="W230" i="61"/>
  <c r="V230" i="61" s="1"/>
  <c r="X230" i="61" s="1"/>
  <c r="W200" i="61"/>
  <c r="AK200" i="61" s="1"/>
  <c r="W190" i="61"/>
  <c r="AK190" i="61" s="1"/>
  <c r="W235" i="61"/>
  <c r="CP235" i="61" s="1"/>
  <c r="W198" i="61"/>
  <c r="AK198" i="61" s="1"/>
  <c r="W196" i="61"/>
  <c r="V201" i="61"/>
  <c r="X201" i="61" s="1"/>
  <c r="AH201" i="61" s="1"/>
  <c r="V205" i="61"/>
  <c r="X205" i="61" s="1"/>
  <c r="AU205" i="61" s="1"/>
  <c r="W229" i="61"/>
  <c r="V229" i="61" s="1"/>
  <c r="X229" i="61" s="1"/>
  <c r="CP208" i="61"/>
  <c r="X215" i="61"/>
  <c r="AU215" i="61" s="1"/>
  <c r="Q121" i="61"/>
  <c r="R121" i="61"/>
  <c r="S170" i="61"/>
  <c r="Q152" i="61"/>
  <c r="R152" i="61"/>
  <c r="S239" i="61"/>
  <c r="S240" i="61"/>
  <c r="Q171" i="61"/>
  <c r="R171" i="61"/>
  <c r="Q192" i="61"/>
  <c r="R192" i="61"/>
  <c r="Q144" i="61"/>
  <c r="R144" i="61"/>
  <c r="Q165" i="61"/>
  <c r="R165" i="61"/>
  <c r="R178" i="61"/>
  <c r="Q178" i="61"/>
  <c r="R179" i="61"/>
  <c r="Q179" i="61"/>
  <c r="Q196" i="61"/>
  <c r="R196" i="61"/>
  <c r="R143" i="61"/>
  <c r="Q143" i="61"/>
  <c r="S248" i="61"/>
  <c r="Q197" i="61"/>
  <c r="R197" i="61"/>
  <c r="Q131" i="61"/>
  <c r="R131" i="61"/>
  <c r="R150" i="61"/>
  <c r="Q150" i="61"/>
  <c r="R216" i="61"/>
  <c r="Q216" i="61"/>
  <c r="Q237" i="61"/>
  <c r="R237" i="61"/>
  <c r="S243" i="61"/>
  <c r="S246" i="61"/>
  <c r="S242" i="61"/>
  <c r="S245" i="61"/>
  <c r="Q209" i="61"/>
  <c r="R209" i="61"/>
  <c r="Q134" i="61"/>
  <c r="R134" i="61"/>
  <c r="Q202" i="61"/>
  <c r="R202" i="61"/>
  <c r="Q227" i="61"/>
  <c r="R227" i="61"/>
  <c r="Q126" i="61"/>
  <c r="R126" i="61"/>
  <c r="R158" i="61"/>
  <c r="Q158" i="61"/>
  <c r="Q219" i="61"/>
  <c r="R219" i="61"/>
  <c r="Q164" i="61"/>
  <c r="R164" i="61"/>
  <c r="Q173" i="61"/>
  <c r="R173" i="61"/>
  <c r="R148" i="61"/>
  <c r="Q148" i="61"/>
  <c r="R199" i="61"/>
  <c r="Q199" i="61"/>
  <c r="Q225" i="61"/>
  <c r="R225" i="61"/>
  <c r="Q128" i="61"/>
  <c r="R128" i="61"/>
  <c r="R201" i="61"/>
  <c r="Q201" i="61"/>
  <c r="Q231" i="61"/>
  <c r="R231" i="61"/>
  <c r="Q142" i="61"/>
  <c r="R142" i="61"/>
  <c r="Q223" i="61"/>
  <c r="R223" i="61"/>
  <c r="R140" i="61"/>
  <c r="Q140" i="61"/>
  <c r="R233" i="61"/>
  <c r="Q233" i="61"/>
  <c r="Q190" i="61"/>
  <c r="R190" i="61"/>
  <c r="Q146" i="61"/>
  <c r="R146" i="61"/>
  <c r="R145" i="61"/>
  <c r="Q145" i="61"/>
  <c r="Q157" i="61"/>
  <c r="R157" i="61"/>
  <c r="R204" i="61"/>
  <c r="Q204" i="61"/>
  <c r="S241" i="61"/>
  <c r="S247" i="61"/>
  <c r="S181" i="61"/>
  <c r="Q133" i="61"/>
  <c r="R133" i="61"/>
  <c r="Q224" i="61"/>
  <c r="R224" i="61"/>
  <c r="Q135" i="61"/>
  <c r="R135" i="61"/>
  <c r="Q205" i="61"/>
  <c r="R205" i="61"/>
  <c r="Q229" i="61"/>
  <c r="R229" i="61"/>
  <c r="R130" i="61"/>
  <c r="Q130" i="61"/>
  <c r="Q147" i="61"/>
  <c r="R147" i="61"/>
  <c r="Q191" i="61"/>
  <c r="R191" i="61"/>
  <c r="R155" i="61"/>
  <c r="Q155" i="61"/>
  <c r="Q151" i="61"/>
  <c r="R151" i="61"/>
  <c r="R154" i="61"/>
  <c r="Q154" i="61"/>
  <c r="R129" i="61"/>
  <c r="Q129" i="61"/>
  <c r="R212" i="61"/>
  <c r="Q212" i="61"/>
  <c r="Q217" i="61"/>
  <c r="R217" i="61"/>
  <c r="R213" i="61"/>
  <c r="Q213" i="61"/>
  <c r="R159" i="61"/>
  <c r="Q159" i="61"/>
  <c r="Q141" i="61"/>
  <c r="R141" i="61"/>
  <c r="Q189" i="61"/>
  <c r="R189" i="61"/>
  <c r="R123" i="61"/>
  <c r="Q123" i="61"/>
  <c r="R177" i="61"/>
  <c r="Q177" i="61"/>
  <c r="Q153" i="61"/>
  <c r="R153" i="61"/>
  <c r="R221" i="61"/>
  <c r="Q221" i="61"/>
  <c r="Q176" i="61"/>
  <c r="R176" i="61"/>
  <c r="Q136" i="61"/>
  <c r="R136" i="61"/>
  <c r="R137" i="61"/>
  <c r="Q137" i="61"/>
  <c r="S244" i="61"/>
  <c r="Q124" i="61"/>
  <c r="R124" i="61"/>
  <c r="Q168" i="61"/>
  <c r="R168" i="61"/>
  <c r="Q175" i="61"/>
  <c r="R175" i="61"/>
  <c r="R138" i="61"/>
  <c r="Q138" i="61"/>
  <c r="R161" i="61"/>
  <c r="Q161" i="61"/>
  <c r="S169" i="61"/>
  <c r="S249" i="61"/>
  <c r="R194" i="61"/>
  <c r="Q194" i="61"/>
  <c r="R232" i="61"/>
  <c r="Q232" i="61"/>
  <c r="Q166" i="61"/>
  <c r="R166" i="61"/>
  <c r="R210" i="61"/>
  <c r="Q210" i="61"/>
  <c r="Q125" i="61"/>
  <c r="R125" i="61"/>
  <c r="R127" i="61"/>
  <c r="Q127" i="61"/>
  <c r="Q193" i="61"/>
  <c r="R193" i="61"/>
  <c r="Q206" i="61"/>
  <c r="R206" i="61"/>
  <c r="Q207" i="61"/>
  <c r="R207" i="61"/>
  <c r="R149" i="61"/>
  <c r="Q149" i="61"/>
  <c r="R156" i="61"/>
  <c r="Q156" i="61"/>
  <c r="Q172" i="61"/>
  <c r="R172" i="61"/>
  <c r="R163" i="61"/>
  <c r="Q163" i="61"/>
  <c r="Q132" i="61"/>
  <c r="R132" i="61"/>
  <c r="R174" i="61"/>
  <c r="Q174" i="61"/>
  <c r="Q160" i="61"/>
  <c r="R160" i="61"/>
  <c r="R162" i="61"/>
  <c r="Q162" i="61"/>
  <c r="R167" i="61"/>
  <c r="Q167" i="61"/>
  <c r="Q180" i="61"/>
  <c r="R180" i="61"/>
  <c r="Q139" i="61"/>
  <c r="R139" i="61"/>
  <c r="R234" i="61"/>
  <c r="Q234" i="61"/>
  <c r="Q230" i="61"/>
  <c r="R230" i="61"/>
  <c r="Q195" i="61"/>
  <c r="R195" i="61"/>
  <c r="R208" i="61"/>
  <c r="Q208" i="61"/>
  <c r="Q198" i="61"/>
  <c r="R198" i="61"/>
  <c r="AU161" i="61"/>
  <c r="AO161" i="61"/>
  <c r="AG161" i="61"/>
  <c r="AH161" i="61" s="1"/>
  <c r="AO151" i="61"/>
  <c r="AU151" i="61"/>
  <c r="AG151" i="61"/>
  <c r="AH151" i="61" s="1"/>
  <c r="AU163" i="61"/>
  <c r="AO163" i="61"/>
  <c r="AG163" i="61"/>
  <c r="AH163" i="61" s="1"/>
  <c r="AO166" i="61"/>
  <c r="AG166" i="61"/>
  <c r="AH166" i="61" s="1"/>
  <c r="AU166" i="61"/>
  <c r="AO143" i="61"/>
  <c r="AU143" i="61"/>
  <c r="AG143" i="61"/>
  <c r="AH143" i="61" s="1"/>
  <c r="AO147" i="61"/>
  <c r="AU147" i="61"/>
  <c r="AG147" i="61"/>
  <c r="AH147" i="61" s="1"/>
  <c r="AU160" i="61"/>
  <c r="AO160" i="61"/>
  <c r="AG160" i="61"/>
  <c r="AH160" i="61" s="1"/>
  <c r="AH233" i="61"/>
  <c r="AO233" i="61"/>
  <c r="AU233" i="61"/>
  <c r="AW233" i="61"/>
  <c r="AG233" i="61"/>
  <c r="AL233" i="61" s="1"/>
  <c r="AO149" i="61"/>
  <c r="AU149" i="61"/>
  <c r="AG149" i="61"/>
  <c r="AH149" i="61" s="1"/>
  <c r="AO146" i="61"/>
  <c r="AU146" i="61"/>
  <c r="AG146" i="61"/>
  <c r="AH146" i="61" s="1"/>
  <c r="AU168" i="61"/>
  <c r="AO168" i="61"/>
  <c r="AG168" i="61"/>
  <c r="AH168" i="61" s="1"/>
  <c r="AO144" i="61"/>
  <c r="AU144" i="61"/>
  <c r="AG144" i="61"/>
  <c r="AH144" i="61" s="1"/>
  <c r="AU177" i="61"/>
  <c r="AO177" i="61"/>
  <c r="AG177" i="61"/>
  <c r="AH177" i="61" s="1"/>
  <c r="AU176" i="61"/>
  <c r="AG176" i="61"/>
  <c r="AH176" i="61" s="1"/>
  <c r="AO176" i="61"/>
  <c r="AO152" i="61"/>
  <c r="AU152" i="61"/>
  <c r="AG152" i="61"/>
  <c r="AH152" i="61" s="1"/>
  <c r="W207" i="61"/>
  <c r="W150" i="61"/>
  <c r="W174" i="61"/>
  <c r="W178" i="61"/>
  <c r="W162" i="61"/>
  <c r="W175" i="61"/>
  <c r="W167" i="61"/>
  <c r="W179" i="61"/>
  <c r="CQ219" i="61"/>
  <c r="U243" i="61"/>
  <c r="T243" i="61"/>
  <c r="W222" i="61"/>
  <c r="U241" i="61"/>
  <c r="T241" i="61"/>
  <c r="W214" i="61"/>
  <c r="W164" i="61"/>
  <c r="W148" i="61"/>
  <c r="W155" i="61"/>
  <c r="W156" i="61"/>
  <c r="CP213" i="61"/>
  <c r="W153" i="61"/>
  <c r="W134" i="61"/>
  <c r="W224" i="61"/>
  <c r="W202" i="61"/>
  <c r="W124" i="61"/>
  <c r="W125" i="61"/>
  <c r="W126" i="61"/>
  <c r="CQ208" i="61"/>
  <c r="W158" i="61"/>
  <c r="W154" i="61"/>
  <c r="W157" i="61"/>
  <c r="W128" i="61"/>
  <c r="W226" i="61"/>
  <c r="W132" i="61"/>
  <c r="W211" i="61"/>
  <c r="W217" i="61"/>
  <c r="W145" i="61"/>
  <c r="W195" i="61"/>
  <c r="CQ233" i="61"/>
  <c r="CP223" i="61"/>
  <c r="K82" i="61"/>
  <c r="W123" i="61"/>
  <c r="W139" i="61"/>
  <c r="W173" i="61"/>
  <c r="AK142" i="61"/>
  <c r="AK159" i="61"/>
  <c r="V142" i="61"/>
  <c r="X142" i="61" s="1"/>
  <c r="V213" i="61"/>
  <c r="X213" i="61" s="1"/>
  <c r="V223" i="61"/>
  <c r="X223" i="61" s="1"/>
  <c r="V159" i="61"/>
  <c r="X159" i="61" s="1"/>
  <c r="W140" i="61"/>
  <c r="W141" i="61"/>
  <c r="W189" i="61"/>
  <c r="W180" i="61"/>
  <c r="AO130" i="61"/>
  <c r="AU130" i="61"/>
  <c r="AG130" i="61"/>
  <c r="AL130" i="61" s="1"/>
  <c r="W172" i="61"/>
  <c r="AO131" i="61"/>
  <c r="AU131" i="61"/>
  <c r="AG131" i="61"/>
  <c r="AL131" i="61" s="1"/>
  <c r="V219" i="61"/>
  <c r="X219" i="61" s="1"/>
  <c r="W136" i="61"/>
  <c r="W220" i="61"/>
  <c r="W121" i="61"/>
  <c r="AK121" i="61" s="1"/>
  <c r="W137" i="61"/>
  <c r="V194" i="61"/>
  <c r="X194" i="61" s="1"/>
  <c r="W209" i="61"/>
  <c r="V133" i="61"/>
  <c r="X133" i="61" s="1"/>
  <c r="W216" i="61"/>
  <c r="W204" i="61"/>
  <c r="V206" i="61"/>
  <c r="X206" i="61" s="1"/>
  <c r="W192" i="61"/>
  <c r="V190" i="61"/>
  <c r="X190" i="61" s="1"/>
  <c r="W232" i="61"/>
  <c r="W197" i="61"/>
  <c r="V135" i="61"/>
  <c r="X135" i="61" s="1"/>
  <c r="W210" i="61"/>
  <c r="V127" i="61"/>
  <c r="X127" i="61" s="1"/>
  <c r="CP228" i="61"/>
  <c r="W193" i="61"/>
  <c r="V208" i="61"/>
  <c r="X208" i="61" s="1"/>
  <c r="W212" i="61"/>
  <c r="W231" i="61"/>
  <c r="V221" i="61"/>
  <c r="X221" i="61" s="1"/>
  <c r="P82" i="61"/>
  <c r="Q79" i="61"/>
  <c r="R79" i="61" s="1"/>
  <c r="R82" i="61" s="1"/>
  <c r="W122" i="61"/>
  <c r="W138" i="61"/>
  <c r="V234" i="61"/>
  <c r="X234" i="61" s="1"/>
  <c r="W165" i="61"/>
  <c r="U247" i="61"/>
  <c r="T247" i="61"/>
  <c r="T249" i="61"/>
  <c r="U249" i="61"/>
  <c r="AK160" i="61"/>
  <c r="T170" i="61"/>
  <c r="U170" i="61"/>
  <c r="AK161" i="61"/>
  <c r="U169" i="61"/>
  <c r="T169" i="61"/>
  <c r="AK149" i="61"/>
  <c r="AK144" i="61"/>
  <c r="AK151" i="61"/>
  <c r="CQ213" i="61"/>
  <c r="U242" i="61"/>
  <c r="T242" i="61"/>
  <c r="AH129" i="61"/>
  <c r="AO129" i="61"/>
  <c r="AU129" i="61"/>
  <c r="AG129" i="61"/>
  <c r="AL129" i="61" s="1"/>
  <c r="AK166" i="61"/>
  <c r="AK143" i="61"/>
  <c r="AK146" i="61"/>
  <c r="AK176" i="61"/>
  <c r="AK152" i="61"/>
  <c r="CP233" i="61"/>
  <c r="CQ223" i="61"/>
  <c r="AK147" i="61"/>
  <c r="T245" i="61"/>
  <c r="U245" i="61"/>
  <c r="U181" i="61"/>
  <c r="T181" i="61"/>
  <c r="AK168" i="61"/>
  <c r="T240" i="61"/>
  <c r="U240" i="61"/>
  <c r="U239" i="61"/>
  <c r="T239" i="61"/>
  <c r="AU171" i="61"/>
  <c r="AG171" i="61"/>
  <c r="AH171" i="61" s="1"/>
  <c r="AO171" i="61"/>
  <c r="V199" i="61"/>
  <c r="X199" i="61" s="1"/>
  <c r="U246" i="61"/>
  <c r="T246" i="61"/>
  <c r="AK163" i="61"/>
  <c r="AK171" i="61"/>
  <c r="CQ228" i="61"/>
  <c r="AK177" i="61"/>
  <c r="W218" i="61"/>
  <c r="W237" i="61"/>
  <c r="U248" i="61"/>
  <c r="T248" i="61"/>
  <c r="U244" i="61"/>
  <c r="T244" i="61"/>
  <c r="AA205" i="61"/>
  <c r="AA190" i="61"/>
  <c r="AN130" i="61"/>
  <c r="AA133" i="61"/>
  <c r="P247" i="61"/>
  <c r="AB130" i="61"/>
  <c r="AA142" i="61"/>
  <c r="AA194" i="61"/>
  <c r="AA191" i="61"/>
  <c r="AN228" i="61"/>
  <c r="AN168" i="61"/>
  <c r="AA223" i="61"/>
  <c r="AN144" i="61"/>
  <c r="O238" i="61"/>
  <c r="P248" i="61"/>
  <c r="AA135" i="61"/>
  <c r="AA234" i="61"/>
  <c r="P228" i="61"/>
  <c r="AN166" i="61"/>
  <c r="AA159" i="61"/>
  <c r="AN171" i="61"/>
  <c r="AA208" i="61"/>
  <c r="Y223" i="61"/>
  <c r="P222" i="61"/>
  <c r="Y215" i="61"/>
  <c r="AN146" i="61"/>
  <c r="Y228" i="61"/>
  <c r="AA221" i="61"/>
  <c r="AN233" i="61"/>
  <c r="AN160" i="61"/>
  <c r="P215" i="61"/>
  <c r="P200" i="61"/>
  <c r="AA215" i="61"/>
  <c r="P226" i="61"/>
  <c r="AB131" i="61"/>
  <c r="AA219" i="61"/>
  <c r="P220" i="61"/>
  <c r="N236" i="61"/>
  <c r="P218" i="61"/>
  <c r="AB233" i="61"/>
  <c r="AB129" i="61"/>
  <c r="P169" i="61"/>
  <c r="P181" i="61"/>
  <c r="AN163" i="61"/>
  <c r="AN152" i="61"/>
  <c r="AN147" i="61"/>
  <c r="AN143" i="61"/>
  <c r="P240" i="61"/>
  <c r="AN151" i="61"/>
  <c r="AA206" i="61"/>
  <c r="AN161" i="61"/>
  <c r="AA229" i="61"/>
  <c r="P235" i="61"/>
  <c r="P170" i="61"/>
  <c r="P242" i="61"/>
  <c r="P203" i="61"/>
  <c r="AN177" i="61"/>
  <c r="P214" i="61"/>
  <c r="Y205" i="61"/>
  <c r="AA228" i="61"/>
  <c r="P211" i="61"/>
  <c r="AA127" i="61"/>
  <c r="O236" i="61"/>
  <c r="AN176" i="61"/>
  <c r="AN129" i="61"/>
  <c r="AN149" i="61"/>
  <c r="AA199" i="61"/>
  <c r="Y191" i="61"/>
  <c r="N238" i="61"/>
  <c r="AA230" i="61"/>
  <c r="AN131" i="61"/>
  <c r="Y201" i="61"/>
  <c r="AA213" i="61"/>
  <c r="AA201" i="61"/>
  <c r="AH130" i="61" l="1"/>
  <c r="AH131" i="61"/>
  <c r="AO215" i="61"/>
  <c r="AO201" i="61"/>
  <c r="AU201" i="61"/>
  <c r="AH215" i="61"/>
  <c r="AW121" i="61"/>
  <c r="BZ121" i="61" s="1"/>
  <c r="AO191" i="61"/>
  <c r="AH228" i="61"/>
  <c r="AW151" i="61"/>
  <c r="CA151" i="61" s="1"/>
  <c r="AW144" i="61"/>
  <c r="AW152" i="61"/>
  <c r="AW125" i="61"/>
  <c r="AW124" i="61"/>
  <c r="AW166" i="61"/>
  <c r="AW123" i="61"/>
  <c r="AW143" i="61"/>
  <c r="AW168" i="61"/>
  <c r="AW171" i="61"/>
  <c r="AW160" i="61"/>
  <c r="AW146" i="61"/>
  <c r="AW128" i="61"/>
  <c r="AW126" i="61"/>
  <c r="AW149" i="61"/>
  <c r="AW163" i="61"/>
  <c r="AW161" i="61"/>
  <c r="AW177" i="61"/>
  <c r="AW129" i="61"/>
  <c r="AW130" i="61"/>
  <c r="AW131" i="61"/>
  <c r="AW127" i="61"/>
  <c r="AW176" i="61"/>
  <c r="AW147" i="61"/>
  <c r="CQ227" i="61"/>
  <c r="W245" i="61"/>
  <c r="V245" i="61" s="1"/>
  <c r="X245" i="61" s="1"/>
  <c r="T236" i="61"/>
  <c r="W181" i="61"/>
  <c r="AK181" i="61" s="1"/>
  <c r="V198" i="61"/>
  <c r="X198" i="61" s="1"/>
  <c r="AU228" i="61"/>
  <c r="Y219" i="61"/>
  <c r="P243" i="61"/>
  <c r="AN191" i="61"/>
  <c r="P244" i="61"/>
  <c r="AB190" i="61"/>
  <c r="Y142" i="61"/>
  <c r="Y229" i="61"/>
  <c r="Y221" i="61"/>
  <c r="AB201" i="61"/>
  <c r="AB208" i="61"/>
  <c r="AN215" i="61"/>
  <c r="AB221" i="61"/>
  <c r="AB223" i="61"/>
  <c r="AM233" i="61"/>
  <c r="AN201" i="61"/>
  <c r="AB135" i="61"/>
  <c r="Y159" i="61"/>
  <c r="Y199" i="61"/>
  <c r="AB205" i="61"/>
  <c r="AB229" i="61"/>
  <c r="AB127" i="61"/>
  <c r="Y230" i="61"/>
  <c r="AB213" i="61"/>
  <c r="Y198" i="61"/>
  <c r="P239" i="61"/>
  <c r="Y135" i="61"/>
  <c r="AB142" i="61"/>
  <c r="Y127" i="61"/>
  <c r="Y208" i="61"/>
  <c r="Y234" i="61"/>
  <c r="AB194" i="61"/>
  <c r="AB228" i="61"/>
  <c r="AA245" i="61"/>
  <c r="P241" i="61"/>
  <c r="AM129" i="61"/>
  <c r="AB215" i="61"/>
  <c r="AB219" i="61"/>
  <c r="P246" i="61"/>
  <c r="AB133" i="61"/>
  <c r="P249" i="61"/>
  <c r="Y206" i="61"/>
  <c r="AB199" i="61"/>
  <c r="P245" i="61"/>
  <c r="AB206" i="61"/>
  <c r="Y133" i="61"/>
  <c r="AM130" i="61"/>
  <c r="AM131" i="61"/>
  <c r="AB230" i="61"/>
  <c r="Y190" i="61"/>
  <c r="Y213" i="61"/>
  <c r="Y194" i="61"/>
  <c r="Y245" i="61"/>
  <c r="AB234" i="61"/>
  <c r="AA198" i="61"/>
  <c r="AB191" i="61"/>
  <c r="AB159" i="61"/>
  <c r="CA121" i="61" l="1"/>
  <c r="BZ130" i="61"/>
  <c r="BZ131" i="61"/>
  <c r="BZ129" i="61"/>
  <c r="AL171" i="61"/>
  <c r="AL149" i="61"/>
  <c r="AL161" i="61"/>
  <c r="R203" i="61"/>
  <c r="Q203" i="61"/>
  <c r="S236" i="61"/>
  <c r="R226" i="61"/>
  <c r="Q226" i="61"/>
  <c r="AK203" i="61"/>
  <c r="V203" i="61"/>
  <c r="X203" i="61" s="1"/>
  <c r="AH203" i="61" s="1"/>
  <c r="AO205" i="61"/>
  <c r="W239" i="61"/>
  <c r="CQ239" i="61" s="1"/>
  <c r="CQ235" i="61"/>
  <c r="W249" i="61"/>
  <c r="AK249" i="61" s="1"/>
  <c r="AU191" i="61"/>
  <c r="W243" i="61"/>
  <c r="AK243" i="61" s="1"/>
  <c r="AK219" i="61"/>
  <c r="CP219" i="61"/>
  <c r="AK221" i="61"/>
  <c r="CQ221" i="61"/>
  <c r="CP221" i="61"/>
  <c r="CP225" i="61"/>
  <c r="AH205" i="61"/>
  <c r="AI205" i="61" s="1"/>
  <c r="CQ225" i="61"/>
  <c r="V225" i="61"/>
  <c r="X225" i="61" s="1"/>
  <c r="AH225" i="61" s="1"/>
  <c r="AK227" i="61"/>
  <c r="V227" i="61"/>
  <c r="X227" i="61" s="1"/>
  <c r="AG228" i="61"/>
  <c r="AL228" i="61" s="1"/>
  <c r="AW228" i="61"/>
  <c r="BI228" i="61" s="1"/>
  <c r="R200" i="61"/>
  <c r="Q200" i="61"/>
  <c r="Q228" i="61"/>
  <c r="R228" i="61"/>
  <c r="AG205" i="61"/>
  <c r="AL205" i="61" s="1"/>
  <c r="AW205" i="61"/>
  <c r="BF205" i="61" s="1"/>
  <c r="AG191" i="61"/>
  <c r="AL191" i="61"/>
  <c r="AW191" i="61"/>
  <c r="BH191" i="61" s="1"/>
  <c r="S238" i="61"/>
  <c r="R235" i="61"/>
  <c r="Q235" i="61"/>
  <c r="R215" i="61"/>
  <c r="Q215" i="61"/>
  <c r="AG215" i="61"/>
  <c r="AL215" i="61" s="1"/>
  <c r="AW215" i="61"/>
  <c r="BI215" i="61" s="1"/>
  <c r="AG201" i="61"/>
  <c r="AL201" i="61" s="1"/>
  <c r="AW201" i="61"/>
  <c r="Q222" i="61"/>
  <c r="R222" i="61"/>
  <c r="Q211" i="61"/>
  <c r="R211" i="61"/>
  <c r="Q218" i="61"/>
  <c r="R218" i="61"/>
  <c r="R214" i="61"/>
  <c r="Q214" i="61"/>
  <c r="R220" i="61"/>
  <c r="Q220" i="61"/>
  <c r="AK196" i="61"/>
  <c r="V196" i="61"/>
  <c r="X196" i="61" s="1"/>
  <c r="AK229" i="61"/>
  <c r="CQ229" i="61"/>
  <c r="CP229" i="61"/>
  <c r="AK230" i="61"/>
  <c r="CP230" i="61"/>
  <c r="CQ230" i="61"/>
  <c r="AK235" i="61"/>
  <c r="V235" i="61"/>
  <c r="X235" i="61" s="1"/>
  <c r="T238" i="61"/>
  <c r="U238" i="61"/>
  <c r="V200" i="61"/>
  <c r="X200" i="61" s="1"/>
  <c r="AH200" i="61" s="1"/>
  <c r="AL194" i="61"/>
  <c r="AL190" i="61"/>
  <c r="AL146" i="61"/>
  <c r="AL152" i="61"/>
  <c r="AL168" i="61"/>
  <c r="AL147" i="61"/>
  <c r="AL151" i="61"/>
  <c r="AL166" i="61"/>
  <c r="AL160" i="61"/>
  <c r="AL163" i="61"/>
  <c r="Q241" i="61"/>
  <c r="R241" i="61"/>
  <c r="R246" i="61"/>
  <c r="Q246" i="61"/>
  <c r="R239" i="61"/>
  <c r="Q239" i="61"/>
  <c r="Q249" i="61"/>
  <c r="R249" i="61"/>
  <c r="R244" i="61"/>
  <c r="Q244" i="61"/>
  <c r="Q245" i="61"/>
  <c r="R245" i="61"/>
  <c r="Q243" i="61"/>
  <c r="R243" i="61"/>
  <c r="Q169" i="61"/>
  <c r="R169" i="61"/>
  <c r="Q181" i="61"/>
  <c r="R181" i="61"/>
  <c r="R248" i="61"/>
  <c r="Q248" i="61"/>
  <c r="Q247" i="61"/>
  <c r="R247" i="61"/>
  <c r="R242" i="61"/>
  <c r="Q242" i="61"/>
  <c r="R240" i="61"/>
  <c r="Q240" i="61"/>
  <c r="R170" i="61"/>
  <c r="Q170" i="61"/>
  <c r="AI130" i="61"/>
  <c r="AI168" i="61"/>
  <c r="AI146" i="61"/>
  <c r="AI160" i="61"/>
  <c r="AI147" i="61"/>
  <c r="AI166" i="61"/>
  <c r="AI163" i="61"/>
  <c r="AI151" i="61"/>
  <c r="AI177" i="61"/>
  <c r="AI149" i="61"/>
  <c r="AI143" i="61"/>
  <c r="AI131" i="61"/>
  <c r="AI144" i="61"/>
  <c r="AI161" i="61"/>
  <c r="AI171" i="61"/>
  <c r="AI233" i="61"/>
  <c r="AI129" i="61"/>
  <c r="AI191" i="61"/>
  <c r="AI215" i="61"/>
  <c r="AI228" i="61"/>
  <c r="AI201" i="61"/>
  <c r="AI152" i="61"/>
  <c r="AI176" i="61"/>
  <c r="AL176" i="61"/>
  <c r="BI176" i="61" s="1"/>
  <c r="AL177" i="61"/>
  <c r="AL143" i="61"/>
  <c r="AL144" i="61"/>
  <c r="AO245" i="61"/>
  <c r="AU245" i="61"/>
  <c r="AH245" i="61"/>
  <c r="AW245" i="61" s="1"/>
  <c r="AG245" i="61"/>
  <c r="AW199" i="61"/>
  <c r="AO199" i="61"/>
  <c r="AG199" i="61"/>
  <c r="AL199" i="61" s="1"/>
  <c r="AH199" i="61"/>
  <c r="AU199" i="61"/>
  <c r="AK245" i="61"/>
  <c r="CQ245" i="61"/>
  <c r="CP245" i="61"/>
  <c r="W170" i="61"/>
  <c r="AK138" i="61"/>
  <c r="V138" i="61"/>
  <c r="X138" i="61" s="1"/>
  <c r="AW230" i="61"/>
  <c r="AO230" i="61"/>
  <c r="AG230" i="61"/>
  <c r="AU230" i="61"/>
  <c r="AH230" i="61"/>
  <c r="AK212" i="61"/>
  <c r="CP212" i="61"/>
  <c r="CQ212" i="61"/>
  <c r="V212" i="61"/>
  <c r="X212" i="61" s="1"/>
  <c r="AH135" i="61"/>
  <c r="AW135" i="61" s="1"/>
  <c r="AO135" i="61"/>
  <c r="AU135" i="61"/>
  <c r="AG135" i="61"/>
  <c r="AL135" i="61" s="1"/>
  <c r="AK192" i="61"/>
  <c r="V192" i="61"/>
  <c r="X192" i="61" s="1"/>
  <c r="AK209" i="61"/>
  <c r="CP209" i="61"/>
  <c r="CQ209" i="61"/>
  <c r="V209" i="61"/>
  <c r="X209" i="61" s="1"/>
  <c r="AK137" i="61"/>
  <c r="V137" i="61"/>
  <c r="X137" i="61" s="1"/>
  <c r="BF131" i="61"/>
  <c r="BI131" i="61"/>
  <c r="BE131" i="61"/>
  <c r="BH131" i="61"/>
  <c r="BD131" i="61"/>
  <c r="BG131" i="61"/>
  <c r="CA131" i="61"/>
  <c r="CB131" i="61"/>
  <c r="AK172" i="61"/>
  <c r="V172" i="61"/>
  <c r="X172" i="61" s="1"/>
  <c r="AU159" i="61"/>
  <c r="AO159" i="61"/>
  <c r="AG159" i="61"/>
  <c r="AL159" i="61" s="1"/>
  <c r="AK173" i="61"/>
  <c r="V173" i="61"/>
  <c r="X173" i="61" s="1"/>
  <c r="AK217" i="61"/>
  <c r="V217" i="61"/>
  <c r="X217" i="61" s="1"/>
  <c r="CQ217" i="61"/>
  <c r="CP217" i="61"/>
  <c r="AK128" i="61"/>
  <c r="V128" i="61"/>
  <c r="X128" i="61" s="1"/>
  <c r="AK124" i="61"/>
  <c r="V124" i="61"/>
  <c r="X124" i="61" s="1"/>
  <c r="AK153" i="61"/>
  <c r="V153" i="61"/>
  <c r="X153" i="61" s="1"/>
  <c r="AK155" i="61"/>
  <c r="V155" i="61"/>
  <c r="X155" i="61" s="1"/>
  <c r="AK164" i="61"/>
  <c r="V164" i="61"/>
  <c r="X164" i="61" s="1"/>
  <c r="AK162" i="61"/>
  <c r="V162" i="61"/>
  <c r="X162" i="61" s="1"/>
  <c r="AK207" i="61"/>
  <c r="CP207" i="61"/>
  <c r="CQ207" i="61"/>
  <c r="V207" i="61"/>
  <c r="X207" i="61" s="1"/>
  <c r="BI149" i="61"/>
  <c r="BH149" i="61"/>
  <c r="BG149" i="61"/>
  <c r="BF149" i="61"/>
  <c r="BH166" i="61"/>
  <c r="BG166" i="61"/>
  <c r="BF166" i="61"/>
  <c r="BI166" i="61"/>
  <c r="BG161" i="61"/>
  <c r="BF161" i="61"/>
  <c r="BI161" i="61"/>
  <c r="BH161" i="61"/>
  <c r="W244" i="61"/>
  <c r="W248" i="61"/>
  <c r="AK237" i="61"/>
  <c r="V237" i="61"/>
  <c r="X237" i="61" s="1"/>
  <c r="CP237" i="61"/>
  <c r="CQ237" i="61"/>
  <c r="W236" i="61"/>
  <c r="W246" i="61"/>
  <c r="BH171" i="61"/>
  <c r="BG171" i="61"/>
  <c r="BF171" i="61"/>
  <c r="BI171" i="61"/>
  <c r="BF129" i="61"/>
  <c r="BI129" i="61"/>
  <c r="BE129" i="61"/>
  <c r="BH129" i="61"/>
  <c r="BD129" i="61"/>
  <c r="BG129" i="61"/>
  <c r="CA129" i="61"/>
  <c r="CB129" i="61"/>
  <c r="AK165" i="61"/>
  <c r="V165" i="61"/>
  <c r="X165" i="61" s="1"/>
  <c r="AK122" i="61"/>
  <c r="V122" i="61"/>
  <c r="X122" i="61" s="1"/>
  <c r="AH122" i="61" s="1"/>
  <c r="AW221" i="61"/>
  <c r="AO221" i="61"/>
  <c r="AG221" i="61"/>
  <c r="AU221" i="61"/>
  <c r="AH221" i="61"/>
  <c r="AW208" i="61"/>
  <c r="AO208" i="61"/>
  <c r="AG208" i="61"/>
  <c r="AL208" i="61" s="1"/>
  <c r="AU208" i="61"/>
  <c r="AH208" i="61"/>
  <c r="AH127" i="61"/>
  <c r="AO127" i="61"/>
  <c r="AU127" i="61"/>
  <c r="AG127" i="61"/>
  <c r="AL127" i="61" s="1"/>
  <c r="BZ127" i="61"/>
  <c r="AK197" i="61"/>
  <c r="V197" i="61"/>
  <c r="X197" i="61" s="1"/>
  <c r="AH206" i="61"/>
  <c r="AU206" i="61"/>
  <c r="AO206" i="61"/>
  <c r="AG206" i="61"/>
  <c r="AL206" i="61" s="1"/>
  <c r="AW206" i="61"/>
  <c r="AU225" i="61"/>
  <c r="V121" i="61"/>
  <c r="X121" i="61" s="1"/>
  <c r="AO121" i="61" s="1"/>
  <c r="AK136" i="61"/>
  <c r="V136" i="61"/>
  <c r="X136" i="61" s="1"/>
  <c r="BF130" i="61"/>
  <c r="BI130" i="61"/>
  <c r="BE130" i="61"/>
  <c r="BH130" i="61"/>
  <c r="BD130" i="61"/>
  <c r="BG130" i="61"/>
  <c r="CB130" i="61"/>
  <c r="CA130" i="61"/>
  <c r="AK189" i="61"/>
  <c r="V189" i="61"/>
  <c r="X189" i="61" s="1"/>
  <c r="AU223" i="61"/>
  <c r="AH223" i="61"/>
  <c r="AW223" i="61"/>
  <c r="AO223" i="61"/>
  <c r="AG223" i="61"/>
  <c r="AL223" i="61" s="1"/>
  <c r="AK139" i="61"/>
  <c r="V139" i="61"/>
  <c r="X139" i="61" s="1"/>
  <c r="AK211" i="61"/>
  <c r="V211" i="61"/>
  <c r="X211" i="61" s="1"/>
  <c r="CQ211" i="61"/>
  <c r="CP211" i="61"/>
  <c r="AK157" i="61"/>
  <c r="V157" i="61"/>
  <c r="X157" i="61" s="1"/>
  <c r="AK202" i="61"/>
  <c r="V202" i="61"/>
  <c r="X202" i="61" s="1"/>
  <c r="AK148" i="61"/>
  <c r="V148" i="61"/>
  <c r="X148" i="61" s="1"/>
  <c r="AK214" i="61"/>
  <c r="V214" i="61"/>
  <c r="X214" i="61" s="1"/>
  <c r="CP214" i="61"/>
  <c r="CQ214" i="61"/>
  <c r="AK179" i="61"/>
  <c r="V179" i="61"/>
  <c r="X179" i="61" s="1"/>
  <c r="AK178" i="61"/>
  <c r="V178" i="61"/>
  <c r="X178" i="61" s="1"/>
  <c r="BI144" i="61"/>
  <c r="BG144" i="61"/>
  <c r="BF144" i="61"/>
  <c r="BH144" i="61"/>
  <c r="BH168" i="61"/>
  <c r="BG168" i="61"/>
  <c r="BI168" i="61"/>
  <c r="BF168" i="61"/>
  <c r="BZ233" i="61"/>
  <c r="BX233" i="61" s="1"/>
  <c r="CS233" i="61" s="1"/>
  <c r="BF233" i="61"/>
  <c r="BI233" i="61"/>
  <c r="BE233" i="61"/>
  <c r="BH233" i="61"/>
  <c r="BD233" i="61"/>
  <c r="BG233" i="61"/>
  <c r="BG160" i="61"/>
  <c r="BF160" i="61"/>
  <c r="BI160" i="61"/>
  <c r="BH160" i="61"/>
  <c r="AK218" i="61"/>
  <c r="CP218" i="61"/>
  <c r="CQ218" i="61"/>
  <c r="V218" i="61"/>
  <c r="X218" i="61" s="1"/>
  <c r="W240" i="61"/>
  <c r="V181" i="61"/>
  <c r="X181" i="61" s="1"/>
  <c r="V249" i="61"/>
  <c r="X249" i="61" s="1"/>
  <c r="AK231" i="61"/>
  <c r="CP231" i="61"/>
  <c r="CQ231" i="61"/>
  <c r="V231" i="61"/>
  <c r="X231" i="61" s="1"/>
  <c r="AK193" i="61"/>
  <c r="V193" i="61"/>
  <c r="X193" i="61" s="1"/>
  <c r="AH229" i="61"/>
  <c r="AO229" i="61"/>
  <c r="AU229" i="61"/>
  <c r="AG229" i="61"/>
  <c r="AW229" i="61"/>
  <c r="AK232" i="61"/>
  <c r="CP232" i="61"/>
  <c r="V232" i="61"/>
  <c r="X232" i="61" s="1"/>
  <c r="CQ232" i="61"/>
  <c r="AK204" i="61"/>
  <c r="V204" i="61"/>
  <c r="X204" i="61" s="1"/>
  <c r="AH194" i="61"/>
  <c r="AO194" i="61"/>
  <c r="AU194" i="61"/>
  <c r="AG194" i="61"/>
  <c r="AW194" i="61"/>
  <c r="AK220" i="61"/>
  <c r="CQ220" i="61"/>
  <c r="CP220" i="61"/>
  <c r="V220" i="61"/>
  <c r="X220" i="61" s="1"/>
  <c r="AU219" i="61"/>
  <c r="AH219" i="61"/>
  <c r="AW219" i="61"/>
  <c r="AO219" i="61"/>
  <c r="AG219" i="61"/>
  <c r="AK180" i="61"/>
  <c r="V180" i="61"/>
  <c r="X180" i="61" s="1"/>
  <c r="AK141" i="61"/>
  <c r="V141" i="61"/>
  <c r="X141" i="61" s="1"/>
  <c r="AU213" i="61"/>
  <c r="AH213" i="61"/>
  <c r="AO213" i="61"/>
  <c r="AG213" i="61"/>
  <c r="AL213" i="61" s="1"/>
  <c r="AW213" i="61"/>
  <c r="AK123" i="61"/>
  <c r="V123" i="61"/>
  <c r="X123" i="61" s="1"/>
  <c r="AK195" i="61"/>
  <c r="V195" i="61"/>
  <c r="X195" i="61" s="1"/>
  <c r="AK132" i="61"/>
  <c r="V132" i="61"/>
  <c r="X132" i="61" s="1"/>
  <c r="AK154" i="61"/>
  <c r="V154" i="61"/>
  <c r="X154" i="61" s="1"/>
  <c r="AK126" i="61"/>
  <c r="V126" i="61"/>
  <c r="X126" i="61" s="1"/>
  <c r="AK224" i="61"/>
  <c r="V224" i="61"/>
  <c r="X224" i="61" s="1"/>
  <c r="CQ224" i="61"/>
  <c r="CP224" i="61"/>
  <c r="AO200" i="61"/>
  <c r="W241" i="61"/>
  <c r="AK222" i="61"/>
  <c r="V222" i="61"/>
  <c r="X222" i="61" s="1"/>
  <c r="CQ222" i="61"/>
  <c r="CP222" i="61"/>
  <c r="AK167" i="61"/>
  <c r="V167" i="61"/>
  <c r="X167" i="61" s="1"/>
  <c r="AK174" i="61"/>
  <c r="V174" i="61"/>
  <c r="X174" i="61" s="1"/>
  <c r="BI152" i="61"/>
  <c r="BH152" i="61"/>
  <c r="BG152" i="61"/>
  <c r="BF152" i="61"/>
  <c r="BH176" i="61"/>
  <c r="BG176" i="61"/>
  <c r="BF176" i="61"/>
  <c r="BI146" i="61"/>
  <c r="BH146" i="61"/>
  <c r="BG146" i="61"/>
  <c r="BF146" i="61"/>
  <c r="BG163" i="61"/>
  <c r="BF163" i="61"/>
  <c r="BI163" i="61"/>
  <c r="BH163" i="61"/>
  <c r="W242" i="61"/>
  <c r="W169" i="61"/>
  <c r="W247" i="61"/>
  <c r="AW234" i="61"/>
  <c r="AO234" i="61"/>
  <c r="AG234" i="61"/>
  <c r="AL234" i="61" s="1"/>
  <c r="AU234" i="61"/>
  <c r="AH234" i="61"/>
  <c r="AH198" i="61"/>
  <c r="AO198" i="61"/>
  <c r="AU198" i="61"/>
  <c r="AG198" i="61"/>
  <c r="AL198" i="61" s="1"/>
  <c r="AW198" i="61"/>
  <c r="AK210" i="61"/>
  <c r="CQ210" i="61"/>
  <c r="CP210" i="61"/>
  <c r="V210" i="61"/>
  <c r="X210" i="61" s="1"/>
  <c r="AO190" i="61"/>
  <c r="AU190" i="61"/>
  <c r="AH190" i="61"/>
  <c r="AG190" i="61"/>
  <c r="AW190" i="61"/>
  <c r="AK216" i="61"/>
  <c r="CP216" i="61"/>
  <c r="CQ216" i="61"/>
  <c r="V216" i="61"/>
  <c r="X216" i="61" s="1"/>
  <c r="AH133" i="61"/>
  <c r="AW133" i="61" s="1"/>
  <c r="AO133" i="61"/>
  <c r="AU133" i="61"/>
  <c r="AG133" i="61"/>
  <c r="AL133" i="61" s="1"/>
  <c r="AK140" i="61"/>
  <c r="V140" i="61"/>
  <c r="X140" i="61" s="1"/>
  <c r="AU142" i="61"/>
  <c r="AO142" i="61"/>
  <c r="AG142" i="61"/>
  <c r="AL142" i="61" s="1"/>
  <c r="CK249" i="61"/>
  <c r="CG249" i="61"/>
  <c r="CF249" i="61"/>
  <c r="CE249" i="61"/>
  <c r="CE247" i="61"/>
  <c r="CF246" i="61"/>
  <c r="CK245" i="61"/>
  <c r="CG245" i="61"/>
  <c r="CK248" i="61"/>
  <c r="CG248" i="61"/>
  <c r="CE246" i="61"/>
  <c r="CF245" i="61"/>
  <c r="CF248" i="61"/>
  <c r="CK247" i="61"/>
  <c r="CG247" i="61"/>
  <c r="CE245" i="61"/>
  <c r="CF244" i="61"/>
  <c r="CE248" i="61"/>
  <c r="CF247" i="61"/>
  <c r="CK246" i="61"/>
  <c r="CG246" i="61"/>
  <c r="CE244" i="61"/>
  <c r="CE242" i="61"/>
  <c r="CF241" i="61"/>
  <c r="CG240" i="61"/>
  <c r="CE238" i="61"/>
  <c r="CF237" i="61"/>
  <c r="CK244" i="61"/>
  <c r="CK243" i="61"/>
  <c r="CG243" i="61"/>
  <c r="CE241" i="61"/>
  <c r="CF240" i="61"/>
  <c r="CG239" i="61"/>
  <c r="CE237" i="61"/>
  <c r="CF236" i="61"/>
  <c r="CG235" i="61"/>
  <c r="CF243" i="61"/>
  <c r="CK242" i="61"/>
  <c r="CG242" i="61"/>
  <c r="CE240" i="61"/>
  <c r="CF239" i="61"/>
  <c r="CG238" i="61"/>
  <c r="CG244" i="61"/>
  <c r="CE243" i="61"/>
  <c r="CF242" i="61"/>
  <c r="CK241" i="61"/>
  <c r="CG241" i="61"/>
  <c r="CE239" i="61"/>
  <c r="CF238" i="61"/>
  <c r="CG237" i="61"/>
  <c r="CE235" i="61"/>
  <c r="CE236" i="61"/>
  <c r="CG234" i="61"/>
  <c r="CE232" i="61"/>
  <c r="CF231" i="61"/>
  <c r="CG230" i="61"/>
  <c r="CE228" i="61"/>
  <c r="CF234" i="61"/>
  <c r="CG233" i="61"/>
  <c r="CE231" i="61"/>
  <c r="CF230" i="61"/>
  <c r="CG229" i="61"/>
  <c r="CE227" i="61"/>
  <c r="CF235" i="61"/>
  <c r="CE234" i="61"/>
  <c r="CF233" i="61"/>
  <c r="CG232" i="61"/>
  <c r="CE230" i="61"/>
  <c r="CF229" i="61"/>
  <c r="CG228" i="61"/>
  <c r="CG236" i="61"/>
  <c r="CE233" i="61"/>
  <c r="CF232" i="61"/>
  <c r="CG231" i="61"/>
  <c r="CE229" i="61"/>
  <c r="CF228" i="61"/>
  <c r="CG227" i="61"/>
  <c r="CF226" i="61"/>
  <c r="CG225" i="61"/>
  <c r="CE223" i="61"/>
  <c r="CF222" i="61"/>
  <c r="CG221" i="61"/>
  <c r="CE219" i="61"/>
  <c r="CF218" i="61"/>
  <c r="CE226" i="61"/>
  <c r="CF225" i="61"/>
  <c r="CG224" i="61"/>
  <c r="CE222" i="61"/>
  <c r="CF221" i="61"/>
  <c r="CG220" i="61"/>
  <c r="CE218" i="61"/>
  <c r="CF217" i="61"/>
  <c r="CG216" i="61"/>
  <c r="CE225" i="61"/>
  <c r="CF224" i="61"/>
  <c r="CG223" i="61"/>
  <c r="CE221" i="61"/>
  <c r="CF220" i="61"/>
  <c r="CG219" i="61"/>
  <c r="CF227" i="61"/>
  <c r="CG226" i="61"/>
  <c r="CE224" i="61"/>
  <c r="CF223" i="61"/>
  <c r="CG222" i="61"/>
  <c r="CE220" i="61"/>
  <c r="CF219" i="61"/>
  <c r="CG218" i="61"/>
  <c r="CE216" i="61"/>
  <c r="CE217" i="61"/>
  <c r="CE214" i="61"/>
  <c r="CF213" i="61"/>
  <c r="CG212" i="61"/>
  <c r="CE210" i="61"/>
  <c r="CF209" i="61"/>
  <c r="CG208" i="61"/>
  <c r="CG215" i="61"/>
  <c r="CE213" i="61"/>
  <c r="CF212" i="61"/>
  <c r="CG211" i="61"/>
  <c r="CE209" i="61"/>
  <c r="CF208" i="61"/>
  <c r="CG207" i="61"/>
  <c r="CF216" i="61"/>
  <c r="CF215" i="61"/>
  <c r="CG214" i="61"/>
  <c r="CE212" i="61"/>
  <c r="CF211" i="61"/>
  <c r="CG210" i="61"/>
  <c r="CE208" i="61"/>
  <c r="CG217" i="61"/>
  <c r="CE215" i="61"/>
  <c r="CF214" i="61"/>
  <c r="CG213" i="61"/>
  <c r="CE211" i="61"/>
  <c r="CF210" i="61"/>
  <c r="CG209" i="61"/>
  <c r="CE207" i="61"/>
  <c r="CF206" i="61"/>
  <c r="CE205" i="61"/>
  <c r="CF204" i="61"/>
  <c r="CG203" i="61"/>
  <c r="CE201" i="61"/>
  <c r="CF200" i="61"/>
  <c r="CG199" i="61"/>
  <c r="CE197" i="61"/>
  <c r="CF196" i="61"/>
  <c r="CG195" i="61"/>
  <c r="CE193" i="61"/>
  <c r="CE204" i="61"/>
  <c r="CF203" i="61"/>
  <c r="CG202" i="61"/>
  <c r="CE200" i="61"/>
  <c r="CF199" i="61"/>
  <c r="CG198" i="61"/>
  <c r="CE196" i="61"/>
  <c r="CF195" i="61"/>
  <c r="CG194" i="61"/>
  <c r="CE192" i="61"/>
  <c r="CF191" i="61"/>
  <c r="CG190" i="61"/>
  <c r="CE206" i="61"/>
  <c r="CF205" i="61"/>
  <c r="CG204" i="61"/>
  <c r="CE202" i="61"/>
  <c r="CF201" i="61"/>
  <c r="CG200" i="61"/>
  <c r="CE198" i="61"/>
  <c r="CF197" i="61"/>
  <c r="CG196" i="61"/>
  <c r="CE194" i="61"/>
  <c r="CF193" i="61"/>
  <c r="CG192" i="61"/>
  <c r="CE190" i="61"/>
  <c r="CF189" i="61"/>
  <c r="CF207" i="61"/>
  <c r="CG206" i="61"/>
  <c r="CG205" i="61"/>
  <c r="CF198" i="61"/>
  <c r="CE195" i="61"/>
  <c r="CF192" i="61"/>
  <c r="CG191" i="61"/>
  <c r="CE189" i="61"/>
  <c r="CF202" i="61"/>
  <c r="CE199" i="61"/>
  <c r="CG193" i="61"/>
  <c r="CE191" i="61"/>
  <c r="CE203" i="61"/>
  <c r="CG197" i="61"/>
  <c r="CF194" i="61"/>
  <c r="CG201" i="61"/>
  <c r="CF190" i="61"/>
  <c r="CG189" i="61"/>
  <c r="B113" i="61"/>
  <c r="B114" i="61" s="1"/>
  <c r="M82" i="61" s="1"/>
  <c r="AK145" i="61"/>
  <c r="V145" i="61"/>
  <c r="X145" i="61" s="1"/>
  <c r="AK226" i="61"/>
  <c r="V226" i="61"/>
  <c r="X226" i="61" s="1"/>
  <c r="CP226" i="61"/>
  <c r="CQ226" i="61"/>
  <c r="AK158" i="61"/>
  <c r="V158" i="61"/>
  <c r="X158" i="61" s="1"/>
  <c r="AK125" i="61"/>
  <c r="V125" i="61"/>
  <c r="X125" i="61" s="1"/>
  <c r="AK134" i="61"/>
  <c r="V134" i="61"/>
  <c r="X134" i="61" s="1"/>
  <c r="AK156" i="61"/>
  <c r="V156" i="61"/>
  <c r="X156" i="61" s="1"/>
  <c r="AK175" i="61"/>
  <c r="V175" i="61"/>
  <c r="X175" i="61" s="1"/>
  <c r="AK150" i="61"/>
  <c r="V150" i="61"/>
  <c r="X150" i="61" s="1"/>
  <c r="BH177" i="61"/>
  <c r="BG177" i="61"/>
  <c r="BI177" i="61"/>
  <c r="BF177" i="61"/>
  <c r="BI147" i="61"/>
  <c r="BH147" i="61"/>
  <c r="BG147" i="61"/>
  <c r="BF147" i="61"/>
  <c r="BI143" i="61"/>
  <c r="BG143" i="61"/>
  <c r="BF143" i="61"/>
  <c r="BH143" i="61"/>
  <c r="BI151" i="61"/>
  <c r="BH151" i="61"/>
  <c r="BG151" i="61"/>
  <c r="BF151" i="61"/>
  <c r="BD144" i="61"/>
  <c r="BE146" i="61"/>
  <c r="BE147" i="61"/>
  <c r="BE143" i="61"/>
  <c r="BD143" i="61"/>
  <c r="BE151" i="61"/>
  <c r="BE144" i="61"/>
  <c r="BD147" i="61"/>
  <c r="BE149" i="61"/>
  <c r="BD146" i="61"/>
  <c r="BD151" i="61"/>
  <c r="BD149" i="61"/>
  <c r="BE152" i="61"/>
  <c r="BD152" i="61"/>
  <c r="BD163" i="61"/>
  <c r="BD166" i="61"/>
  <c r="BE171" i="61"/>
  <c r="BD177" i="61"/>
  <c r="BD171" i="61"/>
  <c r="BE161" i="61"/>
  <c r="BE177" i="61"/>
  <c r="BE160" i="61"/>
  <c r="BD160" i="61"/>
  <c r="BE168" i="61"/>
  <c r="BD161" i="61"/>
  <c r="BE176" i="61"/>
  <c r="BD168" i="61"/>
  <c r="BD176" i="61"/>
  <c r="BE166" i="61"/>
  <c r="BE163" i="61"/>
  <c r="BC171" i="61"/>
  <c r="BB171" i="61"/>
  <c r="BC176" i="61"/>
  <c r="BC177" i="61"/>
  <c r="BB168" i="61"/>
  <c r="BB177" i="61"/>
  <c r="BB176" i="61"/>
  <c r="BC168" i="61"/>
  <c r="AA193" i="61"/>
  <c r="AA222" i="61"/>
  <c r="AA158" i="61"/>
  <c r="AA202" i="61"/>
  <c r="AA181" i="61"/>
  <c r="BC146" i="61"/>
  <c r="AJ168" i="61"/>
  <c r="BB163" i="61"/>
  <c r="AN213" i="61"/>
  <c r="AA141" i="61"/>
  <c r="Y235" i="61"/>
  <c r="AA178" i="61"/>
  <c r="Y200" i="61"/>
  <c r="BB215" i="61"/>
  <c r="AM166" i="61"/>
  <c r="BC131" i="61"/>
  <c r="AJ129" i="61"/>
  <c r="AA128" i="61"/>
  <c r="AA155" i="61"/>
  <c r="AN127" i="61"/>
  <c r="BB147" i="61"/>
  <c r="P236" i="61"/>
  <c r="AA125" i="61"/>
  <c r="AA123" i="61"/>
  <c r="AJ146" i="61"/>
  <c r="AM144" i="61"/>
  <c r="AA212" i="61"/>
  <c r="AJ130" i="61"/>
  <c r="AA167" i="61"/>
  <c r="AM205" i="61"/>
  <c r="AJ166" i="61"/>
  <c r="BB144" i="61"/>
  <c r="AM198" i="61"/>
  <c r="AJ152" i="61"/>
  <c r="AM135" i="61"/>
  <c r="AA124" i="61"/>
  <c r="AN208" i="61"/>
  <c r="AM215" i="61"/>
  <c r="AN221" i="61"/>
  <c r="AA192" i="61"/>
  <c r="AM160" i="61"/>
  <c r="Y121" i="61"/>
  <c r="AA195" i="61"/>
  <c r="AA203" i="61"/>
  <c r="BC130" i="61"/>
  <c r="AJ144" i="61"/>
  <c r="Y231" i="61"/>
  <c r="BC233" i="61"/>
  <c r="AJ215" i="61"/>
  <c r="BB161" i="61"/>
  <c r="AJ149" i="61"/>
  <c r="AM147" i="61"/>
  <c r="AN245" i="61"/>
  <c r="BC215" i="61"/>
  <c r="AN198" i="61"/>
  <c r="AM199" i="61"/>
  <c r="BC129" i="61"/>
  <c r="AA216" i="61"/>
  <c r="AN194" i="61"/>
  <c r="AJ205" i="61"/>
  <c r="AN234" i="61"/>
  <c r="BB233" i="61"/>
  <c r="AN230" i="61"/>
  <c r="AM151" i="61"/>
  <c r="AA145" i="61"/>
  <c r="AA154" i="61"/>
  <c r="BB146" i="61"/>
  <c r="AA157" i="61"/>
  <c r="AA226" i="61"/>
  <c r="AN223" i="61"/>
  <c r="BC144" i="61"/>
  <c r="AA139" i="61"/>
  <c r="BB152" i="61"/>
  <c r="BC151" i="61"/>
  <c r="BC143" i="61"/>
  <c r="AM190" i="61"/>
  <c r="AJ151" i="61"/>
  <c r="AJ131" i="61"/>
  <c r="AJ191" i="61"/>
  <c r="AJ163" i="61"/>
  <c r="AB198" i="61"/>
  <c r="AA136" i="61"/>
  <c r="BC166" i="61"/>
  <c r="AA137" i="61"/>
  <c r="AJ233" i="61"/>
  <c r="AN135" i="61"/>
  <c r="AM191" i="61"/>
  <c r="AJ176" i="61"/>
  <c r="AN200" i="61"/>
  <c r="AA156" i="61"/>
  <c r="AA209" i="61"/>
  <c r="AA179" i="61"/>
  <c r="AA172" i="61"/>
  <c r="AM171" i="61"/>
  <c r="AA121" i="61"/>
  <c r="AA224" i="61"/>
  <c r="AA232" i="61"/>
  <c r="AA153" i="61"/>
  <c r="BB131" i="61"/>
  <c r="BB129" i="61"/>
  <c r="Y207" i="61"/>
  <c r="BC147" i="61"/>
  <c r="AA197" i="61"/>
  <c r="BB121" i="61"/>
  <c r="BC191" i="61"/>
  <c r="AM206" i="61"/>
  <c r="AA225" i="61"/>
  <c r="AN199" i="61"/>
  <c r="AJ147" i="61"/>
  <c r="AA134" i="61"/>
  <c r="BC152" i="61"/>
  <c r="AA235" i="61"/>
  <c r="Y227" i="61"/>
  <c r="AB245" i="61"/>
  <c r="AJ161" i="61"/>
  <c r="BB149" i="61"/>
  <c r="AJ143" i="61"/>
  <c r="AN190" i="61"/>
  <c r="BC149" i="61"/>
  <c r="AN142" i="61"/>
  <c r="BB130" i="61"/>
  <c r="AA173" i="61"/>
  <c r="AA218" i="61"/>
  <c r="AM163" i="61"/>
  <c r="AJ160" i="61"/>
  <c r="AM201" i="61"/>
  <c r="AA200" i="61"/>
  <c r="BB151" i="61"/>
  <c r="AN219" i="61"/>
  <c r="AA207" i="61"/>
  <c r="AA217" i="61"/>
  <c r="Y189" i="61"/>
  <c r="AA249" i="61"/>
  <c r="AA148" i="61"/>
  <c r="BC160" i="61"/>
  <c r="AJ228" i="61"/>
  <c r="AJ177" i="61"/>
  <c r="AJ201" i="61"/>
  <c r="P238" i="61"/>
  <c r="AA210" i="61"/>
  <c r="AN133" i="61"/>
  <c r="AA211" i="61"/>
  <c r="AA126" i="61"/>
  <c r="AJ171" i="61"/>
  <c r="AA204" i="61"/>
  <c r="Y162" i="61"/>
  <c r="BB160" i="61"/>
  <c r="AA180" i="61"/>
  <c r="BB166" i="61"/>
  <c r="AA189" i="61"/>
  <c r="AN229" i="61"/>
  <c r="AA162" i="61"/>
  <c r="AM194" i="61"/>
  <c r="AN206" i="61"/>
  <c r="AA220" i="61"/>
  <c r="AA174" i="61"/>
  <c r="AA196" i="61"/>
  <c r="AA231" i="61"/>
  <c r="AA227" i="61"/>
  <c r="AM161" i="61"/>
  <c r="AM228" i="61"/>
  <c r="AA164" i="61"/>
  <c r="Y196" i="61"/>
  <c r="AA122" i="61"/>
  <c r="AA138" i="61"/>
  <c r="BC163" i="61"/>
  <c r="BC161" i="61"/>
  <c r="AM168" i="61"/>
  <c r="BB143" i="61"/>
  <c r="AM152" i="61"/>
  <c r="AN159" i="61"/>
  <c r="AA165" i="61"/>
  <c r="AA150" i="61"/>
  <c r="Y225" i="61"/>
  <c r="AA237" i="61"/>
  <c r="AM149" i="61"/>
  <c r="AA214" i="61"/>
  <c r="AN205" i="61"/>
  <c r="AM146" i="61"/>
  <c r="AA175" i="61"/>
  <c r="Y197" i="61"/>
  <c r="Y203" i="61"/>
  <c r="Y249" i="61"/>
  <c r="AA140" i="61"/>
  <c r="BC201" i="61"/>
  <c r="AA132" i="61"/>
  <c r="AO203" i="61" l="1"/>
  <c r="BD215" i="61"/>
  <c r="BF215" i="61"/>
  <c r="AU203" i="61"/>
  <c r="BF191" i="61"/>
  <c r="BE191" i="61"/>
  <c r="CQ243" i="61"/>
  <c r="C322" i="61"/>
  <c r="C324" i="61"/>
  <c r="C323" i="61"/>
  <c r="C319" i="61"/>
  <c r="C320" i="61"/>
  <c r="C325" i="61"/>
  <c r="C321" i="61"/>
  <c r="C326" i="61"/>
  <c r="C327" i="61"/>
  <c r="AG121" i="61"/>
  <c r="AL121" i="61" s="1"/>
  <c r="BX121" i="61"/>
  <c r="AH121" i="61"/>
  <c r="BZ191" i="61"/>
  <c r="BX191" i="61" s="1"/>
  <c r="BE228" i="61"/>
  <c r="BZ135" i="61"/>
  <c r="BZ144" i="61"/>
  <c r="BZ151" i="61"/>
  <c r="BZ166" i="61"/>
  <c r="BZ163" i="61"/>
  <c r="BZ147" i="61"/>
  <c r="BZ160" i="61"/>
  <c r="BZ152" i="61"/>
  <c r="BZ146" i="61"/>
  <c r="BZ161" i="61"/>
  <c r="BZ149" i="61"/>
  <c r="AH159" i="61"/>
  <c r="AW159" i="61" s="1"/>
  <c r="AH142" i="61"/>
  <c r="AW142" i="61" s="1"/>
  <c r="CE250" i="61"/>
  <c r="BZ168" i="61"/>
  <c r="BZ171" i="61"/>
  <c r="BD228" i="61"/>
  <c r="BF228" i="61"/>
  <c r="BG228" i="61"/>
  <c r="AL221" i="61"/>
  <c r="AK239" i="61"/>
  <c r="CP239" i="61"/>
  <c r="AO225" i="61"/>
  <c r="BH215" i="61"/>
  <c r="BH228" i="61"/>
  <c r="V243" i="61"/>
  <c r="X243" i="61" s="1"/>
  <c r="AL219" i="61"/>
  <c r="V239" i="61"/>
  <c r="X239" i="61" s="1"/>
  <c r="CP243" i="61"/>
  <c r="BZ215" i="61"/>
  <c r="BX215" i="61" s="1"/>
  <c r="CS215" i="61" s="1"/>
  <c r="BE215" i="61"/>
  <c r="BZ228" i="61"/>
  <c r="BX228" i="61" s="1"/>
  <c r="CS228" i="61" s="1"/>
  <c r="BG215" i="61"/>
  <c r="AB123" i="61"/>
  <c r="Y232" i="61"/>
  <c r="AB216" i="61"/>
  <c r="Y138" i="61"/>
  <c r="Y243" i="61"/>
  <c r="AB226" i="61"/>
  <c r="AA243" i="61"/>
  <c r="Y237" i="61"/>
  <c r="AB180" i="61"/>
  <c r="AB145" i="61"/>
  <c r="AA239" i="61"/>
  <c r="AB158" i="61"/>
  <c r="Y179" i="61"/>
  <c r="AB132" i="61"/>
  <c r="AM176" i="61"/>
  <c r="Y178" i="61"/>
  <c r="Y150" i="61"/>
  <c r="Y218" i="61"/>
  <c r="AB124" i="61"/>
  <c r="AB156" i="61"/>
  <c r="AB204" i="61"/>
  <c r="BC228" i="61"/>
  <c r="AB222" i="61"/>
  <c r="BB228" i="61"/>
  <c r="AB164" i="61"/>
  <c r="Y123" i="61"/>
  <c r="AM121" i="61"/>
  <c r="Y141" i="61"/>
  <c r="AM234" i="61"/>
  <c r="Y202" i="61"/>
  <c r="AM127" i="61"/>
  <c r="Y220" i="61"/>
  <c r="AB179" i="61"/>
  <c r="Y214" i="61"/>
  <c r="AB141" i="61"/>
  <c r="Y165" i="61"/>
  <c r="AM177" i="61"/>
  <c r="AB154" i="61"/>
  <c r="Y126" i="61"/>
  <c r="Y148" i="61"/>
  <c r="AB217" i="61"/>
  <c r="Y139" i="61"/>
  <c r="Y204" i="61"/>
  <c r="AM221" i="61"/>
  <c r="AB225" i="61"/>
  <c r="AB212" i="61"/>
  <c r="AB172" i="61"/>
  <c r="AB232" i="61"/>
  <c r="Y155" i="61"/>
  <c r="AB214" i="61"/>
  <c r="AB224" i="61"/>
  <c r="Y181" i="61"/>
  <c r="AB148" i="61"/>
  <c r="AB128" i="61"/>
  <c r="Y172" i="61"/>
  <c r="Y167" i="61"/>
  <c r="Y140" i="61"/>
  <c r="Y226" i="61"/>
  <c r="Y212" i="61"/>
  <c r="Y137" i="61"/>
  <c r="AB150" i="61"/>
  <c r="Y164" i="61"/>
  <c r="Y211" i="61"/>
  <c r="AB207" i="61"/>
  <c r="Y210" i="61"/>
  <c r="AB174" i="61"/>
  <c r="Y122" i="61"/>
  <c r="Y136" i="61"/>
  <c r="AB165" i="61"/>
  <c r="Y180" i="61"/>
  <c r="AB140" i="61"/>
  <c r="AB195" i="61"/>
  <c r="Y158" i="61"/>
  <c r="Y209" i="61"/>
  <c r="AB126" i="61"/>
  <c r="AB231" i="61"/>
  <c r="AM208" i="61"/>
  <c r="AB192" i="61"/>
  <c r="AB196" i="61"/>
  <c r="AN121" i="61"/>
  <c r="AB136" i="61"/>
  <c r="AB210" i="61"/>
  <c r="Y125" i="61"/>
  <c r="AM223" i="61"/>
  <c r="Y192" i="61"/>
  <c r="Y195" i="61"/>
  <c r="AB175" i="61"/>
  <c r="AB173" i="61"/>
  <c r="AB137" i="61"/>
  <c r="Y193" i="61"/>
  <c r="Y145" i="61"/>
  <c r="AB235" i="61"/>
  <c r="AM213" i="61"/>
  <c r="AB200" i="61"/>
  <c r="AB153" i="61"/>
  <c r="Y175" i="61"/>
  <c r="Y216" i="61"/>
  <c r="AN225" i="61"/>
  <c r="AB162" i="61"/>
  <c r="Y128" i="61"/>
  <c r="AN203" i="61"/>
  <c r="Y154" i="61"/>
  <c r="AB211" i="61"/>
  <c r="AM142" i="61"/>
  <c r="Y132" i="61"/>
  <c r="AB125" i="61"/>
  <c r="AB181" i="61"/>
  <c r="Y156" i="61"/>
  <c r="AB218" i="61"/>
  <c r="BB205" i="61"/>
  <c r="Y157" i="61"/>
  <c r="AM159" i="61"/>
  <c r="AB178" i="61"/>
  <c r="AB220" i="61"/>
  <c r="AB121" i="61"/>
  <c r="AB155" i="61"/>
  <c r="Y224" i="61"/>
  <c r="AB249" i="61"/>
  <c r="Y134" i="61"/>
  <c r="AB202" i="61"/>
  <c r="AB193" i="61"/>
  <c r="AM219" i="61"/>
  <c r="AB122" i="61"/>
  <c r="Y124" i="61"/>
  <c r="AB209" i="61"/>
  <c r="Y217" i="61"/>
  <c r="AB203" i="61"/>
  <c r="AB157" i="61"/>
  <c r="AB227" i="61"/>
  <c r="Y222" i="61"/>
  <c r="AM143" i="61"/>
  <c r="AB138" i="61"/>
  <c r="AM133" i="61"/>
  <c r="AB197" i="61"/>
  <c r="AB139" i="61"/>
  <c r="AB167" i="61"/>
  <c r="Y153" i="61"/>
  <c r="Y239" i="61"/>
  <c r="AB189" i="61"/>
  <c r="Y174" i="61"/>
  <c r="Y173" i="61"/>
  <c r="AB237" i="61"/>
  <c r="AB134" i="61"/>
  <c r="BZ133" i="61" l="1"/>
  <c r="BZ159" i="61"/>
  <c r="BZ143" i="61"/>
  <c r="BZ142" i="61"/>
  <c r="BZ177" i="61"/>
  <c r="BZ176" i="61"/>
  <c r="AL229" i="61"/>
  <c r="AG227" i="61"/>
  <c r="AL227" i="61" s="1"/>
  <c r="AW227" i="61"/>
  <c r="AG203" i="61"/>
  <c r="AL203" i="61" s="1"/>
  <c r="AW203" i="61"/>
  <c r="BE203" i="61" s="1"/>
  <c r="R236" i="61"/>
  <c r="Q236" i="61"/>
  <c r="AG225" i="61"/>
  <c r="AL225" i="61" s="1"/>
  <c r="AW225" i="61"/>
  <c r="BH225" i="61" s="1"/>
  <c r="AO227" i="61"/>
  <c r="AU227" i="61"/>
  <c r="BZ201" i="61"/>
  <c r="BX201" i="61" s="1"/>
  <c r="BE205" i="61"/>
  <c r="BH201" i="61"/>
  <c r="BG201" i="61"/>
  <c r="AG200" i="61"/>
  <c r="AL200" i="61" s="1"/>
  <c r="AW200" i="61"/>
  <c r="BG200" i="61" s="1"/>
  <c r="Q238" i="61"/>
  <c r="R238" i="61"/>
  <c r="AG235" i="61"/>
  <c r="AL235" i="61" s="1"/>
  <c r="AW235" i="61"/>
  <c r="AG196" i="61"/>
  <c r="AL196" i="61" s="1"/>
  <c r="AW196" i="61"/>
  <c r="BD205" i="61"/>
  <c r="BE201" i="61"/>
  <c r="AL230" i="61"/>
  <c r="AU200" i="61"/>
  <c r="BZ205" i="61"/>
  <c r="BX205" i="61" s="1"/>
  <c r="BH205" i="61"/>
  <c r="BG205" i="61"/>
  <c r="BI201" i="61"/>
  <c r="BF201" i="61"/>
  <c r="BG191" i="61"/>
  <c r="BD191" i="61"/>
  <c r="AO235" i="61"/>
  <c r="AU235" i="61"/>
  <c r="AH235" i="61"/>
  <c r="AU196" i="61"/>
  <c r="AO196" i="61"/>
  <c r="AH196" i="61"/>
  <c r="BI205" i="61"/>
  <c r="BD201" i="61"/>
  <c r="BI191" i="61"/>
  <c r="W238" i="61"/>
  <c r="AL192" i="61"/>
  <c r="AL189" i="61"/>
  <c r="AL195" i="61"/>
  <c r="AL193" i="61"/>
  <c r="CJ215" i="61"/>
  <c r="E293" i="61" s="1"/>
  <c r="CJ191" i="61"/>
  <c r="E269" i="61" s="1"/>
  <c r="AI194" i="61"/>
  <c r="AI230" i="61"/>
  <c r="AI245" i="61"/>
  <c r="AI200" i="61"/>
  <c r="AI223" i="61"/>
  <c r="AI225" i="61"/>
  <c r="AI127" i="61"/>
  <c r="AI206" i="61"/>
  <c r="AI208" i="61"/>
  <c r="AI199" i="61"/>
  <c r="AI203" i="61"/>
  <c r="AI133" i="61"/>
  <c r="AI198" i="61"/>
  <c r="AI219" i="61"/>
  <c r="AI142" i="61"/>
  <c r="AI190" i="61"/>
  <c r="AI234" i="61"/>
  <c r="AI213" i="61"/>
  <c r="AI229" i="61"/>
  <c r="AI221" i="61"/>
  <c r="AI159" i="61"/>
  <c r="AI135" i="61"/>
  <c r="BP151" i="61"/>
  <c r="BP147" i="61"/>
  <c r="CJ233" i="61"/>
  <c r="E311" i="61" s="1"/>
  <c r="BP129" i="61"/>
  <c r="BP149" i="61"/>
  <c r="AL245" i="61"/>
  <c r="BI245" i="61" s="1"/>
  <c r="BN143" i="61"/>
  <c r="O289" i="61" s="1"/>
  <c r="BN146" i="61"/>
  <c r="BP215" i="61"/>
  <c r="CL215" i="61" s="1"/>
  <c r="CX215" i="61" s="1"/>
  <c r="BP228" i="61"/>
  <c r="CL228" i="61" s="1"/>
  <c r="CX228" i="61" s="1"/>
  <c r="BP146" i="61"/>
  <c r="BN152" i="61"/>
  <c r="O298" i="61" s="1"/>
  <c r="BN168" i="61"/>
  <c r="BP130" i="61"/>
  <c r="AU158" i="61"/>
  <c r="AO158" i="61"/>
  <c r="AG158" i="61"/>
  <c r="AH158" i="61" s="1"/>
  <c r="AW158" i="61" s="1"/>
  <c r="BN151" i="61"/>
  <c r="O297" i="61" s="1"/>
  <c r="BP143" i="61"/>
  <c r="BN147" i="61"/>
  <c r="O293" i="61" s="1"/>
  <c r="AH125" i="61"/>
  <c r="AO125" i="61"/>
  <c r="AU125" i="61"/>
  <c r="AG125" i="61"/>
  <c r="AL125" i="61" s="1"/>
  <c r="BZ125" i="61"/>
  <c r="AU226" i="61"/>
  <c r="AO226" i="61"/>
  <c r="AW226" i="61"/>
  <c r="AG226" i="61"/>
  <c r="AH226" i="61" s="1"/>
  <c r="CF250" i="61"/>
  <c r="E258" i="61" s="1"/>
  <c r="F258" i="61" s="1"/>
  <c r="BG142" i="61"/>
  <c r="BH142" i="61"/>
  <c r="BF142" i="61"/>
  <c r="BI142" i="61"/>
  <c r="AW216" i="61"/>
  <c r="AO216" i="61"/>
  <c r="AG216" i="61"/>
  <c r="AL216" i="61" s="1"/>
  <c r="AU216" i="61"/>
  <c r="AH216" i="61"/>
  <c r="BI190" i="61"/>
  <c r="BE190" i="61"/>
  <c r="BG190" i="61"/>
  <c r="BF190" i="61"/>
  <c r="BD190" i="61"/>
  <c r="BH190" i="61"/>
  <c r="BZ190" i="61"/>
  <c r="AK169" i="61"/>
  <c r="V169" i="61"/>
  <c r="X169" i="61" s="1"/>
  <c r="BN163" i="61"/>
  <c r="O309" i="61" s="1"/>
  <c r="BN176" i="61"/>
  <c r="O322" i="61" s="1"/>
  <c r="AU231" i="61"/>
  <c r="AH231" i="61"/>
  <c r="AO231" i="61"/>
  <c r="AW231" i="61"/>
  <c r="AG231" i="61"/>
  <c r="AL231" i="61" s="1"/>
  <c r="AU249" i="61"/>
  <c r="AH249" i="61"/>
  <c r="AW249" i="61" s="1"/>
  <c r="AG249" i="61"/>
  <c r="AL249" i="61" s="1"/>
  <c r="AO249" i="61"/>
  <c r="AK240" i="61"/>
  <c r="CQ240" i="61"/>
  <c r="CP240" i="61"/>
  <c r="V240" i="61"/>
  <c r="X240" i="61" s="1"/>
  <c r="BN160" i="61"/>
  <c r="O306" i="61" s="1"/>
  <c r="BN144" i="61"/>
  <c r="O290" i="61" s="1"/>
  <c r="AU179" i="61"/>
  <c r="AG179" i="61"/>
  <c r="AL179" i="61" s="1"/>
  <c r="AO179" i="61"/>
  <c r="AU214" i="61"/>
  <c r="AH214" i="61"/>
  <c r="AW214" i="61"/>
  <c r="AO214" i="61"/>
  <c r="AG214" i="61"/>
  <c r="AL214" i="61" s="1"/>
  <c r="AO157" i="61"/>
  <c r="AU157" i="61"/>
  <c r="AG157" i="61"/>
  <c r="AL157" i="61" s="1"/>
  <c r="AO139" i="61"/>
  <c r="AU139" i="61"/>
  <c r="AG139" i="61"/>
  <c r="AL139" i="61" s="1"/>
  <c r="AO136" i="61"/>
  <c r="AU136" i="61"/>
  <c r="AG136" i="61"/>
  <c r="AL136" i="61" s="1"/>
  <c r="BF127" i="61"/>
  <c r="BI127" i="61"/>
  <c r="BE127" i="61"/>
  <c r="BH127" i="61"/>
  <c r="BD127" i="61"/>
  <c r="BG127" i="61"/>
  <c r="CB127" i="61"/>
  <c r="CA127" i="61"/>
  <c r="AK244" i="61"/>
  <c r="CP244" i="61"/>
  <c r="CQ244" i="61"/>
  <c r="V244" i="61"/>
  <c r="X244" i="61" s="1"/>
  <c r="BP161" i="61"/>
  <c r="BP166" i="61"/>
  <c r="CA166" i="61" s="1"/>
  <c r="AO207" i="61"/>
  <c r="AU207" i="61"/>
  <c r="AH207" i="61"/>
  <c r="AW207" i="61"/>
  <c r="AG207" i="61"/>
  <c r="AL207" i="61" s="1"/>
  <c r="AU162" i="61"/>
  <c r="AO162" i="61"/>
  <c r="AG162" i="61"/>
  <c r="AL162" i="61" s="1"/>
  <c r="BN131" i="61"/>
  <c r="O277" i="61" s="1"/>
  <c r="AK170" i="61"/>
  <c r="V170" i="61"/>
  <c r="X170" i="61" s="1"/>
  <c r="BN177" i="61"/>
  <c r="O323" i="61" s="1"/>
  <c r="BN228" i="61"/>
  <c r="AO150" i="61"/>
  <c r="AU150" i="61"/>
  <c r="AG150" i="61"/>
  <c r="AL150" i="61" s="1"/>
  <c r="AU175" i="61"/>
  <c r="AG175" i="61"/>
  <c r="AL175" i="61" s="1"/>
  <c r="AO175" i="61"/>
  <c r="AO243" i="61"/>
  <c r="AU243" i="61"/>
  <c r="AG243" i="61"/>
  <c r="AL243" i="61" s="1"/>
  <c r="AO140" i="61"/>
  <c r="AU140" i="61"/>
  <c r="AG140" i="61"/>
  <c r="AL140" i="61" s="1"/>
  <c r="AU210" i="61"/>
  <c r="AH210" i="61"/>
  <c r="AW210" i="61"/>
  <c r="AO210" i="61"/>
  <c r="AG210" i="61"/>
  <c r="AL210" i="61" s="1"/>
  <c r="BF198" i="61"/>
  <c r="BI198" i="61"/>
  <c r="BE198" i="61"/>
  <c r="BG198" i="61"/>
  <c r="BD198" i="61"/>
  <c r="BH198" i="61"/>
  <c r="BZ198" i="61"/>
  <c r="BP152" i="61"/>
  <c r="AU222" i="61"/>
  <c r="AH222" i="61"/>
  <c r="AO222" i="61"/>
  <c r="AG222" i="61"/>
  <c r="AL222" i="61" s="1"/>
  <c r="AW222" i="61"/>
  <c r="AH126" i="61"/>
  <c r="AO126" i="61"/>
  <c r="AU126" i="61"/>
  <c r="BZ126" i="61"/>
  <c r="AG126" i="61"/>
  <c r="AL126" i="61" s="1"/>
  <c r="AW195" i="61"/>
  <c r="AO195" i="61"/>
  <c r="AG195" i="61"/>
  <c r="AH195" i="61"/>
  <c r="AU195" i="61"/>
  <c r="BZ229" i="61"/>
  <c r="BF229" i="61"/>
  <c r="BI229" i="61"/>
  <c r="BE229" i="61"/>
  <c r="BH229" i="61"/>
  <c r="BD229" i="61"/>
  <c r="BG229" i="61"/>
  <c r="AH239" i="61"/>
  <c r="AW239" i="61" s="1"/>
  <c r="AO239" i="61"/>
  <c r="AU239" i="61"/>
  <c r="AG239" i="61"/>
  <c r="AL239" i="61" s="1"/>
  <c r="BP233" i="61"/>
  <c r="BF206" i="61"/>
  <c r="BH206" i="61"/>
  <c r="BD206" i="61"/>
  <c r="BI206" i="61"/>
  <c r="BE206" i="61"/>
  <c r="BG206" i="61"/>
  <c r="BZ206" i="61"/>
  <c r="BI208" i="61"/>
  <c r="BE208" i="61"/>
  <c r="BH208" i="61"/>
  <c r="BD208" i="61"/>
  <c r="BG208" i="61"/>
  <c r="BF208" i="61"/>
  <c r="BZ208" i="61"/>
  <c r="AU165" i="61"/>
  <c r="AO165" i="61"/>
  <c r="AG165" i="61"/>
  <c r="AL165" i="61" s="1"/>
  <c r="BN129" i="61"/>
  <c r="O275" i="61" s="1"/>
  <c r="AK246" i="61"/>
  <c r="V246" i="61"/>
  <c r="X246" i="61" s="1"/>
  <c r="AU237" i="61"/>
  <c r="AO237" i="61"/>
  <c r="AH237" i="61"/>
  <c r="AW237" i="61" s="1"/>
  <c r="AG237" i="61"/>
  <c r="AL237" i="61" s="1"/>
  <c r="BN166" i="61"/>
  <c r="O312" i="61" s="1"/>
  <c r="BN215" i="61"/>
  <c r="AU173" i="61"/>
  <c r="AO173" i="61"/>
  <c r="AG173" i="61"/>
  <c r="AL173" i="61" s="1"/>
  <c r="BX131" i="61"/>
  <c r="BF135" i="61"/>
  <c r="BI135" i="61"/>
  <c r="BE135" i="61"/>
  <c r="BH135" i="61"/>
  <c r="BD135" i="61"/>
  <c r="BG135" i="61"/>
  <c r="CB135" i="61"/>
  <c r="CA135" i="61"/>
  <c r="AW212" i="61"/>
  <c r="AO212" i="61"/>
  <c r="AG212" i="61"/>
  <c r="AL212" i="61" s="1"/>
  <c r="AU212" i="61"/>
  <c r="AH212" i="61"/>
  <c r="BI230" i="61"/>
  <c r="BE230" i="61"/>
  <c r="BH230" i="61"/>
  <c r="BD230" i="61"/>
  <c r="BG230" i="61"/>
  <c r="BF230" i="61"/>
  <c r="BZ230" i="61"/>
  <c r="AO156" i="61"/>
  <c r="AU156" i="61"/>
  <c r="AG156" i="61"/>
  <c r="AL156" i="61" s="1"/>
  <c r="AH134" i="61"/>
  <c r="AW134" i="61" s="1"/>
  <c r="AO134" i="61"/>
  <c r="AU134" i="61"/>
  <c r="AG134" i="61"/>
  <c r="AL134" i="61" s="1"/>
  <c r="AO145" i="61"/>
  <c r="AU145" i="61"/>
  <c r="AG145" i="61"/>
  <c r="AL145" i="61" s="1"/>
  <c r="CT206" i="61"/>
  <c r="CT189" i="61"/>
  <c r="CT215" i="61"/>
  <c r="CT218" i="61"/>
  <c r="CT226" i="61"/>
  <c r="CT233" i="61"/>
  <c r="CT231" i="61"/>
  <c r="CT239" i="61"/>
  <c r="CT244" i="61"/>
  <c r="CT196" i="61"/>
  <c r="CT208" i="61"/>
  <c r="CT221" i="61"/>
  <c r="CT230" i="61"/>
  <c r="CT235" i="61"/>
  <c r="CT249" i="61"/>
  <c r="CT197" i="61"/>
  <c r="CT214" i="61"/>
  <c r="CT232" i="61"/>
  <c r="CT238" i="61"/>
  <c r="CT236" i="61"/>
  <c r="CT247" i="61"/>
  <c r="CT219" i="61"/>
  <c r="CT245" i="61"/>
  <c r="CT193" i="61"/>
  <c r="CT191" i="61"/>
  <c r="CT210" i="61"/>
  <c r="CT228" i="61"/>
  <c r="CT195" i="61"/>
  <c r="CT192" i="61"/>
  <c r="CT199" i="61"/>
  <c r="CT205" i="61"/>
  <c r="CT223" i="61"/>
  <c r="CT217" i="61"/>
  <c r="CT190" i="61"/>
  <c r="CT227" i="61"/>
  <c r="CT194" i="61"/>
  <c r="CT202" i="61"/>
  <c r="CT213" i="61"/>
  <c r="CT220" i="61"/>
  <c r="CT246" i="61"/>
  <c r="CT198" i="61"/>
  <c r="CT211" i="61"/>
  <c r="CT224" i="61"/>
  <c r="CT222" i="61"/>
  <c r="CT229" i="61"/>
  <c r="CT237" i="61"/>
  <c r="CT248" i="61"/>
  <c r="CT201" i="61"/>
  <c r="CT242" i="61"/>
  <c r="CT203" i="61"/>
  <c r="CT207" i="61"/>
  <c r="CT209" i="61"/>
  <c r="CT243" i="61"/>
  <c r="CT241" i="61"/>
  <c r="CT200" i="61"/>
  <c r="CT212" i="61"/>
  <c r="CT225" i="61"/>
  <c r="CT234" i="61"/>
  <c r="CT216" i="61"/>
  <c r="CT240" i="61"/>
  <c r="CT204" i="61"/>
  <c r="E257" i="61"/>
  <c r="F257" i="61" s="1"/>
  <c r="CJ228" i="61"/>
  <c r="E306" i="61" s="1"/>
  <c r="BF133" i="61"/>
  <c r="BI133" i="61"/>
  <c r="BE133" i="61"/>
  <c r="BH133" i="61"/>
  <c r="BD133" i="61"/>
  <c r="BG133" i="61"/>
  <c r="CB133" i="61"/>
  <c r="CA133" i="61"/>
  <c r="BI234" i="61"/>
  <c r="BE234" i="61"/>
  <c r="BH234" i="61"/>
  <c r="BD234" i="61"/>
  <c r="BG234" i="61"/>
  <c r="BF234" i="61"/>
  <c r="BZ234" i="61"/>
  <c r="AK242" i="61"/>
  <c r="CP242" i="61"/>
  <c r="CQ242" i="61"/>
  <c r="V242" i="61"/>
  <c r="X242" i="61" s="1"/>
  <c r="BP163" i="61"/>
  <c r="CA163" i="61" s="1"/>
  <c r="BH213" i="61"/>
  <c r="BD213" i="61"/>
  <c r="BG213" i="61"/>
  <c r="BZ213" i="61"/>
  <c r="BF213" i="61"/>
  <c r="BI213" i="61"/>
  <c r="BE213" i="61"/>
  <c r="AH220" i="61"/>
  <c r="AO220" i="61"/>
  <c r="AU220" i="61"/>
  <c r="AG220" i="61"/>
  <c r="AL220" i="61" s="1"/>
  <c r="AW220" i="61"/>
  <c r="BF194" i="61"/>
  <c r="BI194" i="61"/>
  <c r="BE194" i="61"/>
  <c r="BG194" i="61"/>
  <c r="BH194" i="61"/>
  <c r="BD194" i="61"/>
  <c r="BZ194" i="61"/>
  <c r="AU232" i="61"/>
  <c r="AH232" i="61"/>
  <c r="AW232" i="61"/>
  <c r="AO232" i="61"/>
  <c r="AG232" i="61"/>
  <c r="AL232" i="61" s="1"/>
  <c r="AU193" i="61"/>
  <c r="AH193" i="61"/>
  <c r="AG193" i="61"/>
  <c r="AW193" i="61"/>
  <c r="AO193" i="61"/>
  <c r="AU218" i="61"/>
  <c r="AO218" i="61"/>
  <c r="AH218" i="61"/>
  <c r="AW218" i="61"/>
  <c r="AG218" i="61"/>
  <c r="AL218" i="61" s="1"/>
  <c r="BP160" i="61"/>
  <c r="BP168" i="61"/>
  <c r="CA168" i="61" s="1"/>
  <c r="BP144" i="61"/>
  <c r="AU178" i="61"/>
  <c r="AG178" i="61"/>
  <c r="AL178" i="61" s="1"/>
  <c r="AO178" i="61"/>
  <c r="AO148" i="61"/>
  <c r="AU148" i="61"/>
  <c r="AG148" i="61"/>
  <c r="AL148" i="61" s="1"/>
  <c r="AH202" i="61"/>
  <c r="AO202" i="61"/>
  <c r="AU202" i="61"/>
  <c r="AW202" i="61"/>
  <c r="AG202" i="61"/>
  <c r="AL202" i="61" s="1"/>
  <c r="AH211" i="61"/>
  <c r="AO211" i="61"/>
  <c r="AU211" i="61"/>
  <c r="AW211" i="61"/>
  <c r="AG211" i="61"/>
  <c r="AL211" i="61" s="1"/>
  <c r="AH189" i="61"/>
  <c r="AU189" i="61"/>
  <c r="AO189" i="61"/>
  <c r="AG189" i="61"/>
  <c r="AW189" i="61"/>
  <c r="BN130" i="61"/>
  <c r="O276" i="61" s="1"/>
  <c r="AU121" i="61"/>
  <c r="AU197" i="61"/>
  <c r="AH197" i="61"/>
  <c r="AO197" i="61"/>
  <c r="AG197" i="61"/>
  <c r="AL197" i="61" s="1"/>
  <c r="AW197" i="61"/>
  <c r="BI221" i="61"/>
  <c r="BE221" i="61"/>
  <c r="BH221" i="61"/>
  <c r="BD221" i="61"/>
  <c r="BG221" i="61"/>
  <c r="BZ221" i="61"/>
  <c r="BF221" i="61"/>
  <c r="BX129" i="61"/>
  <c r="AK236" i="61"/>
  <c r="CQ236" i="61"/>
  <c r="CP236" i="61"/>
  <c r="V236" i="61"/>
  <c r="X236" i="61" s="1"/>
  <c r="BN161" i="61"/>
  <c r="O307" i="61" s="1"/>
  <c r="BN149" i="61"/>
  <c r="O295" i="61" s="1"/>
  <c r="BG159" i="61"/>
  <c r="BF159" i="61"/>
  <c r="BI159" i="61"/>
  <c r="BH159" i="61"/>
  <c r="AU172" i="61"/>
  <c r="AG172" i="61"/>
  <c r="AL172" i="61" s="1"/>
  <c r="AO172" i="61"/>
  <c r="BP131" i="61"/>
  <c r="AO137" i="61"/>
  <c r="AU137" i="61"/>
  <c r="AG137" i="61"/>
  <c r="AL137" i="61" s="1"/>
  <c r="AU209" i="61"/>
  <c r="AH209" i="61"/>
  <c r="AO209" i="61"/>
  <c r="AW209" i="61"/>
  <c r="AG209" i="61"/>
  <c r="AL209" i="61" s="1"/>
  <c r="AU192" i="61"/>
  <c r="AO192" i="61"/>
  <c r="AH192" i="61"/>
  <c r="AW192" i="61"/>
  <c r="AG192" i="61"/>
  <c r="AO138" i="61"/>
  <c r="AU138" i="61"/>
  <c r="AG138" i="61"/>
  <c r="AL138" i="61" s="1"/>
  <c r="BI199" i="61"/>
  <c r="BE199" i="61"/>
  <c r="BH199" i="61"/>
  <c r="BD199" i="61"/>
  <c r="BF199" i="61"/>
  <c r="BG199" i="61"/>
  <c r="BZ199" i="61"/>
  <c r="BP177" i="61"/>
  <c r="CA177" i="61" s="1"/>
  <c r="CG250" i="61"/>
  <c r="AK247" i="61"/>
  <c r="V247" i="61"/>
  <c r="X247" i="61" s="1"/>
  <c r="BP176" i="61"/>
  <c r="AU174" i="61"/>
  <c r="AG174" i="61"/>
  <c r="AL174" i="61" s="1"/>
  <c r="AO174" i="61"/>
  <c r="AU167" i="61"/>
  <c r="AO167" i="61"/>
  <c r="AG167" i="61"/>
  <c r="AL167" i="61" s="1"/>
  <c r="AK241" i="61"/>
  <c r="CP241" i="61"/>
  <c r="CQ241" i="61"/>
  <c r="V241" i="61"/>
  <c r="X241" i="61" s="1"/>
  <c r="AH224" i="61"/>
  <c r="AO224" i="61"/>
  <c r="AU224" i="61"/>
  <c r="AW224" i="61"/>
  <c r="AG224" i="61"/>
  <c r="AL224" i="61" s="1"/>
  <c r="AO154" i="61"/>
  <c r="AU154" i="61"/>
  <c r="AG154" i="61"/>
  <c r="AL154" i="61" s="1"/>
  <c r="AH132" i="61"/>
  <c r="AW132" i="61" s="1"/>
  <c r="AO132" i="61"/>
  <c r="AU132" i="61"/>
  <c r="AG132" i="61"/>
  <c r="AL132" i="61" s="1"/>
  <c r="AH123" i="61"/>
  <c r="AO123" i="61"/>
  <c r="AU123" i="61"/>
  <c r="AG123" i="61"/>
  <c r="AL123" i="61" s="1"/>
  <c r="BZ123" i="61"/>
  <c r="AO141" i="61"/>
  <c r="AU141" i="61"/>
  <c r="AG141" i="61"/>
  <c r="AL141" i="61" s="1"/>
  <c r="AU180" i="61"/>
  <c r="AG180" i="61"/>
  <c r="AL180" i="61" s="1"/>
  <c r="AO180" i="61"/>
  <c r="AH180" i="61"/>
  <c r="AW180" i="61" s="1"/>
  <c r="BG219" i="61"/>
  <c r="BF219" i="61"/>
  <c r="BI219" i="61"/>
  <c r="BE219" i="61"/>
  <c r="BH219" i="61"/>
  <c r="BD219" i="61"/>
  <c r="BZ219" i="61"/>
  <c r="AU204" i="61"/>
  <c r="AO204" i="61"/>
  <c r="AH204" i="61"/>
  <c r="AW204" i="61"/>
  <c r="AG204" i="61"/>
  <c r="AL204" i="61" s="1"/>
  <c r="AU181" i="61"/>
  <c r="AH181" i="61"/>
  <c r="AW181" i="61" s="1"/>
  <c r="AO181" i="61"/>
  <c r="AG181" i="61"/>
  <c r="AL181" i="61" s="1"/>
  <c r="BN233" i="61"/>
  <c r="BG223" i="61"/>
  <c r="BF223" i="61"/>
  <c r="BI223" i="61"/>
  <c r="BE223" i="61"/>
  <c r="BH223" i="61"/>
  <c r="BD223" i="61"/>
  <c r="BZ223" i="61"/>
  <c r="BX130" i="61"/>
  <c r="AO122" i="61"/>
  <c r="AU122" i="61"/>
  <c r="AG122" i="61"/>
  <c r="AL122" i="61" s="1"/>
  <c r="BZ122" i="61"/>
  <c r="BN171" i="61"/>
  <c r="O317" i="61" s="1"/>
  <c r="BP171" i="61"/>
  <c r="CA171" i="61" s="1"/>
  <c r="AK248" i="61"/>
  <c r="V248" i="61"/>
  <c r="X248" i="61" s="1"/>
  <c r="AU164" i="61"/>
  <c r="AO164" i="61"/>
  <c r="AG164" i="61"/>
  <c r="AL164" i="61" s="1"/>
  <c r="AO155" i="61"/>
  <c r="AU155" i="61"/>
  <c r="AG155" i="61"/>
  <c r="AL155" i="61" s="1"/>
  <c r="AO153" i="61"/>
  <c r="AU153" i="61"/>
  <c r="AG153" i="61"/>
  <c r="AL153" i="61" s="1"/>
  <c r="AH124" i="61"/>
  <c r="AO124" i="61"/>
  <c r="AU124" i="61"/>
  <c r="BZ124" i="61"/>
  <c r="AG124" i="61"/>
  <c r="AL124" i="61" s="1"/>
  <c r="AH128" i="61"/>
  <c r="AO128" i="61"/>
  <c r="AU128" i="61"/>
  <c r="AG128" i="61"/>
  <c r="AL128" i="61" s="1"/>
  <c r="BZ128" i="61"/>
  <c r="AH217" i="61"/>
  <c r="AU217" i="61"/>
  <c r="AO217" i="61"/>
  <c r="AW217" i="61"/>
  <c r="AG217" i="61"/>
  <c r="AL217" i="61" s="1"/>
  <c r="BE245" i="61"/>
  <c r="BH245" i="61"/>
  <c r="BD245" i="61"/>
  <c r="BG245" i="61"/>
  <c r="BC245" i="61"/>
  <c r="BF245" i="61"/>
  <c r="BB245" i="61"/>
  <c r="BD142" i="61"/>
  <c r="BD159" i="61"/>
  <c r="BE159" i="61"/>
  <c r="BE142" i="61"/>
  <c r="AJ159" i="61"/>
  <c r="BC205" i="61"/>
  <c r="AM145" i="61"/>
  <c r="AM245" i="61"/>
  <c r="AM207" i="61"/>
  <c r="Y241" i="61"/>
  <c r="AM175" i="61"/>
  <c r="AM237" i="61"/>
  <c r="AN239" i="61"/>
  <c r="BB230" i="61"/>
  <c r="AN123" i="61"/>
  <c r="AN157" i="61"/>
  <c r="BQ152" i="61"/>
  <c r="AN137" i="61"/>
  <c r="AN181" i="61"/>
  <c r="BC230" i="61"/>
  <c r="AN220" i="61"/>
  <c r="BQ147" i="61"/>
  <c r="AN196" i="61"/>
  <c r="BQ131" i="61"/>
  <c r="AJ245" i="61"/>
  <c r="AN195" i="61"/>
  <c r="AM229" i="61"/>
  <c r="BQ129" i="61"/>
  <c r="BB191" i="61"/>
  <c r="AN224" i="61"/>
  <c r="AM155" i="61"/>
  <c r="AM134" i="61"/>
  <c r="AM157" i="61"/>
  <c r="AM239" i="61"/>
  <c r="AM220" i="61"/>
  <c r="AJ229" i="61"/>
  <c r="AM125" i="61"/>
  <c r="Y240" i="61"/>
  <c r="BQ168" i="61"/>
  <c r="AN174" i="61"/>
  <c r="AN150" i="61"/>
  <c r="AN231" i="61"/>
  <c r="AA242" i="61"/>
  <c r="AJ206" i="61"/>
  <c r="AN207" i="61"/>
  <c r="AB243" i="61"/>
  <c r="AN204" i="61"/>
  <c r="AJ234" i="61"/>
  <c r="AN232" i="61"/>
  <c r="BC225" i="61"/>
  <c r="BB219" i="61"/>
  <c r="AN179" i="61"/>
  <c r="BQ149" i="61"/>
  <c r="BQ215" i="61"/>
  <c r="BC199" i="61"/>
  <c r="AM210" i="61"/>
  <c r="AA170" i="61"/>
  <c r="AN162" i="61"/>
  <c r="AM181" i="61"/>
  <c r="BC223" i="61"/>
  <c r="BB223" i="61"/>
  <c r="AN173" i="61"/>
  <c r="AN243" i="61"/>
  <c r="BQ146" i="61"/>
  <c r="AB239" i="61"/>
  <c r="AN209" i="61"/>
  <c r="AM227" i="61"/>
  <c r="AJ142" i="61"/>
  <c r="BB135" i="61"/>
  <c r="BQ130" i="61"/>
  <c r="AM136" i="61"/>
  <c r="AN189" i="61"/>
  <c r="AM218" i="61"/>
  <c r="BQ228" i="61"/>
  <c r="AM203" i="61"/>
  <c r="AN140" i="61"/>
  <c r="BQ143" i="61"/>
  <c r="AM235" i="61"/>
  <c r="AM138" i="61"/>
  <c r="AN156" i="61"/>
  <c r="BQ151" i="61"/>
  <c r="AN175" i="61"/>
  <c r="AN158" i="61"/>
  <c r="AA236" i="61"/>
  <c r="AM137" i="61"/>
  <c r="BB213" i="61"/>
  <c r="AJ200" i="61"/>
  <c r="AN138" i="61"/>
  <c r="AN222" i="61"/>
  <c r="AN235" i="61"/>
  <c r="BB133" i="61"/>
  <c r="AJ190" i="61"/>
  <c r="AN218" i="61"/>
  <c r="AN217" i="61"/>
  <c r="AN193" i="61"/>
  <c r="AN172" i="61"/>
  <c r="AN237" i="61"/>
  <c r="AJ223" i="61"/>
  <c r="BC234" i="61"/>
  <c r="AN180" i="61"/>
  <c r="AN134" i="61"/>
  <c r="AM225" i="61"/>
  <c r="BQ163" i="61"/>
  <c r="AA169" i="61"/>
  <c r="AA248" i="61"/>
  <c r="AM249" i="61"/>
  <c r="AM211" i="61"/>
  <c r="BQ166" i="61"/>
  <c r="BC127" i="61"/>
  <c r="BB208" i="61"/>
  <c r="AN153" i="61"/>
  <c r="AA247" i="61"/>
  <c r="AM217" i="61"/>
  <c r="AM124" i="61"/>
  <c r="AN249" i="61"/>
  <c r="AN212" i="61"/>
  <c r="AM216" i="61"/>
  <c r="BB206" i="61"/>
  <c r="BB194" i="61"/>
  <c r="AM192" i="61"/>
  <c r="AM232" i="61"/>
  <c r="AN227" i="61"/>
  <c r="BC142" i="61"/>
  <c r="AA241" i="61"/>
  <c r="Y244" i="61"/>
  <c r="AJ213" i="61"/>
  <c r="AN145" i="61"/>
  <c r="AM141" i="61"/>
  <c r="AM165" i="61"/>
  <c r="AJ219" i="61"/>
  <c r="AM200" i="61"/>
  <c r="AJ127" i="61"/>
  <c r="BC198" i="61"/>
  <c r="AM164" i="61"/>
  <c r="AM122" i="61"/>
  <c r="Y236" i="61"/>
  <c r="AM172" i="61"/>
  <c r="AJ225" i="61"/>
  <c r="AM193" i="61"/>
  <c r="BC133" i="61"/>
  <c r="AN141" i="61"/>
  <c r="AN136" i="61"/>
  <c r="BB234" i="61"/>
  <c r="AM156" i="61"/>
  <c r="BC213" i="61"/>
  <c r="AM167" i="61"/>
  <c r="AA244" i="61"/>
  <c r="AA240" i="61"/>
  <c r="AM180" i="61"/>
  <c r="AN178" i="61"/>
  <c r="AN128" i="61"/>
  <c r="BQ176" i="61"/>
  <c r="BB198" i="61"/>
  <c r="BB201" i="61"/>
  <c r="AN164" i="61"/>
  <c r="BC190" i="61"/>
  <c r="AM139" i="61"/>
  <c r="AN216" i="61"/>
  <c r="AM140" i="61"/>
  <c r="AN124" i="61"/>
  <c r="AN211" i="61"/>
  <c r="AM128" i="61"/>
  <c r="AM195" i="61"/>
  <c r="AN202" i="61"/>
  <c r="AM196" i="61"/>
  <c r="AJ198" i="61"/>
  <c r="AN192" i="61"/>
  <c r="BC206" i="61"/>
  <c r="Y242" i="61"/>
  <c r="AN214" i="61"/>
  <c r="AM230" i="61"/>
  <c r="AN139" i="61"/>
  <c r="AM209" i="61"/>
  <c r="BB159" i="61"/>
  <c r="AJ135" i="61"/>
  <c r="BC221" i="61"/>
  <c r="AM173" i="61"/>
  <c r="AN126" i="61"/>
  <c r="AN122" i="61"/>
  <c r="Y169" i="61"/>
  <c r="AN148" i="61"/>
  <c r="AJ194" i="61"/>
  <c r="BB221" i="61"/>
  <c r="AN165" i="61"/>
  <c r="BQ233" i="61"/>
  <c r="Y170" i="61"/>
  <c r="BB229" i="61"/>
  <c r="AM204" i="61"/>
  <c r="BQ144" i="61"/>
  <c r="AJ203" i="61"/>
  <c r="BO176" i="61"/>
  <c r="AJ230" i="61"/>
  <c r="BB142" i="61"/>
  <c r="AN155" i="61"/>
  <c r="AN210" i="61"/>
  <c r="AM162" i="61"/>
  <c r="BB127" i="61"/>
  <c r="BC229" i="61"/>
  <c r="AM212" i="61"/>
  <c r="AM214" i="61"/>
  <c r="BC159" i="61"/>
  <c r="BB199" i="61"/>
  <c r="AN154" i="61"/>
  <c r="BB190" i="61"/>
  <c r="AN197" i="61"/>
  <c r="AN125" i="61"/>
  <c r="AJ221" i="61"/>
  <c r="BQ171" i="61"/>
  <c r="BC135" i="61"/>
  <c r="AJ208" i="61"/>
  <c r="BC208" i="61"/>
  <c r="AN167" i="61"/>
  <c r="AM189" i="61"/>
  <c r="AJ133" i="61"/>
  <c r="AA246" i="61"/>
  <c r="AM123" i="61"/>
  <c r="AM224" i="61"/>
  <c r="AJ199" i="61"/>
  <c r="AN132" i="61"/>
  <c r="AN226" i="61"/>
  <c r="BQ177" i="61"/>
  <c r="BC219" i="61"/>
  <c r="Y248" i="61"/>
  <c r="AM178" i="61"/>
  <c r="BC194" i="61"/>
  <c r="AH243" i="61" l="1"/>
  <c r="AW243" i="61" s="1"/>
  <c r="AH227" i="61"/>
  <c r="BE200" i="61"/>
  <c r="BI200" i="61"/>
  <c r="BD200" i="61"/>
  <c r="BF200" i="61"/>
  <c r="BH200" i="61"/>
  <c r="P322" i="61"/>
  <c r="AT168" i="61"/>
  <c r="O314" i="61"/>
  <c r="AT146" i="61"/>
  <c r="O292" i="61"/>
  <c r="BZ203" i="61"/>
  <c r="BI203" i="61"/>
  <c r="BE225" i="61"/>
  <c r="BX166" i="61"/>
  <c r="CA176" i="61"/>
  <c r="BX163" i="61"/>
  <c r="AH173" i="61"/>
  <c r="AH155" i="61"/>
  <c r="AW155" i="61" s="1"/>
  <c r="BZ155" i="61" s="1"/>
  <c r="AH148" i="61"/>
  <c r="AW148" i="61" s="1"/>
  <c r="AH156" i="61"/>
  <c r="AW156" i="61" s="1"/>
  <c r="BZ156" i="61" s="1"/>
  <c r="AH157" i="61"/>
  <c r="AW157" i="61" s="1"/>
  <c r="BZ157" i="61" s="1"/>
  <c r="BZ134" i="61"/>
  <c r="AH162" i="61"/>
  <c r="AW162" i="61" s="1"/>
  <c r="BZ162" i="61" s="1"/>
  <c r="CB151" i="61"/>
  <c r="AH153" i="61"/>
  <c r="AW153" i="61" s="1"/>
  <c r="CA144" i="61"/>
  <c r="CB144" i="61"/>
  <c r="AH145" i="61"/>
  <c r="AW145" i="61" s="1"/>
  <c r="BZ145" i="61" s="1"/>
  <c r="CA161" i="61"/>
  <c r="AH179" i="61"/>
  <c r="AW179" i="61" s="1"/>
  <c r="BX168" i="61"/>
  <c r="CA143" i="61"/>
  <c r="CB143" i="61"/>
  <c r="CA160" i="61"/>
  <c r="AH137" i="61"/>
  <c r="AW137" i="61" s="1"/>
  <c r="BZ137" i="61" s="1"/>
  <c r="CA152" i="61"/>
  <c r="CB152" i="61"/>
  <c r="CB146" i="61"/>
  <c r="CA146" i="61"/>
  <c r="BX171" i="61"/>
  <c r="AH139" i="61"/>
  <c r="AW139" i="61" s="1"/>
  <c r="BZ139" i="61" s="1"/>
  <c r="CB149" i="61"/>
  <c r="CA149" i="61"/>
  <c r="AH138" i="61"/>
  <c r="AW138" i="61" s="1"/>
  <c r="BZ138" i="61" s="1"/>
  <c r="AH178" i="61"/>
  <c r="AH140" i="61"/>
  <c r="AW140" i="61" s="1"/>
  <c r="BZ140" i="61" s="1"/>
  <c r="AH150" i="61"/>
  <c r="AW150" i="61" s="1"/>
  <c r="AH136" i="61"/>
  <c r="AW136" i="61" s="1"/>
  <c r="BZ136" i="61" s="1"/>
  <c r="CA147" i="61"/>
  <c r="CB147" i="61"/>
  <c r="AH141" i="61"/>
  <c r="AW141" i="61" s="1"/>
  <c r="BZ141" i="61" s="1"/>
  <c r="AH154" i="61"/>
  <c r="AW154" i="61" s="1"/>
  <c r="BZ180" i="61"/>
  <c r="BZ181" i="61"/>
  <c r="BX177" i="61"/>
  <c r="CB166" i="61"/>
  <c r="CB176" i="61"/>
  <c r="CB171" i="61"/>
  <c r="CB163" i="61"/>
  <c r="CB168" i="61"/>
  <c r="AH167" i="61"/>
  <c r="AH174" i="61"/>
  <c r="AW174" i="61" s="1"/>
  <c r="AH175" i="61"/>
  <c r="AH164" i="61"/>
  <c r="AH172" i="61"/>
  <c r="AH165" i="61"/>
  <c r="CB177" i="61"/>
  <c r="CJ205" i="61"/>
  <c r="E283" i="61" s="1"/>
  <c r="BN205" i="61"/>
  <c r="BP201" i="61"/>
  <c r="BO161" i="61"/>
  <c r="BQ160" i="61"/>
  <c r="BO228" i="61"/>
  <c r="BO233" i="61"/>
  <c r="BO171" i="61"/>
  <c r="AV168" i="61"/>
  <c r="BO152" i="61"/>
  <c r="AM197" i="61"/>
  <c r="AM222" i="61"/>
  <c r="AM126" i="61"/>
  <c r="BO168" i="61"/>
  <c r="AM132" i="61"/>
  <c r="BO149" i="61"/>
  <c r="AB236" i="61"/>
  <c r="BO146" i="61"/>
  <c r="BQ161" i="61"/>
  <c r="AM153" i="61"/>
  <c r="BO143" i="61"/>
  <c r="BC200" i="61"/>
  <c r="AM202" i="61"/>
  <c r="AM231" i="61"/>
  <c r="BO160" i="61"/>
  <c r="AB244" i="61"/>
  <c r="BO129" i="61"/>
  <c r="BO166" i="61"/>
  <c r="BO215" i="61"/>
  <c r="Y247" i="61"/>
  <c r="AM148" i="61"/>
  <c r="AV146" i="61"/>
  <c r="BO131" i="61"/>
  <c r="AM154" i="61"/>
  <c r="AM150" i="61"/>
  <c r="AM179" i="61"/>
  <c r="AB246" i="61"/>
  <c r="AB169" i="61"/>
  <c r="AB240" i="61"/>
  <c r="BO151" i="61"/>
  <c r="BO147" i="61"/>
  <c r="BO130" i="61"/>
  <c r="AM174" i="61"/>
  <c r="AB242" i="61"/>
  <c r="BO163" i="61"/>
  <c r="AB248" i="61"/>
  <c r="BB200" i="61"/>
  <c r="AB170" i="61"/>
  <c r="AB247" i="61"/>
  <c r="AB241" i="61"/>
  <c r="BO144" i="61"/>
  <c r="BO177" i="61"/>
  <c r="BC203" i="61"/>
  <c r="AM243" i="61"/>
  <c r="Y246" i="61"/>
  <c r="P306" i="61" l="1"/>
  <c r="P275" i="61"/>
  <c r="P298" i="61"/>
  <c r="P277" i="61"/>
  <c r="P276" i="61"/>
  <c r="P295" i="61"/>
  <c r="P323" i="61"/>
  <c r="P314" i="61"/>
  <c r="P293" i="61"/>
  <c r="P307" i="61"/>
  <c r="P290" i="61"/>
  <c r="P317" i="61"/>
  <c r="P289" i="61"/>
  <c r="P297" i="61"/>
  <c r="P312" i="61"/>
  <c r="P309" i="61"/>
  <c r="P292" i="61"/>
  <c r="AW178" i="61"/>
  <c r="BI178" i="61" s="1"/>
  <c r="BX176" i="61"/>
  <c r="AW175" i="61"/>
  <c r="BZ175" i="61" s="1"/>
  <c r="AW173" i="61"/>
  <c r="BZ173" i="61" s="1"/>
  <c r="AW165" i="61"/>
  <c r="BZ165" i="61" s="1"/>
  <c r="AW172" i="61"/>
  <c r="BZ172" i="61" s="1"/>
  <c r="AW164" i="61"/>
  <c r="BZ164" i="61" s="1"/>
  <c r="AW167" i="61"/>
  <c r="BI167" i="61" s="1"/>
  <c r="CO131" i="61"/>
  <c r="CO129" i="61"/>
  <c r="CO130" i="61"/>
  <c r="BZ132" i="61"/>
  <c r="BZ153" i="61"/>
  <c r="BZ154" i="61"/>
  <c r="CB161" i="61"/>
  <c r="BZ148" i="61"/>
  <c r="BZ150" i="61"/>
  <c r="CB160" i="61"/>
  <c r="BX152" i="61"/>
  <c r="BX160" i="61"/>
  <c r="BX147" i="61"/>
  <c r="BX149" i="61"/>
  <c r="BX146" i="61"/>
  <c r="BX151" i="61"/>
  <c r="BX143" i="61"/>
  <c r="BX161" i="61"/>
  <c r="BX144" i="61"/>
  <c r="BZ179" i="61"/>
  <c r="BZ174" i="61"/>
  <c r="BN191" i="61"/>
  <c r="BZ200" i="61"/>
  <c r="CJ200" i="61" s="1"/>
  <c r="E278" i="61" s="1"/>
  <c r="BP205" i="61"/>
  <c r="CH205" i="61" s="1"/>
  <c r="CI205" i="61" s="1"/>
  <c r="BP191" i="61"/>
  <c r="CH191" i="61" s="1"/>
  <c r="CI191" i="61" s="1"/>
  <c r="BG203" i="61"/>
  <c r="BP203" i="61" s="1"/>
  <c r="BD203" i="61"/>
  <c r="BG225" i="61"/>
  <c r="BI225" i="61"/>
  <c r="BN201" i="61"/>
  <c r="AT201" i="61" s="1"/>
  <c r="BH203" i="61"/>
  <c r="BF225" i="61"/>
  <c r="BD225" i="61"/>
  <c r="CJ201" i="61"/>
  <c r="E279" i="61" s="1"/>
  <c r="BF203" i="61"/>
  <c r="BZ225" i="61"/>
  <c r="CJ225" i="61" s="1"/>
  <c r="E303" i="61" s="1"/>
  <c r="AI227" i="61"/>
  <c r="BE227" i="61"/>
  <c r="BI227" i="61"/>
  <c r="BZ227" i="61"/>
  <c r="BG227" i="61"/>
  <c r="BF227" i="61"/>
  <c r="BH227" i="61"/>
  <c r="BD227" i="61"/>
  <c r="AI196" i="61"/>
  <c r="BI235" i="61"/>
  <c r="BD235" i="61"/>
  <c r="BZ235" i="61"/>
  <c r="BE235" i="61"/>
  <c r="BG235" i="61"/>
  <c r="BH235" i="61"/>
  <c r="BF235" i="61"/>
  <c r="BH196" i="61"/>
  <c r="BI196" i="61"/>
  <c r="BD196" i="61"/>
  <c r="BE196" i="61"/>
  <c r="BG196" i="61"/>
  <c r="BF196" i="61"/>
  <c r="BZ196" i="61"/>
  <c r="AL226" i="61"/>
  <c r="CP238" i="61"/>
  <c r="V238" i="61"/>
  <c r="X238" i="61" s="1"/>
  <c r="CQ238" i="61"/>
  <c r="AK238" i="61"/>
  <c r="AI235" i="61"/>
  <c r="CZ168" i="61"/>
  <c r="CC146" i="61"/>
  <c r="BZ245" i="61"/>
  <c r="BX245" i="61" s="1"/>
  <c r="CS245" i="61" s="1"/>
  <c r="CC168" i="61"/>
  <c r="AL158" i="61"/>
  <c r="AI192" i="61"/>
  <c r="AI197" i="61"/>
  <c r="AI134" i="61"/>
  <c r="AI180" i="61"/>
  <c r="AI209" i="61"/>
  <c r="AI172" i="61"/>
  <c r="AI121" i="61"/>
  <c r="AI189" i="61"/>
  <c r="AI232" i="61"/>
  <c r="AI220" i="61"/>
  <c r="AI239" i="61"/>
  <c r="AI195" i="61"/>
  <c r="AI126" i="61"/>
  <c r="AI222" i="61"/>
  <c r="AI210" i="61"/>
  <c r="AI162" i="61"/>
  <c r="AI207" i="61"/>
  <c r="AI157" i="61"/>
  <c r="AI216" i="61"/>
  <c r="AT152" i="61"/>
  <c r="AI123" i="61"/>
  <c r="AI154" i="61"/>
  <c r="AI140" i="61"/>
  <c r="AI175" i="61"/>
  <c r="AI128" i="61"/>
  <c r="AI153" i="61"/>
  <c r="AI124" i="61"/>
  <c r="AI155" i="61"/>
  <c r="AI141" i="61"/>
  <c r="AI224" i="61"/>
  <c r="AI167" i="61"/>
  <c r="AI174" i="61"/>
  <c r="AI211" i="61"/>
  <c r="AI148" i="61"/>
  <c r="AI218" i="61"/>
  <c r="BN234" i="61"/>
  <c r="AT234" i="61" s="1"/>
  <c r="AI156" i="61"/>
  <c r="AI212" i="61"/>
  <c r="AI165" i="61"/>
  <c r="AI139" i="61"/>
  <c r="AI226" i="61"/>
  <c r="AT143" i="61"/>
  <c r="AI158" i="61"/>
  <c r="AI122" i="61"/>
  <c r="AI202" i="61"/>
  <c r="AI178" i="61"/>
  <c r="AI243" i="61"/>
  <c r="AI150" i="61"/>
  <c r="AI136" i="61"/>
  <c r="AI214" i="61"/>
  <c r="AI249" i="61"/>
  <c r="AI217" i="61"/>
  <c r="AI164" i="61"/>
  <c r="AI181" i="61"/>
  <c r="AI204" i="61"/>
  <c r="AI132" i="61"/>
  <c r="AI138" i="61"/>
  <c r="AI137" i="61"/>
  <c r="AI193" i="61"/>
  <c r="AI145" i="61"/>
  <c r="AI173" i="61"/>
  <c r="AI237" i="61"/>
  <c r="AI179" i="61"/>
  <c r="AI231" i="61"/>
  <c r="AI125" i="61"/>
  <c r="BP245" i="61"/>
  <c r="CL245" i="61" s="1"/>
  <c r="CX245" i="61" s="1"/>
  <c r="CZ152" i="61"/>
  <c r="BN221" i="61"/>
  <c r="CZ221" i="61" s="1"/>
  <c r="CH215" i="61"/>
  <c r="CI215" i="61" s="1"/>
  <c r="CZ143" i="61"/>
  <c r="BP230" i="61"/>
  <c r="CL230" i="61" s="1"/>
  <c r="CX230" i="61" s="1"/>
  <c r="BP208" i="61"/>
  <c r="CL208" i="61" s="1"/>
  <c r="CX208" i="61" s="1"/>
  <c r="CO177" i="61"/>
  <c r="CO161" i="61"/>
  <c r="CO151" i="61"/>
  <c r="CO228" i="61"/>
  <c r="CO176" i="61"/>
  <c r="CO171" i="61"/>
  <c r="CO149" i="61"/>
  <c r="CO168" i="61"/>
  <c r="CO160" i="61"/>
  <c r="CO163" i="61"/>
  <c r="CO152" i="61"/>
  <c r="CO143" i="61"/>
  <c r="CO146" i="61"/>
  <c r="CO215" i="61"/>
  <c r="CO144" i="61"/>
  <c r="CO147" i="61"/>
  <c r="CO233" i="61"/>
  <c r="CO166" i="61"/>
  <c r="BN199" i="61"/>
  <c r="BN200" i="61"/>
  <c r="BP200" i="61"/>
  <c r="CL200" i="61" s="1"/>
  <c r="CX200" i="61" s="1"/>
  <c r="BN213" i="61"/>
  <c r="BN208" i="61"/>
  <c r="AT208" i="61" s="1"/>
  <c r="CH228" i="61"/>
  <c r="CI228" i="61" s="1"/>
  <c r="BF124" i="61"/>
  <c r="BI124" i="61"/>
  <c r="BE124" i="61"/>
  <c r="BH124" i="61"/>
  <c r="BD124" i="61"/>
  <c r="BG124" i="61"/>
  <c r="CB124" i="61"/>
  <c r="CA124" i="61"/>
  <c r="BP223" i="61"/>
  <c r="BH181" i="61"/>
  <c r="BD181" i="61"/>
  <c r="BG181" i="61"/>
  <c r="BF181" i="61"/>
  <c r="BE181" i="61"/>
  <c r="BI181" i="61"/>
  <c r="CB181" i="61"/>
  <c r="CA181" i="61"/>
  <c r="BX219" i="61"/>
  <c r="CS219" i="61" s="1"/>
  <c r="CJ219" i="61"/>
  <c r="E297" i="61" s="1"/>
  <c r="BF132" i="61"/>
  <c r="BI132" i="61"/>
  <c r="BE132" i="61"/>
  <c r="BH132" i="61"/>
  <c r="BD132" i="61"/>
  <c r="BG132" i="61"/>
  <c r="CB132" i="61"/>
  <c r="CA132" i="61"/>
  <c r="BP199" i="61"/>
  <c r="BX221" i="61"/>
  <c r="CS221" i="61" s="1"/>
  <c r="CJ221" i="61"/>
  <c r="E299" i="61" s="1"/>
  <c r="BF121" i="61"/>
  <c r="BI121" i="61"/>
  <c r="BE121" i="61"/>
  <c r="BH121" i="61"/>
  <c r="BD121" i="61"/>
  <c r="BG121" i="61"/>
  <c r="CB121" i="61"/>
  <c r="BF189" i="61"/>
  <c r="BH189" i="61"/>
  <c r="BD189" i="61"/>
  <c r="BE189" i="61"/>
  <c r="BI189" i="61"/>
  <c r="BG189" i="61"/>
  <c r="BZ189" i="61"/>
  <c r="BG232" i="61"/>
  <c r="BZ232" i="61"/>
  <c r="BF232" i="61"/>
  <c r="BI232" i="61"/>
  <c r="BE232" i="61"/>
  <c r="BH232" i="61"/>
  <c r="BD232" i="61"/>
  <c r="BX194" i="61"/>
  <c r="CJ194" i="61"/>
  <c r="E272" i="61" s="1"/>
  <c r="BX213" i="61"/>
  <c r="CS213" i="61" s="1"/>
  <c r="CJ213" i="61"/>
  <c r="E291" i="61" s="1"/>
  <c r="AU242" i="61"/>
  <c r="AH242" i="61"/>
  <c r="AW242" i="61" s="1"/>
  <c r="AO242" i="61"/>
  <c r="AG242" i="61"/>
  <c r="AL242" i="61" s="1"/>
  <c r="BP234" i="61"/>
  <c r="BP133" i="61"/>
  <c r="BI145" i="61"/>
  <c r="BH145" i="61"/>
  <c r="BG145" i="61"/>
  <c r="BF145" i="61"/>
  <c r="BN230" i="61"/>
  <c r="BI212" i="61"/>
  <c r="BE212" i="61"/>
  <c r="BH212" i="61"/>
  <c r="BD212" i="61"/>
  <c r="BG212" i="61"/>
  <c r="BF212" i="61"/>
  <c r="BZ212" i="61"/>
  <c r="BX135" i="61"/>
  <c r="AT129" i="61"/>
  <c r="CZ129" i="61"/>
  <c r="BX206" i="61"/>
  <c r="CJ206" i="61"/>
  <c r="E284" i="61" s="1"/>
  <c r="BP206" i="61"/>
  <c r="BF140" i="61"/>
  <c r="BI140" i="61"/>
  <c r="BH140" i="61"/>
  <c r="BG140" i="61"/>
  <c r="AT131" i="61"/>
  <c r="CZ131" i="61"/>
  <c r="BG162" i="61"/>
  <c r="BF162" i="61"/>
  <c r="BI162" i="61"/>
  <c r="BH162" i="61"/>
  <c r="BF139" i="61"/>
  <c r="BI139" i="61"/>
  <c r="BH139" i="61"/>
  <c r="BG139" i="61"/>
  <c r="BH231" i="61"/>
  <c r="BD231" i="61"/>
  <c r="BG231" i="61"/>
  <c r="BF231" i="61"/>
  <c r="BI231" i="61"/>
  <c r="BE231" i="61"/>
  <c r="BZ231" i="61"/>
  <c r="BP190" i="61"/>
  <c r="BI216" i="61"/>
  <c r="BE216" i="61"/>
  <c r="BH216" i="61"/>
  <c r="BD216" i="61"/>
  <c r="BG216" i="61"/>
  <c r="BZ216" i="61"/>
  <c r="BF216" i="61"/>
  <c r="BH226" i="61"/>
  <c r="BD226" i="61"/>
  <c r="BG226" i="61"/>
  <c r="BF226" i="61"/>
  <c r="BI226" i="61"/>
  <c r="BE226" i="61"/>
  <c r="BZ226" i="61"/>
  <c r="BF125" i="61"/>
  <c r="BI125" i="61"/>
  <c r="BE125" i="61"/>
  <c r="BH125" i="61"/>
  <c r="BD125" i="61"/>
  <c r="BG125" i="61"/>
  <c r="CB125" i="61"/>
  <c r="CA125" i="61"/>
  <c r="AH248" i="61"/>
  <c r="AW248" i="61" s="1"/>
  <c r="AO248" i="61"/>
  <c r="AG248" i="61"/>
  <c r="AL248" i="61" s="1"/>
  <c r="AU248" i="61"/>
  <c r="AT171" i="61"/>
  <c r="CZ171" i="61"/>
  <c r="BX223" i="61"/>
  <c r="CS223" i="61" s="1"/>
  <c r="CJ223" i="61"/>
  <c r="E301" i="61" s="1"/>
  <c r="AT233" i="61"/>
  <c r="CZ233" i="61"/>
  <c r="BN219" i="61"/>
  <c r="BX203" i="61"/>
  <c r="CJ203" i="61"/>
  <c r="E281" i="61" s="1"/>
  <c r="BF138" i="61"/>
  <c r="BI138" i="61"/>
  <c r="BH138" i="61"/>
  <c r="BG138" i="61"/>
  <c r="BF137" i="61"/>
  <c r="BI137" i="61"/>
  <c r="BH137" i="61"/>
  <c r="BG137" i="61"/>
  <c r="BN159" i="61"/>
  <c r="O305" i="61" s="1"/>
  <c r="CL201" i="61"/>
  <c r="CX201" i="61" s="1"/>
  <c r="CH201" i="61"/>
  <c r="CI201" i="61" s="1"/>
  <c r="BP221" i="61"/>
  <c r="AT130" i="61"/>
  <c r="CZ130" i="61"/>
  <c r="BH218" i="61"/>
  <c r="BD218" i="61"/>
  <c r="BG218" i="61"/>
  <c r="BZ218" i="61"/>
  <c r="BF218" i="61"/>
  <c r="BI218" i="61"/>
  <c r="BE218" i="61"/>
  <c r="BF220" i="61"/>
  <c r="BI220" i="61"/>
  <c r="BE220" i="61"/>
  <c r="BH220" i="61"/>
  <c r="BD220" i="61"/>
  <c r="BG220" i="61"/>
  <c r="BZ220" i="61"/>
  <c r="BP213" i="61"/>
  <c r="BX234" i="61"/>
  <c r="CS234" i="61" s="1"/>
  <c r="CJ234" i="61"/>
  <c r="E312" i="61" s="1"/>
  <c r="BF134" i="61"/>
  <c r="BI134" i="61"/>
  <c r="BE134" i="61"/>
  <c r="BH134" i="61"/>
  <c r="BD134" i="61"/>
  <c r="BG134" i="61"/>
  <c r="CB134" i="61"/>
  <c r="CA134" i="61"/>
  <c r="BP135" i="61"/>
  <c r="AT205" i="61"/>
  <c r="CZ205" i="61"/>
  <c r="CL233" i="61"/>
  <c r="CX233" i="61" s="1"/>
  <c r="CH233" i="61"/>
  <c r="CI233" i="61" s="1"/>
  <c r="BP229" i="61"/>
  <c r="BX229" i="61"/>
  <c r="CS229" i="61" s="1"/>
  <c r="CJ229" i="61"/>
  <c r="E307" i="61" s="1"/>
  <c r="BF126" i="61"/>
  <c r="BI126" i="61"/>
  <c r="BE126" i="61"/>
  <c r="BH126" i="61"/>
  <c r="BD126" i="61"/>
  <c r="BG126" i="61"/>
  <c r="CB126" i="61"/>
  <c r="CA126" i="61"/>
  <c r="BH222" i="61"/>
  <c r="BD222" i="61"/>
  <c r="BG222" i="61"/>
  <c r="BZ222" i="61"/>
  <c r="BF222" i="61"/>
  <c r="BI222" i="61"/>
  <c r="BE222" i="61"/>
  <c r="BP198" i="61"/>
  <c r="BN198" i="61"/>
  <c r="BG210" i="61"/>
  <c r="BF210" i="61"/>
  <c r="BI210" i="61"/>
  <c r="BE210" i="61"/>
  <c r="BH210" i="61"/>
  <c r="BD210" i="61"/>
  <c r="BZ210" i="61"/>
  <c r="BI150" i="61"/>
  <c r="BH150" i="61"/>
  <c r="BG150" i="61"/>
  <c r="BF150" i="61"/>
  <c r="AT228" i="61"/>
  <c r="CZ228" i="61"/>
  <c r="BI207" i="61"/>
  <c r="BE207" i="61"/>
  <c r="BG207" i="61"/>
  <c r="BD207" i="61"/>
  <c r="BF207" i="61"/>
  <c r="BH207" i="61"/>
  <c r="BZ207" i="61"/>
  <c r="BN127" i="61"/>
  <c r="O273" i="61" s="1"/>
  <c r="BF136" i="61"/>
  <c r="BI136" i="61"/>
  <c r="BH136" i="61"/>
  <c r="BG136" i="61"/>
  <c r="BI157" i="61"/>
  <c r="BH157" i="61"/>
  <c r="BG157" i="61"/>
  <c r="BF157" i="61"/>
  <c r="AU169" i="61"/>
  <c r="AO169" i="61"/>
  <c r="AG169" i="61"/>
  <c r="AL169" i="61" s="1"/>
  <c r="BN190" i="61"/>
  <c r="BP142" i="61"/>
  <c r="AT147" i="61"/>
  <c r="CZ147" i="61"/>
  <c r="CZ146" i="61" s="1"/>
  <c r="AT151" i="61"/>
  <c r="CZ151" i="61"/>
  <c r="BH217" i="61"/>
  <c r="BD217" i="61"/>
  <c r="BZ217" i="61"/>
  <c r="BF217" i="61"/>
  <c r="BE217" i="61"/>
  <c r="BI217" i="61"/>
  <c r="BG217" i="61"/>
  <c r="BN223" i="61"/>
  <c r="BH180" i="61"/>
  <c r="BD180" i="61"/>
  <c r="BG180" i="61"/>
  <c r="BE180" i="61"/>
  <c r="BI180" i="61"/>
  <c r="BF180" i="61"/>
  <c r="CB180" i="61"/>
  <c r="CA180" i="61"/>
  <c r="BI154" i="61"/>
  <c r="BH154" i="61"/>
  <c r="BG154" i="61"/>
  <c r="BF154" i="61"/>
  <c r="BG192" i="61"/>
  <c r="BI192" i="61"/>
  <c r="BE192" i="61"/>
  <c r="BH192" i="61"/>
  <c r="BF192" i="61"/>
  <c r="BD192" i="61"/>
  <c r="BZ192" i="61"/>
  <c r="AT149" i="61"/>
  <c r="CZ149" i="61"/>
  <c r="BF211" i="61"/>
  <c r="BI211" i="61"/>
  <c r="BE211" i="61"/>
  <c r="BH211" i="61"/>
  <c r="BD211" i="61"/>
  <c r="BG211" i="61"/>
  <c r="BZ211" i="61"/>
  <c r="BG193" i="61"/>
  <c r="BF193" i="61"/>
  <c r="BH193" i="61"/>
  <c r="BD193" i="61"/>
  <c r="BI193" i="61"/>
  <c r="BE193" i="61"/>
  <c r="BZ193" i="61"/>
  <c r="BN133" i="61"/>
  <c r="O279" i="61" s="1"/>
  <c r="CT250" i="61"/>
  <c r="E259" i="61" s="1"/>
  <c r="F259" i="61" s="1"/>
  <c r="AT191" i="61"/>
  <c r="CZ191" i="61"/>
  <c r="BH237" i="61"/>
  <c r="BD237" i="61"/>
  <c r="BG237" i="61"/>
  <c r="BC237" i="61"/>
  <c r="BZ237" i="61"/>
  <c r="BI237" i="61"/>
  <c r="BE237" i="61"/>
  <c r="BF237" i="61"/>
  <c r="BB237" i="61"/>
  <c r="CC237" i="61"/>
  <c r="BX208" i="61"/>
  <c r="CS208" i="61" s="1"/>
  <c r="CJ208" i="61"/>
  <c r="E286" i="61" s="1"/>
  <c r="BX198" i="61"/>
  <c r="CJ198" i="61"/>
  <c r="E276" i="61" s="1"/>
  <c r="AT177" i="61"/>
  <c r="CZ177" i="61"/>
  <c r="AU244" i="61"/>
  <c r="AO244" i="61"/>
  <c r="AG244" i="61"/>
  <c r="AL244" i="61" s="1"/>
  <c r="BX127" i="61"/>
  <c r="BH179" i="61"/>
  <c r="BG179" i="61"/>
  <c r="BF179" i="61"/>
  <c r="BI179" i="61"/>
  <c r="AO240" i="61"/>
  <c r="AG240" i="61"/>
  <c r="AL240" i="61" s="1"/>
  <c r="AU240" i="61"/>
  <c r="AH240" i="61"/>
  <c r="AW240" i="61" s="1"/>
  <c r="BI249" i="61"/>
  <c r="BE249" i="61"/>
  <c r="BH249" i="61"/>
  <c r="BD249" i="61"/>
  <c r="BG249" i="61"/>
  <c r="BC249" i="61"/>
  <c r="BF249" i="61"/>
  <c r="BZ249" i="61"/>
  <c r="BB249" i="61"/>
  <c r="AT176" i="61"/>
  <c r="CZ176" i="61"/>
  <c r="AT163" i="61"/>
  <c r="CZ163" i="61"/>
  <c r="BG158" i="61"/>
  <c r="BF158" i="61"/>
  <c r="BI158" i="61"/>
  <c r="BH158" i="61"/>
  <c r="BF128" i="61"/>
  <c r="BI128" i="61"/>
  <c r="BE128" i="61"/>
  <c r="BH128" i="61"/>
  <c r="BD128" i="61"/>
  <c r="BG128" i="61"/>
  <c r="CB128" i="61"/>
  <c r="CA128" i="61"/>
  <c r="BN245" i="61"/>
  <c r="BI153" i="61"/>
  <c r="BH153" i="61"/>
  <c r="BG153" i="61"/>
  <c r="BF153" i="61"/>
  <c r="BI155" i="61"/>
  <c r="BH155" i="61"/>
  <c r="BG155" i="61"/>
  <c r="BF155" i="61"/>
  <c r="BF122" i="61"/>
  <c r="BI122" i="61"/>
  <c r="BE122" i="61"/>
  <c r="BH122" i="61"/>
  <c r="BD122" i="61"/>
  <c r="BG122" i="61"/>
  <c r="CB122" i="61"/>
  <c r="CA122" i="61"/>
  <c r="BH204" i="61"/>
  <c r="BD204" i="61"/>
  <c r="BG204" i="61"/>
  <c r="BI204" i="61"/>
  <c r="BE204" i="61"/>
  <c r="BF204" i="61"/>
  <c r="BZ204" i="61"/>
  <c r="BP219" i="61"/>
  <c r="BF141" i="61"/>
  <c r="BI141" i="61"/>
  <c r="BH141" i="61"/>
  <c r="BG141" i="61"/>
  <c r="BF123" i="61"/>
  <c r="BI123" i="61"/>
  <c r="BE123" i="61"/>
  <c r="BH123" i="61"/>
  <c r="BD123" i="61"/>
  <c r="BG123" i="61"/>
  <c r="CA123" i="61"/>
  <c r="CB123" i="61"/>
  <c r="BF224" i="61"/>
  <c r="BI224" i="61"/>
  <c r="BE224" i="61"/>
  <c r="BH224" i="61"/>
  <c r="BD224" i="61"/>
  <c r="BG224" i="61"/>
  <c r="BZ224" i="61"/>
  <c r="AU241" i="61"/>
  <c r="AH241" i="61"/>
  <c r="AW241" i="61" s="1"/>
  <c r="AO241" i="61"/>
  <c r="AG241" i="61"/>
  <c r="AL241" i="61" s="1"/>
  <c r="BH174" i="61"/>
  <c r="BG174" i="61"/>
  <c r="BI174" i="61"/>
  <c r="BF174" i="61"/>
  <c r="AU247" i="61"/>
  <c r="AH247" i="61"/>
  <c r="AW247" i="61" s="1"/>
  <c r="AO247" i="61"/>
  <c r="AG247" i="61"/>
  <c r="AL247" i="61" s="1"/>
  <c r="BX199" i="61"/>
  <c r="CJ199" i="61"/>
  <c r="E277" i="61" s="1"/>
  <c r="BH209" i="61"/>
  <c r="BD209" i="61"/>
  <c r="BG209" i="61"/>
  <c r="BZ209" i="61"/>
  <c r="BF209" i="61"/>
  <c r="BI209" i="61"/>
  <c r="BE209" i="61"/>
  <c r="BP159" i="61"/>
  <c r="AT161" i="61"/>
  <c r="CZ161" i="61"/>
  <c r="AH236" i="61"/>
  <c r="AU236" i="61"/>
  <c r="AO236" i="61"/>
  <c r="AW236" i="61"/>
  <c r="AG236" i="61"/>
  <c r="AL236" i="61" s="1"/>
  <c r="BG197" i="61"/>
  <c r="BF197" i="61"/>
  <c r="BH197" i="61"/>
  <c r="BD197" i="61"/>
  <c r="BI197" i="61"/>
  <c r="BE197" i="61"/>
  <c r="BZ197" i="61"/>
  <c r="BF202" i="61"/>
  <c r="BI202" i="61"/>
  <c r="BE202" i="61"/>
  <c r="BG202" i="61"/>
  <c r="BH202" i="61"/>
  <c r="BD202" i="61"/>
  <c r="BZ202" i="61"/>
  <c r="BI148" i="61"/>
  <c r="BH148" i="61"/>
  <c r="BG148" i="61"/>
  <c r="BF148" i="61"/>
  <c r="BP194" i="61"/>
  <c r="BN194" i="61"/>
  <c r="BX133" i="61"/>
  <c r="BI156" i="61"/>
  <c r="BH156" i="61"/>
  <c r="BG156" i="61"/>
  <c r="BF156" i="61"/>
  <c r="BX230" i="61"/>
  <c r="CS230" i="61" s="1"/>
  <c r="CJ230" i="61"/>
  <c r="E308" i="61" s="1"/>
  <c r="BN135" i="61"/>
  <c r="O281" i="61" s="1"/>
  <c r="AT215" i="61"/>
  <c r="CZ215" i="61"/>
  <c r="AT166" i="61"/>
  <c r="CZ166" i="61"/>
  <c r="AU246" i="61"/>
  <c r="AH246" i="61"/>
  <c r="AW246" i="61" s="1"/>
  <c r="AO246" i="61"/>
  <c r="AG246" i="61"/>
  <c r="AL246" i="61" s="1"/>
  <c r="BN206" i="61"/>
  <c r="BF239" i="61"/>
  <c r="BB239" i="61"/>
  <c r="BI239" i="61"/>
  <c r="BE239" i="61"/>
  <c r="BH239" i="61"/>
  <c r="BD239" i="61"/>
  <c r="BG239" i="61"/>
  <c r="BC239" i="61"/>
  <c r="BZ239" i="61"/>
  <c r="CC239" i="61"/>
  <c r="BN229" i="61"/>
  <c r="BI195" i="61"/>
  <c r="BE195" i="61"/>
  <c r="BH195" i="61"/>
  <c r="BD195" i="61"/>
  <c r="BF195" i="61"/>
  <c r="BG195" i="61"/>
  <c r="BZ195" i="61"/>
  <c r="BF243" i="61"/>
  <c r="BB243" i="61"/>
  <c r="BI243" i="61"/>
  <c r="BE243" i="61"/>
  <c r="BH243" i="61"/>
  <c r="BD243" i="61"/>
  <c r="BG243" i="61"/>
  <c r="BC243" i="61"/>
  <c r="BZ243" i="61"/>
  <c r="AU170" i="61"/>
  <c r="AG170" i="61"/>
  <c r="AL170" i="61" s="1"/>
  <c r="AO170" i="61"/>
  <c r="BP127" i="61"/>
  <c r="BG214" i="61"/>
  <c r="BF214" i="61"/>
  <c r="BI214" i="61"/>
  <c r="BE214" i="61"/>
  <c r="BH214" i="61"/>
  <c r="BD214" i="61"/>
  <c r="BZ214" i="61"/>
  <c r="AT144" i="61"/>
  <c r="CZ144" i="61"/>
  <c r="AT160" i="61"/>
  <c r="CZ160" i="61"/>
  <c r="BX190" i="61"/>
  <c r="CJ190" i="61"/>
  <c r="E268" i="61" s="1"/>
  <c r="BN142" i="61"/>
  <c r="O288" i="61" s="1"/>
  <c r="BD140" i="61"/>
  <c r="BD139" i="61"/>
  <c r="BE136" i="61"/>
  <c r="BD154" i="61"/>
  <c r="BD153" i="61"/>
  <c r="BD155" i="61"/>
  <c r="BE145" i="61"/>
  <c r="BD138" i="61"/>
  <c r="BD137" i="61"/>
  <c r="BE150" i="61"/>
  <c r="BD157" i="61"/>
  <c r="BD141" i="61"/>
  <c r="BD148" i="61"/>
  <c r="BD156" i="61"/>
  <c r="BE138" i="61"/>
  <c r="BE137" i="61"/>
  <c r="BD150" i="61"/>
  <c r="BE140" i="61"/>
  <c r="BE139" i="61"/>
  <c r="BD136" i="61"/>
  <c r="BE154" i="61"/>
  <c r="BE179" i="61"/>
  <c r="BE158" i="61"/>
  <c r="BE153" i="61"/>
  <c r="BE155" i="61"/>
  <c r="BD145" i="61"/>
  <c r="BE157" i="61"/>
  <c r="BD179" i="61"/>
  <c r="BD158" i="61"/>
  <c r="BE141" i="61"/>
  <c r="BE148" i="61"/>
  <c r="BE156" i="61"/>
  <c r="BD174" i="61"/>
  <c r="BE162" i="61"/>
  <c r="BE174" i="61"/>
  <c r="BD162" i="61"/>
  <c r="BC174" i="61"/>
  <c r="BB180" i="61"/>
  <c r="BC181" i="61"/>
  <c r="BC180" i="61"/>
  <c r="BB179" i="61"/>
  <c r="BB174" i="61"/>
  <c r="BB181" i="61"/>
  <c r="BC179" i="61"/>
  <c r="BQ229" i="61"/>
  <c r="AM248" i="61"/>
  <c r="BO213" i="61"/>
  <c r="BC121" i="61"/>
  <c r="BO229" i="61"/>
  <c r="BQ159" i="61"/>
  <c r="BO200" i="61"/>
  <c r="AN241" i="61"/>
  <c r="BC145" i="61"/>
  <c r="BB141" i="61"/>
  <c r="BO142" i="61"/>
  <c r="BO223" i="61"/>
  <c r="BB210" i="61"/>
  <c r="BC196" i="61"/>
  <c r="BQ230" i="61"/>
  <c r="BC231" i="61"/>
  <c r="AJ141" i="61"/>
  <c r="BB212" i="61"/>
  <c r="AV144" i="61"/>
  <c r="AJ226" i="61"/>
  <c r="AJ196" i="61"/>
  <c r="BB189" i="61"/>
  <c r="AV160" i="61"/>
  <c r="BC192" i="61"/>
  <c r="BB216" i="61"/>
  <c r="BC148" i="61"/>
  <c r="BO159" i="61"/>
  <c r="BB134" i="61"/>
  <c r="AM244" i="61"/>
  <c r="BQ234" i="61"/>
  <c r="AV143" i="61"/>
  <c r="AJ128" i="61"/>
  <c r="BB235" i="61"/>
  <c r="BB148" i="61"/>
  <c r="AV191" i="61"/>
  <c r="AJ136" i="61"/>
  <c r="BQ205" i="61"/>
  <c r="BO194" i="61"/>
  <c r="AN246" i="61"/>
  <c r="AJ162" i="61"/>
  <c r="BO208" i="61"/>
  <c r="AJ174" i="61"/>
  <c r="AA238" i="61"/>
  <c r="BC138" i="61"/>
  <c r="AJ181" i="61"/>
  <c r="BC193" i="61"/>
  <c r="BC128" i="61"/>
  <c r="AJ150" i="61"/>
  <c r="AM158" i="61"/>
  <c r="AJ220" i="61"/>
  <c r="AJ214" i="61"/>
  <c r="AM226" i="61"/>
  <c r="AJ239" i="61"/>
  <c r="AJ126" i="61"/>
  <c r="AJ202" i="61"/>
  <c r="BC235" i="61"/>
  <c r="BC227" i="61"/>
  <c r="AV163" i="61"/>
  <c r="BQ245" i="61"/>
  <c r="BC218" i="61"/>
  <c r="BB220" i="61"/>
  <c r="AV201" i="61"/>
  <c r="AN170" i="61"/>
  <c r="AV171" i="61"/>
  <c r="AJ156" i="61"/>
  <c r="BQ133" i="61"/>
  <c r="BO190" i="61"/>
  <c r="BB157" i="61"/>
  <c r="BO133" i="61"/>
  <c r="BB193" i="61"/>
  <c r="AJ172" i="61"/>
  <c r="BO219" i="61"/>
  <c r="AJ122" i="61"/>
  <c r="AJ138" i="61"/>
  <c r="BQ219" i="61"/>
  <c r="BB145" i="61"/>
  <c r="AV177" i="61"/>
  <c r="BO206" i="61"/>
  <c r="BB207" i="61"/>
  <c r="BC140" i="61"/>
  <c r="BB158" i="61"/>
  <c r="BB124" i="61"/>
  <c r="BC222" i="61"/>
  <c r="AV161" i="61"/>
  <c r="BB217" i="61"/>
  <c r="AJ121" i="61"/>
  <c r="BQ223" i="61"/>
  <c r="AJ139" i="61"/>
  <c r="BC156" i="61"/>
  <c r="AV151" i="61"/>
  <c r="BC195" i="61"/>
  <c r="BB232" i="61"/>
  <c r="AV228" i="61"/>
  <c r="AV149" i="61"/>
  <c r="AJ148" i="61"/>
  <c r="BC150" i="61"/>
  <c r="AV176" i="61"/>
  <c r="AJ145" i="61"/>
  <c r="BC123" i="61"/>
  <c r="AJ140" i="61"/>
  <c r="BQ191" i="61"/>
  <c r="BO201" i="61"/>
  <c r="BQ200" i="61"/>
  <c r="BB196" i="61"/>
  <c r="BC214" i="61"/>
  <c r="AJ195" i="61"/>
  <c r="BB197" i="61"/>
  <c r="BC124" i="61"/>
  <c r="BC212" i="61"/>
  <c r="BC125" i="61"/>
  <c r="BB153" i="61"/>
  <c r="BQ190" i="61"/>
  <c r="AV166" i="61"/>
  <c r="AJ157" i="61"/>
  <c r="BB218" i="61"/>
  <c r="BB150" i="61"/>
  <c r="BC209" i="61"/>
  <c r="BC207" i="61"/>
  <c r="AM247" i="61"/>
  <c r="BB123" i="61"/>
  <c r="AN240" i="61"/>
  <c r="AJ227" i="61"/>
  <c r="AJ204" i="61"/>
  <c r="AJ210" i="61"/>
  <c r="AM246" i="61"/>
  <c r="AJ218" i="61"/>
  <c r="BB132" i="61"/>
  <c r="BB202" i="61"/>
  <c r="BC158" i="61"/>
  <c r="AV130" i="61"/>
  <c r="BC157" i="61"/>
  <c r="AJ211" i="61"/>
  <c r="BC226" i="61"/>
  <c r="AJ132" i="61"/>
  <c r="BO234" i="61"/>
  <c r="BQ201" i="61"/>
  <c r="AJ193" i="61"/>
  <c r="BC132" i="61"/>
  <c r="BO191" i="61"/>
  <c r="AV147" i="61"/>
  <c r="AJ154" i="61"/>
  <c r="BO127" i="61"/>
  <c r="BC154" i="61"/>
  <c r="AJ243" i="61"/>
  <c r="BQ199" i="61"/>
  <c r="AJ232" i="61"/>
  <c r="BC211" i="61"/>
  <c r="BQ194" i="61"/>
  <c r="AJ123" i="61"/>
  <c r="BQ206" i="61"/>
  <c r="BB204" i="61"/>
  <c r="AM241" i="61"/>
  <c r="BB162" i="61"/>
  <c r="BB192" i="61"/>
  <c r="AJ222" i="61"/>
  <c r="BC136" i="61"/>
  <c r="AJ158" i="61"/>
  <c r="AM170" i="61"/>
  <c r="AJ124" i="61"/>
  <c r="AV152" i="61"/>
  <c r="BB140" i="61"/>
  <c r="AV215" i="61"/>
  <c r="BC204" i="61"/>
  <c r="AJ217" i="61"/>
  <c r="BC141" i="61"/>
  <c r="AM240" i="61"/>
  <c r="BB138" i="61"/>
  <c r="BO245" i="61"/>
  <c r="AV234" i="61"/>
  <c r="AJ167" i="61"/>
  <c r="BB209" i="61"/>
  <c r="AJ137" i="61"/>
  <c r="AJ178" i="61"/>
  <c r="BC137" i="61"/>
  <c r="AN248" i="61"/>
  <c r="BB224" i="61"/>
  <c r="AM236" i="61"/>
  <c r="BC210" i="61"/>
  <c r="BB222" i="61"/>
  <c r="AJ175" i="61"/>
  <c r="AJ235" i="61"/>
  <c r="AJ216" i="61"/>
  <c r="BC162" i="61"/>
  <c r="AV233" i="61"/>
  <c r="BB226" i="61"/>
  <c r="BC126" i="61"/>
  <c r="BB214" i="61"/>
  <c r="BB195" i="61"/>
  <c r="Y238" i="61"/>
  <c r="BC197" i="61"/>
  <c r="BB155" i="61"/>
  <c r="BC122" i="61"/>
  <c r="BB231" i="61"/>
  <c r="AJ153" i="61"/>
  <c r="BO135" i="61"/>
  <c r="BC155" i="61"/>
  <c r="BQ221" i="61"/>
  <c r="BB227" i="61"/>
  <c r="BO205" i="61"/>
  <c r="AJ207" i="61"/>
  <c r="BC217" i="61"/>
  <c r="BO199" i="61"/>
  <c r="AJ155" i="61"/>
  <c r="BC139" i="61"/>
  <c r="AJ189" i="61"/>
  <c r="BQ127" i="61"/>
  <c r="BC224" i="61"/>
  <c r="AJ125" i="61"/>
  <c r="BB225" i="61"/>
  <c r="BQ135" i="61"/>
  <c r="BQ142" i="61"/>
  <c r="AJ173" i="61"/>
  <c r="AN242" i="61"/>
  <c r="BB125" i="61"/>
  <c r="AJ224" i="61"/>
  <c r="AJ134" i="61"/>
  <c r="BO221" i="61"/>
  <c r="BB136" i="61"/>
  <c r="AJ180" i="61"/>
  <c r="AV131" i="61"/>
  <c r="AJ237" i="61"/>
  <c r="BC189" i="61"/>
  <c r="BB139" i="61"/>
  <c r="BB156" i="61"/>
  <c r="BC153" i="61"/>
  <c r="BC220" i="61"/>
  <c r="AN244" i="61"/>
  <c r="AJ197" i="61"/>
  <c r="BC134" i="61"/>
  <c r="BC216" i="61"/>
  <c r="BB203" i="61"/>
  <c r="BB137" i="61"/>
  <c r="AN247" i="61"/>
  <c r="BB128" i="61"/>
  <c r="AM169" i="61"/>
  <c r="AJ249" i="61"/>
  <c r="BB122" i="61"/>
  <c r="BO198" i="61"/>
  <c r="BC232" i="61"/>
  <c r="AN236" i="61"/>
  <c r="AV129" i="61"/>
  <c r="BB154" i="61"/>
  <c r="AV205" i="61"/>
  <c r="BB211" i="61"/>
  <c r="AJ209" i="61"/>
  <c r="BQ198" i="61"/>
  <c r="BQ213" i="61"/>
  <c r="BC202" i="61"/>
  <c r="BO230" i="61"/>
  <c r="AJ192" i="61"/>
  <c r="AJ179" i="61"/>
  <c r="AJ164" i="61"/>
  <c r="AJ212" i="61"/>
  <c r="AN169" i="61"/>
  <c r="BQ208" i="61"/>
  <c r="AM242" i="61"/>
  <c r="AV208" i="61"/>
  <c r="AJ165" i="61"/>
  <c r="BB126" i="61"/>
  <c r="AJ231" i="61"/>
  <c r="CC177" i="61" l="1"/>
  <c r="CC176" i="61"/>
  <c r="BX200" i="61"/>
  <c r="CZ201" i="61"/>
  <c r="BD164" i="61"/>
  <c r="AH244" i="61"/>
  <c r="AW244" i="61" s="1"/>
  <c r="BD244" i="61" s="1"/>
  <c r="BE164" i="61"/>
  <c r="BD175" i="61"/>
  <c r="BE175" i="61"/>
  <c r="BX225" i="61"/>
  <c r="CS225" i="61" s="1"/>
  <c r="BD167" i="61"/>
  <c r="BG178" i="61"/>
  <c r="BD178" i="61"/>
  <c r="BH178" i="61"/>
  <c r="BD165" i="61"/>
  <c r="BE178" i="61"/>
  <c r="BE165" i="61"/>
  <c r="BF178" i="61"/>
  <c r="BD172" i="61"/>
  <c r="BN121" i="61"/>
  <c r="BE172" i="61"/>
  <c r="P305" i="61"/>
  <c r="P279" i="61"/>
  <c r="P281" i="61"/>
  <c r="P288" i="61"/>
  <c r="P273" i="61"/>
  <c r="BZ178" i="61"/>
  <c r="BI175" i="61"/>
  <c r="BF175" i="61"/>
  <c r="BI164" i="61"/>
  <c r="BF164" i="61"/>
  <c r="BG175" i="61"/>
  <c r="BG164" i="61"/>
  <c r="BH175" i="61"/>
  <c r="BH164" i="61"/>
  <c r="BI173" i="61"/>
  <c r="BH173" i="61"/>
  <c r="BG173" i="61"/>
  <c r="BF173" i="61"/>
  <c r="BI172" i="61"/>
  <c r="BG172" i="61"/>
  <c r="BH172" i="61"/>
  <c r="BF172" i="61"/>
  <c r="BI165" i="61"/>
  <c r="BH165" i="61"/>
  <c r="BF165" i="61"/>
  <c r="BG165" i="61"/>
  <c r="BG167" i="61"/>
  <c r="BF167" i="61"/>
  <c r="BH167" i="61"/>
  <c r="BZ167" i="61"/>
  <c r="CO127" i="61"/>
  <c r="BZ158" i="61"/>
  <c r="CA142" i="61"/>
  <c r="CB142" i="61"/>
  <c r="AH170" i="61"/>
  <c r="CA159" i="61"/>
  <c r="CB159" i="61"/>
  <c r="CO135" i="61"/>
  <c r="CO133" i="61"/>
  <c r="AH169" i="61"/>
  <c r="CC171" i="61"/>
  <c r="CL205" i="61"/>
  <c r="CX205" i="61" s="1"/>
  <c r="AT221" i="61"/>
  <c r="CZ208" i="61"/>
  <c r="BP225" i="61"/>
  <c r="CH225" i="61" s="1"/>
  <c r="CI225" i="61" s="1"/>
  <c r="CJ245" i="61"/>
  <c r="E323" i="61" s="1"/>
  <c r="BN225" i="61"/>
  <c r="AT225" i="61" s="1"/>
  <c r="BN196" i="61"/>
  <c r="CZ196" i="61" s="1"/>
  <c r="BN227" i="61"/>
  <c r="BN235" i="61"/>
  <c r="CZ235" i="61" s="1"/>
  <c r="CL191" i="61"/>
  <c r="CX191" i="61" s="1"/>
  <c r="BN203" i="61"/>
  <c r="CZ203" i="61" s="1"/>
  <c r="BP235" i="61"/>
  <c r="CL235" i="61" s="1"/>
  <c r="CX235" i="61" s="1"/>
  <c r="BP227" i="61"/>
  <c r="BX227" i="61"/>
  <c r="CS227" i="61" s="1"/>
  <c r="CJ227" i="61"/>
  <c r="E305" i="61" s="1"/>
  <c r="AG238" i="61"/>
  <c r="AL238" i="61" s="1"/>
  <c r="BX235" i="61"/>
  <c r="CS235" i="61" s="1"/>
  <c r="CJ235" i="61"/>
  <c r="E313" i="61" s="1"/>
  <c r="BX196" i="61"/>
  <c r="CJ196" i="61"/>
  <c r="E274" i="61" s="1"/>
  <c r="AO238" i="61"/>
  <c r="AU238" i="61"/>
  <c r="AH238" i="61"/>
  <c r="BP196" i="61"/>
  <c r="CH208" i="61"/>
  <c r="CI208" i="61" s="1"/>
  <c r="CH230" i="61"/>
  <c r="CI230" i="61" s="1"/>
  <c r="CZ234" i="61"/>
  <c r="CC131" i="61"/>
  <c r="CC208" i="61"/>
  <c r="CC166" i="61"/>
  <c r="CC149" i="61"/>
  <c r="CC205" i="61"/>
  <c r="CC130" i="61"/>
  <c r="CC160" i="61"/>
  <c r="CC161" i="61"/>
  <c r="CC129" i="61"/>
  <c r="CC143" i="61"/>
  <c r="CC144" i="61"/>
  <c r="CC191" i="61"/>
  <c r="CC215" i="61"/>
  <c r="CC163" i="61"/>
  <c r="CC234" i="61"/>
  <c r="CC151" i="61"/>
  <c r="CC147" i="61"/>
  <c r="CC201" i="61"/>
  <c r="CC228" i="61"/>
  <c r="CC233" i="61"/>
  <c r="CC152" i="61"/>
  <c r="BP124" i="61"/>
  <c r="CH200" i="61"/>
  <c r="CI200" i="61" s="1"/>
  <c r="CH245" i="61"/>
  <c r="CI245" i="61" s="1"/>
  <c r="AI247" i="61"/>
  <c r="AI241" i="61"/>
  <c r="AI240" i="61"/>
  <c r="AI248" i="61"/>
  <c r="AI246" i="61"/>
  <c r="AT213" i="61"/>
  <c r="AT199" i="61"/>
  <c r="AI236" i="61"/>
  <c r="AI242" i="61"/>
  <c r="AT200" i="61"/>
  <c r="BN231" i="61"/>
  <c r="CZ231" i="61" s="1"/>
  <c r="CZ200" i="61"/>
  <c r="BN212" i="61"/>
  <c r="AT212" i="61" s="1"/>
  <c r="BP132" i="61"/>
  <c r="BN192" i="61"/>
  <c r="AT192" i="61" s="1"/>
  <c r="BP217" i="61"/>
  <c r="CH217" i="61" s="1"/>
  <c r="CI217" i="61" s="1"/>
  <c r="CZ213" i="61"/>
  <c r="CZ199" i="61"/>
  <c r="BN174" i="61"/>
  <c r="BP239" i="61"/>
  <c r="CL239" i="61" s="1"/>
  <c r="CX239" i="61" s="1"/>
  <c r="BP156" i="61"/>
  <c r="BP148" i="61"/>
  <c r="BP197" i="61"/>
  <c r="CL197" i="61" s="1"/>
  <c r="CX197" i="61" s="1"/>
  <c r="CO159" i="61"/>
  <c r="CO245" i="61"/>
  <c r="CO142" i="61"/>
  <c r="CO213" i="61"/>
  <c r="CO223" i="61"/>
  <c r="CO208" i="61"/>
  <c r="CO230" i="61"/>
  <c r="CO219" i="61"/>
  <c r="CO229" i="61"/>
  <c r="CO221" i="61"/>
  <c r="CO234" i="61"/>
  <c r="BN218" i="61"/>
  <c r="BN216" i="61"/>
  <c r="CZ216" i="61" s="1"/>
  <c r="BP121" i="61"/>
  <c r="BP193" i="61"/>
  <c r="CL193" i="61" s="1"/>
  <c r="CX193" i="61" s="1"/>
  <c r="BP211" i="61"/>
  <c r="CL211" i="61" s="1"/>
  <c r="CX211" i="61" s="1"/>
  <c r="BP139" i="61"/>
  <c r="BP212" i="61"/>
  <c r="CL212" i="61" s="1"/>
  <c r="CX212" i="61" s="1"/>
  <c r="BN249" i="61"/>
  <c r="CZ250" i="61" s="1"/>
  <c r="BP136" i="61"/>
  <c r="BX195" i="61"/>
  <c r="CJ195" i="61"/>
  <c r="E273" i="61" s="1"/>
  <c r="BP209" i="61"/>
  <c r="BN123" i="61"/>
  <c r="O269" i="61" s="1"/>
  <c r="BX192" i="61"/>
  <c r="CJ192" i="61"/>
  <c r="E270" i="61" s="1"/>
  <c r="BP180" i="61"/>
  <c r="AT223" i="61"/>
  <c r="CZ223" i="61"/>
  <c r="BX217" i="61"/>
  <c r="CS217" i="61" s="1"/>
  <c r="CJ217" i="61"/>
  <c r="E295" i="61" s="1"/>
  <c r="AT127" i="61"/>
  <c r="CZ127" i="61"/>
  <c r="BX207" i="61"/>
  <c r="CS207" i="61" s="1"/>
  <c r="CJ207" i="61"/>
  <c r="E285" i="61" s="1"/>
  <c r="BX210" i="61"/>
  <c r="CS210" i="61" s="1"/>
  <c r="CJ210" i="61"/>
  <c r="E288" i="61" s="1"/>
  <c r="BX222" i="61"/>
  <c r="CS222" i="61" s="1"/>
  <c r="CJ222" i="61"/>
  <c r="E300" i="61" s="1"/>
  <c r="BX126" i="61"/>
  <c r="BN134" i="61"/>
  <c r="O280" i="61" s="1"/>
  <c r="BN220" i="61"/>
  <c r="BP218" i="61"/>
  <c r="CL221" i="61"/>
  <c r="CX221" i="61" s="1"/>
  <c r="CH221" i="61"/>
  <c r="CI221" i="61" s="1"/>
  <c r="BN137" i="61"/>
  <c r="O283" i="61" s="1"/>
  <c r="BN138" i="61"/>
  <c r="O284" i="61" s="1"/>
  <c r="CL203" i="61"/>
  <c r="CX203" i="61" s="1"/>
  <c r="CH203" i="61"/>
  <c r="CI203" i="61" s="1"/>
  <c r="BX226" i="61"/>
  <c r="CS226" i="61" s="1"/>
  <c r="CJ226" i="61"/>
  <c r="E304" i="61" s="1"/>
  <c r="BN139" i="61"/>
  <c r="O285" i="61" s="1"/>
  <c r="CL206" i="61"/>
  <c r="CX206" i="61" s="1"/>
  <c r="CH206" i="61"/>
  <c r="CI206" i="61" s="1"/>
  <c r="BP232" i="61"/>
  <c r="CL199" i="61"/>
  <c r="CX199" i="61" s="1"/>
  <c r="CH199" i="61"/>
  <c r="CI199" i="61" s="1"/>
  <c r="BN124" i="61"/>
  <c r="O270" i="61" s="1"/>
  <c r="BX243" i="61"/>
  <c r="CS243" i="61" s="1"/>
  <c r="CJ243" i="61"/>
  <c r="E321" i="61" s="1"/>
  <c r="CL194" i="61"/>
  <c r="CX194" i="61" s="1"/>
  <c r="CH194" i="61"/>
  <c r="CI194" i="61" s="1"/>
  <c r="BN224" i="61"/>
  <c r="BN141" i="61"/>
  <c r="O287" i="61" s="1"/>
  <c r="BP214" i="61"/>
  <c r="BP243" i="61"/>
  <c r="AT229" i="61"/>
  <c r="CZ229" i="61"/>
  <c r="AT135" i="61"/>
  <c r="CZ135" i="61"/>
  <c r="BX197" i="61"/>
  <c r="CJ197" i="61"/>
  <c r="E275" i="61" s="1"/>
  <c r="BN209" i="61"/>
  <c r="BX224" i="61"/>
  <c r="CS224" i="61" s="1"/>
  <c r="CJ224" i="61"/>
  <c r="E302" i="61" s="1"/>
  <c r="BX123" i="61"/>
  <c r="BN122" i="61"/>
  <c r="O268" i="61" s="1"/>
  <c r="BN155" i="61"/>
  <c r="O301" i="61" s="1"/>
  <c r="BN153" i="61"/>
  <c r="O299" i="61" s="1"/>
  <c r="AT245" i="61"/>
  <c r="CZ245" i="61"/>
  <c r="BN128" i="61"/>
  <c r="O274" i="61" s="1"/>
  <c r="BN158" i="61"/>
  <c r="O304" i="61" s="1"/>
  <c r="BX249" i="61"/>
  <c r="CJ249" i="61"/>
  <c r="E327" i="61" s="1"/>
  <c r="BI240" i="61"/>
  <c r="BE240" i="61"/>
  <c r="BH240" i="61"/>
  <c r="BD240" i="61"/>
  <c r="BG240" i="61"/>
  <c r="BC240" i="61"/>
  <c r="BF240" i="61"/>
  <c r="BB240" i="61"/>
  <c r="BZ240" i="61"/>
  <c r="CC240" i="61"/>
  <c r="BY237" i="61"/>
  <c r="CR237" i="61" s="1"/>
  <c r="CK237" i="61"/>
  <c r="C315" i="61" s="1"/>
  <c r="AT133" i="61"/>
  <c r="CZ133" i="61"/>
  <c r="BX193" i="61"/>
  <c r="CJ193" i="61"/>
  <c r="E271" i="61" s="1"/>
  <c r="BN154" i="61"/>
  <c r="O300" i="61" s="1"/>
  <c r="BN180" i="61"/>
  <c r="O326" i="61" s="1"/>
  <c r="BP157" i="61"/>
  <c r="BP207" i="61"/>
  <c r="BP150" i="61"/>
  <c r="BN210" i="61"/>
  <c r="AT198" i="61"/>
  <c r="CZ198" i="61"/>
  <c r="BP222" i="61"/>
  <c r="BP126" i="61"/>
  <c r="BX134" i="61"/>
  <c r="BX220" i="61"/>
  <c r="CS220" i="61" s="1"/>
  <c r="CJ220" i="61"/>
  <c r="E298" i="61" s="1"/>
  <c r="AT159" i="61"/>
  <c r="CZ159" i="61"/>
  <c r="BF248" i="61"/>
  <c r="BB248" i="61"/>
  <c r="BI248" i="61"/>
  <c r="BE248" i="61"/>
  <c r="BH248" i="61"/>
  <c r="BD248" i="61"/>
  <c r="BG248" i="61"/>
  <c r="BC248" i="61"/>
  <c r="BZ248" i="61"/>
  <c r="BN125" i="61"/>
  <c r="O271" i="61" s="1"/>
  <c r="BP226" i="61"/>
  <c r="CL190" i="61"/>
  <c r="CH190" i="61"/>
  <c r="BX231" i="61"/>
  <c r="CS231" i="61" s="1"/>
  <c r="CJ231" i="61"/>
  <c r="E309" i="61" s="1"/>
  <c r="BN162" i="61"/>
  <c r="O308" i="61" s="1"/>
  <c r="BN140" i="61"/>
  <c r="O286" i="61" s="1"/>
  <c r="BX212" i="61"/>
  <c r="CS212" i="61" s="1"/>
  <c r="CJ212" i="61"/>
  <c r="E290" i="61" s="1"/>
  <c r="BP145" i="61"/>
  <c r="BN232" i="61"/>
  <c r="BP181" i="61"/>
  <c r="CL223" i="61"/>
  <c r="CX223" i="61" s="1"/>
  <c r="CH223" i="61"/>
  <c r="CI223" i="61" s="1"/>
  <c r="BX124" i="61"/>
  <c r="BX214" i="61"/>
  <c r="CS214" i="61" s="1"/>
  <c r="CJ214" i="61"/>
  <c r="E292" i="61" s="1"/>
  <c r="BP195" i="61"/>
  <c r="BY239" i="61"/>
  <c r="CR239" i="61" s="1"/>
  <c r="CK239" i="61"/>
  <c r="C317" i="61" s="1"/>
  <c r="BN239" i="61"/>
  <c r="AT206" i="61"/>
  <c r="CZ206" i="61"/>
  <c r="BH246" i="61"/>
  <c r="BD246" i="61"/>
  <c r="BG246" i="61"/>
  <c r="BC246" i="61"/>
  <c r="BF246" i="61"/>
  <c r="BB246" i="61"/>
  <c r="BI246" i="61"/>
  <c r="BE246" i="61"/>
  <c r="BZ246" i="61"/>
  <c r="BN156" i="61"/>
  <c r="O302" i="61" s="1"/>
  <c r="BN148" i="61"/>
  <c r="O294" i="61" s="1"/>
  <c r="BP202" i="61"/>
  <c r="BN202" i="61"/>
  <c r="BN197" i="61"/>
  <c r="BP224" i="61"/>
  <c r="BP123" i="61"/>
  <c r="BP141" i="61"/>
  <c r="CL219" i="61"/>
  <c r="CX219" i="61" s="1"/>
  <c r="CH219" i="61"/>
  <c r="CI219" i="61" s="1"/>
  <c r="BN204" i="61"/>
  <c r="BX122" i="61"/>
  <c r="BX128" i="61"/>
  <c r="BN179" i="61"/>
  <c r="O325" i="61" s="1"/>
  <c r="BP179" i="61"/>
  <c r="BN237" i="61"/>
  <c r="BX237" i="61"/>
  <c r="CS237" i="61" s="1"/>
  <c r="CJ237" i="61"/>
  <c r="E315" i="61" s="1"/>
  <c r="BN193" i="61"/>
  <c r="BN211" i="61"/>
  <c r="BP192" i="61"/>
  <c r="BX180" i="61"/>
  <c r="BN217" i="61"/>
  <c r="AT190" i="61"/>
  <c r="CZ190" i="61"/>
  <c r="BN157" i="61"/>
  <c r="O303" i="61" s="1"/>
  <c r="BN136" i="61"/>
  <c r="O282" i="61" s="1"/>
  <c r="CL198" i="61"/>
  <c r="CX198" i="61" s="1"/>
  <c r="CH198" i="61"/>
  <c r="CI198" i="61" s="1"/>
  <c r="BN222" i="61"/>
  <c r="BP134" i="61"/>
  <c r="BP220" i="61"/>
  <c r="BP137" i="61"/>
  <c r="BP138" i="61"/>
  <c r="BX125" i="61"/>
  <c r="BX216" i="61"/>
  <c r="CS216" i="61" s="1"/>
  <c r="CJ216" i="61"/>
  <c r="E294" i="61" s="1"/>
  <c r="BP231" i="61"/>
  <c r="AT230" i="61"/>
  <c r="CZ230" i="61"/>
  <c r="CL234" i="61"/>
  <c r="CX234" i="61" s="1"/>
  <c r="CH234" i="61"/>
  <c r="CI234" i="61" s="1"/>
  <c r="BP189" i="61"/>
  <c r="BN189" i="61"/>
  <c r="BN132" i="61"/>
  <c r="O278" i="61" s="1"/>
  <c r="BX181" i="61"/>
  <c r="AT142" i="61"/>
  <c r="CZ142" i="61"/>
  <c r="BN214" i="61"/>
  <c r="BN243" i="61"/>
  <c r="BN195" i="61"/>
  <c r="BX239" i="61"/>
  <c r="CS239" i="61" s="1"/>
  <c r="CJ239" i="61"/>
  <c r="E317" i="61" s="1"/>
  <c r="AT194" i="61"/>
  <c r="CZ194" i="61"/>
  <c r="BX202" i="61"/>
  <c r="CJ202" i="61"/>
  <c r="E280" i="61" s="1"/>
  <c r="BH236" i="61"/>
  <c r="BD236" i="61"/>
  <c r="BF236" i="61"/>
  <c r="BE236" i="61"/>
  <c r="BI236" i="61"/>
  <c r="BG236" i="61"/>
  <c r="BZ236" i="61"/>
  <c r="BX209" i="61"/>
  <c r="CS209" i="61" s="1"/>
  <c r="CJ209" i="61"/>
  <c r="E287" i="61" s="1"/>
  <c r="BG247" i="61"/>
  <c r="BC247" i="61"/>
  <c r="BF247" i="61"/>
  <c r="BB247" i="61"/>
  <c r="BI247" i="61"/>
  <c r="BE247" i="61"/>
  <c r="BH247" i="61"/>
  <c r="BD247" i="61"/>
  <c r="BZ247" i="61"/>
  <c r="BP174" i="61"/>
  <c r="CA174" i="61" s="1"/>
  <c r="BH241" i="61"/>
  <c r="BD241" i="61"/>
  <c r="BG241" i="61"/>
  <c r="BC241" i="61"/>
  <c r="BZ241" i="61"/>
  <c r="BF241" i="61"/>
  <c r="BB241" i="61"/>
  <c r="BI241" i="61"/>
  <c r="BE241" i="61"/>
  <c r="BX204" i="61"/>
  <c r="CJ204" i="61"/>
  <c r="E282" i="61" s="1"/>
  <c r="BP204" i="61"/>
  <c r="BP122" i="61"/>
  <c r="BP155" i="61"/>
  <c r="BP153" i="61"/>
  <c r="BP128" i="61"/>
  <c r="BP158" i="61"/>
  <c r="BP249" i="61"/>
  <c r="BP237" i="61"/>
  <c r="BX211" i="61"/>
  <c r="CS211" i="61" s="1"/>
  <c r="CJ211" i="61"/>
  <c r="E289" i="61" s="1"/>
  <c r="BP154" i="61"/>
  <c r="BN207" i="61"/>
  <c r="BN150" i="61"/>
  <c r="O296" i="61" s="1"/>
  <c r="BP210" i="61"/>
  <c r="BN126" i="61"/>
  <c r="O272" i="61" s="1"/>
  <c r="CL229" i="61"/>
  <c r="CX229" i="61" s="1"/>
  <c r="CH229" i="61"/>
  <c r="CI229" i="61" s="1"/>
  <c r="CL213" i="61"/>
  <c r="CX213" i="61" s="1"/>
  <c r="CH213" i="61"/>
  <c r="CI213" i="61" s="1"/>
  <c r="BX218" i="61"/>
  <c r="CS218" i="61" s="1"/>
  <c r="CJ218" i="61"/>
  <c r="E296" i="61" s="1"/>
  <c r="AT219" i="61"/>
  <c r="CZ219" i="61"/>
  <c r="BP125" i="61"/>
  <c r="BN226" i="61"/>
  <c r="BP216" i="61"/>
  <c r="BP162" i="61"/>
  <c r="BP140" i="61"/>
  <c r="BN145" i="61"/>
  <c r="O291" i="61" s="1"/>
  <c r="BG242" i="61"/>
  <c r="BC242" i="61"/>
  <c r="BF242" i="61"/>
  <c r="BB242" i="61"/>
  <c r="BI242" i="61"/>
  <c r="BE242" i="61"/>
  <c r="BH242" i="61"/>
  <c r="BD242" i="61"/>
  <c r="BZ242" i="61"/>
  <c r="BX232" i="61"/>
  <c r="CS232" i="61" s="1"/>
  <c r="CJ232" i="61"/>
  <c r="E310" i="61" s="1"/>
  <c r="BX189" i="61"/>
  <c r="CJ189" i="61"/>
  <c r="E267" i="61" s="1"/>
  <c r="BX132" i="61"/>
  <c r="BN181" i="61"/>
  <c r="O327" i="61" s="1"/>
  <c r="BD173" i="61"/>
  <c r="BE167" i="61"/>
  <c r="BE173" i="61"/>
  <c r="BC172" i="61"/>
  <c r="BC173" i="61"/>
  <c r="BB172" i="61"/>
  <c r="BC175" i="61"/>
  <c r="BB167" i="61"/>
  <c r="BB175" i="61"/>
  <c r="BB173" i="61"/>
  <c r="BC178" i="61"/>
  <c r="BC167" i="61"/>
  <c r="BB178" i="61"/>
  <c r="BQ224" i="61"/>
  <c r="AJ246" i="61"/>
  <c r="AJ242" i="61"/>
  <c r="BC236" i="61"/>
  <c r="BQ235" i="61"/>
  <c r="BO225" i="61"/>
  <c r="AV221" i="61"/>
  <c r="BC165" i="61"/>
  <c r="BQ209" i="61"/>
  <c r="BQ122" i="61"/>
  <c r="BQ218" i="61"/>
  <c r="BO227" i="61"/>
  <c r="BB164" i="61"/>
  <c r="AV225" i="61"/>
  <c r="AM238" i="61"/>
  <c r="BC164" i="61"/>
  <c r="BB236" i="61"/>
  <c r="BO203" i="61"/>
  <c r="BQ154" i="61"/>
  <c r="BQ123" i="61"/>
  <c r="BQ227" i="61"/>
  <c r="BQ225" i="61"/>
  <c r="AV245" i="61"/>
  <c r="AJ236" i="61"/>
  <c r="BQ196" i="61"/>
  <c r="AV199" i="61"/>
  <c r="AB238" i="61"/>
  <c r="AV200" i="61"/>
  <c r="AJ248" i="61"/>
  <c r="AJ247" i="61"/>
  <c r="AN238" i="61"/>
  <c r="AJ241" i="61"/>
  <c r="BQ203" i="61"/>
  <c r="AJ240" i="61"/>
  <c r="BQ210" i="61"/>
  <c r="AV223" i="61"/>
  <c r="BO196" i="61"/>
  <c r="BQ158" i="61"/>
  <c r="BQ212" i="61"/>
  <c r="BB165" i="61"/>
  <c r="BO235" i="61"/>
  <c r="CL225" i="61" l="1"/>
  <c r="CX225" i="61" s="1"/>
  <c r="BB244" i="61"/>
  <c r="BI244" i="61"/>
  <c r="BC244" i="61"/>
  <c r="BF244" i="61"/>
  <c r="AI244" i="61"/>
  <c r="BZ244" i="61"/>
  <c r="BE244" i="61"/>
  <c r="BG244" i="61"/>
  <c r="BH244" i="61"/>
  <c r="AT203" i="61"/>
  <c r="BP178" i="61"/>
  <c r="BN178" i="61"/>
  <c r="O324" i="61" s="1"/>
  <c r="BP175" i="61"/>
  <c r="CZ225" i="61"/>
  <c r="AT174" i="61"/>
  <c r="O320" i="61"/>
  <c r="AT121" i="61"/>
  <c r="O267" i="61"/>
  <c r="AW170" i="61"/>
  <c r="BF170" i="61" s="1"/>
  <c r="BP167" i="61"/>
  <c r="CA167" i="61" s="1"/>
  <c r="BX167" i="61" s="1"/>
  <c r="BN175" i="61"/>
  <c r="O321" i="61" s="1"/>
  <c r="BN164" i="61"/>
  <c r="O310" i="61" s="1"/>
  <c r="BP173" i="61"/>
  <c r="CA173" i="61" s="1"/>
  <c r="BP165" i="61"/>
  <c r="CA165" i="61" s="1"/>
  <c r="BP164" i="61"/>
  <c r="CA164" i="61" s="1"/>
  <c r="BN173" i="61"/>
  <c r="O319" i="61" s="1"/>
  <c r="BP172" i="61"/>
  <c r="CA172" i="61" s="1"/>
  <c r="BX172" i="61" s="1"/>
  <c r="BN172" i="61"/>
  <c r="O318" i="61" s="1"/>
  <c r="BN165" i="61"/>
  <c r="O311" i="61" s="1"/>
  <c r="BN167" i="61"/>
  <c r="AW169" i="61"/>
  <c r="BH169" i="61" s="1"/>
  <c r="AI169" i="61"/>
  <c r="AI170" i="61"/>
  <c r="CA179" i="61"/>
  <c r="CA141" i="61"/>
  <c r="CB141" i="61"/>
  <c r="CB158" i="61"/>
  <c r="CA158" i="61"/>
  <c r="CA153" i="61"/>
  <c r="CB153" i="61"/>
  <c r="CB150" i="61"/>
  <c r="CA150" i="61"/>
  <c r="CB139" i="61"/>
  <c r="CA139" i="61"/>
  <c r="CA140" i="61"/>
  <c r="CB140" i="61"/>
  <c r="CA162" i="61"/>
  <c r="CA138" i="61"/>
  <c r="CB138" i="61"/>
  <c r="CB157" i="61"/>
  <c r="CA157" i="61"/>
  <c r="CB136" i="61"/>
  <c r="CA136" i="61"/>
  <c r="CB148" i="61"/>
  <c r="CA148" i="61"/>
  <c r="BX142" i="61"/>
  <c r="CA145" i="61"/>
  <c r="CB145" i="61"/>
  <c r="CA154" i="61"/>
  <c r="CB154" i="61"/>
  <c r="CB155" i="61"/>
  <c r="CA155" i="61"/>
  <c r="CB137" i="61"/>
  <c r="CA137" i="61"/>
  <c r="CA178" i="61"/>
  <c r="CB156" i="61"/>
  <c r="CA156" i="61"/>
  <c r="CA175" i="61"/>
  <c r="BX159" i="61"/>
  <c r="BX174" i="61"/>
  <c r="CW245" i="61"/>
  <c r="CC221" i="61"/>
  <c r="CH235" i="61"/>
  <c r="CI235" i="61" s="1"/>
  <c r="CZ174" i="61"/>
  <c r="BQ197" i="61"/>
  <c r="BO249" i="61"/>
  <c r="BO172" i="61"/>
  <c r="AJ170" i="61"/>
  <c r="BQ145" i="61"/>
  <c r="BQ124" i="61"/>
  <c r="BQ179" i="61"/>
  <c r="BO139" i="61"/>
  <c r="BO141" i="61"/>
  <c r="BQ192" i="61"/>
  <c r="BQ167" i="61"/>
  <c r="BQ132" i="61"/>
  <c r="BO192" i="61"/>
  <c r="BQ211" i="61"/>
  <c r="BO148" i="61"/>
  <c r="AV219" i="61"/>
  <c r="BQ140" i="61"/>
  <c r="BO174" i="61"/>
  <c r="BQ232" i="61"/>
  <c r="BO239" i="61"/>
  <c r="BQ148" i="61"/>
  <c r="BO180" i="61"/>
  <c r="AV127" i="61"/>
  <c r="BO165" i="61"/>
  <c r="BQ165" i="61"/>
  <c r="BQ195" i="61"/>
  <c r="BO125" i="61"/>
  <c r="BQ249" i="61"/>
  <c r="AV135" i="61"/>
  <c r="BO181" i="61"/>
  <c r="BQ137" i="61"/>
  <c r="BQ181" i="61"/>
  <c r="BQ164" i="61"/>
  <c r="BO189" i="61"/>
  <c r="BQ231" i="61"/>
  <c r="BO137" i="61"/>
  <c r="BO156" i="61"/>
  <c r="BQ214" i="61"/>
  <c r="AV121" i="61"/>
  <c r="BO224" i="61"/>
  <c r="BQ202" i="61"/>
  <c r="BO167" i="61"/>
  <c r="BO157" i="61"/>
  <c r="BQ125" i="61"/>
  <c r="BO123" i="61"/>
  <c r="BQ138" i="61"/>
  <c r="BQ126" i="61"/>
  <c r="BO216" i="61"/>
  <c r="BO193" i="61"/>
  <c r="BO178" i="61"/>
  <c r="BO195" i="61"/>
  <c r="AV159" i="61"/>
  <c r="BQ239" i="61"/>
  <c r="AJ169" i="61"/>
  <c r="BQ207" i="61"/>
  <c r="BQ139" i="61"/>
  <c r="BQ216" i="61"/>
  <c r="AV174" i="61"/>
  <c r="BO158" i="61"/>
  <c r="BO136" i="61"/>
  <c r="AV213" i="61"/>
  <c r="BO140" i="61"/>
  <c r="BO222" i="61"/>
  <c r="BO214" i="61"/>
  <c r="AV212" i="61"/>
  <c r="BQ193" i="61"/>
  <c r="BQ237" i="61"/>
  <c r="BQ204" i="61"/>
  <c r="AJ244" i="61"/>
  <c r="BO128" i="61"/>
  <c r="BO209" i="61"/>
  <c r="BO217" i="61"/>
  <c r="BO207" i="61"/>
  <c r="BQ162" i="61"/>
  <c r="AV203" i="61"/>
  <c r="BQ217" i="61"/>
  <c r="AV190" i="61"/>
  <c r="BO121" i="61"/>
  <c r="BO153" i="61"/>
  <c r="BO150" i="61"/>
  <c r="AV206" i="61"/>
  <c r="BO204" i="61"/>
  <c r="BO126" i="61"/>
  <c r="BQ226" i="61"/>
  <c r="BO164" i="61"/>
  <c r="BO197" i="61"/>
  <c r="BQ220" i="61"/>
  <c r="BO124" i="61"/>
  <c r="BO173" i="61"/>
  <c r="BQ153" i="61"/>
  <c r="BO232" i="61"/>
  <c r="BQ174" i="61"/>
  <c r="BO132" i="61"/>
  <c r="BO211" i="61"/>
  <c r="BO155" i="61"/>
  <c r="BO154" i="61"/>
  <c r="BO175" i="61"/>
  <c r="BO237" i="61"/>
  <c r="BQ150" i="61"/>
  <c r="BQ175" i="61"/>
  <c r="BO212" i="61"/>
  <c r="BQ156" i="61"/>
  <c r="BQ136" i="61"/>
  <c r="BQ172" i="61"/>
  <c r="BQ243" i="61"/>
  <c r="BO179" i="61"/>
  <c r="BO243" i="61"/>
  <c r="AV229" i="61"/>
  <c r="BQ180" i="61"/>
  <c r="BO202" i="61"/>
  <c r="BO220" i="61"/>
  <c r="BO210" i="61"/>
  <c r="BQ222" i="61"/>
  <c r="BO145" i="61"/>
  <c r="BO122" i="61"/>
  <c r="AV230" i="61"/>
  <c r="AV133" i="61"/>
  <c r="AV198" i="61"/>
  <c r="BQ189" i="61"/>
  <c r="BQ157" i="61"/>
  <c r="BQ155" i="61"/>
  <c r="BQ134" i="61"/>
  <c r="BQ141" i="61"/>
  <c r="AV194" i="61"/>
  <c r="BQ173" i="61"/>
  <c r="BQ178" i="61"/>
  <c r="BQ121" i="61"/>
  <c r="AV142" i="61"/>
  <c r="BO231" i="61"/>
  <c r="AV192" i="61"/>
  <c r="BO134" i="61"/>
  <c r="BO226" i="61"/>
  <c r="BO138" i="61"/>
  <c r="BO218" i="61"/>
  <c r="BQ128" i="61"/>
  <c r="BO162" i="61"/>
  <c r="CO181" i="61" l="1"/>
  <c r="P267" i="61"/>
  <c r="P268" i="61"/>
  <c r="P272" i="61"/>
  <c r="P278" i="61"/>
  <c r="P299" i="61"/>
  <c r="P284" i="61"/>
  <c r="P301" i="61"/>
  <c r="P311" i="61"/>
  <c r="P321" i="61"/>
  <c r="P296" i="61"/>
  <c r="P308" i="61"/>
  <c r="P326" i="61"/>
  <c r="P302" i="61"/>
  <c r="P271" i="61"/>
  <c r="P283" i="61"/>
  <c r="P313" i="61"/>
  <c r="P327" i="61"/>
  <c r="P280" i="61"/>
  <c r="P320" i="61"/>
  <c r="P286" i="61"/>
  <c r="P319" i="61"/>
  <c r="P310" i="61"/>
  <c r="P285" i="61"/>
  <c r="P274" i="61"/>
  <c r="P291" i="61"/>
  <c r="P294" i="61"/>
  <c r="P300" i="61"/>
  <c r="P324" i="61"/>
  <c r="P269" i="61"/>
  <c r="P325" i="61"/>
  <c r="P287" i="61"/>
  <c r="P303" i="61"/>
  <c r="P318" i="61"/>
  <c r="P282" i="61"/>
  <c r="P270" i="61"/>
  <c r="P304" i="61"/>
  <c r="AT167" i="61"/>
  <c r="O313" i="61"/>
  <c r="BZ170" i="61"/>
  <c r="BI170" i="61"/>
  <c r="BH170" i="61"/>
  <c r="BG170" i="61"/>
  <c r="CO180" i="61"/>
  <c r="CB175" i="61"/>
  <c r="CZ167" i="61"/>
  <c r="BX173" i="61"/>
  <c r="BX165" i="61"/>
  <c r="BX164" i="61"/>
  <c r="BI169" i="61"/>
  <c r="BG169" i="61"/>
  <c r="BF169" i="61"/>
  <c r="BZ169" i="61"/>
  <c r="CO128" i="61"/>
  <c r="CO123" i="61"/>
  <c r="CO122" i="61"/>
  <c r="CO125" i="61"/>
  <c r="CO126" i="61"/>
  <c r="CO124" i="61"/>
  <c r="CB179" i="61"/>
  <c r="CB162" i="61"/>
  <c r="CB178" i="61"/>
  <c r="BX154" i="61"/>
  <c r="BX157" i="61"/>
  <c r="BX150" i="61"/>
  <c r="BX141" i="61"/>
  <c r="BX178" i="61"/>
  <c r="BX155" i="61"/>
  <c r="BX136" i="61"/>
  <c r="BX153" i="61"/>
  <c r="BX175" i="61"/>
  <c r="BX156" i="61"/>
  <c r="BX145" i="61"/>
  <c r="BX148" i="61"/>
  <c r="BX162" i="61"/>
  <c r="BX139" i="61"/>
  <c r="BX158" i="61"/>
  <c r="BX179" i="61"/>
  <c r="BX140" i="61"/>
  <c r="BX137" i="61"/>
  <c r="BX138" i="61"/>
  <c r="CO179" i="61"/>
  <c r="CO178" i="61"/>
  <c r="CO138" i="61"/>
  <c r="CO137" i="61"/>
  <c r="CO136" i="61"/>
  <c r="CO132" i="61"/>
  <c r="CO134" i="61"/>
  <c r="CB164" i="61"/>
  <c r="CB174" i="61"/>
  <c r="CB172" i="61"/>
  <c r="CB165" i="61"/>
  <c r="CB167" i="61"/>
  <c r="CB173" i="61"/>
  <c r="CC174" i="61"/>
  <c r="CO235" i="61"/>
  <c r="CO225" i="61"/>
  <c r="AT235" i="61"/>
  <c r="AT227" i="61"/>
  <c r="CZ227" i="61"/>
  <c r="AT196" i="61"/>
  <c r="CO227" i="61"/>
  <c r="CH227" i="61"/>
  <c r="CI227" i="61" s="1"/>
  <c r="CL227" i="61"/>
  <c r="CX227" i="61" s="1"/>
  <c r="CH193" i="61"/>
  <c r="CI193" i="61" s="1"/>
  <c r="CL196" i="61"/>
  <c r="CX196" i="61" s="1"/>
  <c r="CH196" i="61"/>
  <c r="CI196" i="61" s="1"/>
  <c r="AW238" i="61"/>
  <c r="AI238" i="61"/>
  <c r="CZ192" i="61"/>
  <c r="CH212" i="61"/>
  <c r="CI212" i="61" s="1"/>
  <c r="CH197" i="61"/>
  <c r="CI197" i="61" s="1"/>
  <c r="AT231" i="61"/>
  <c r="CC194" i="61"/>
  <c r="CC230" i="61"/>
  <c r="CC190" i="61"/>
  <c r="CC206" i="61"/>
  <c r="CC229" i="61"/>
  <c r="CC213" i="61"/>
  <c r="CC219" i="61"/>
  <c r="CC212" i="61"/>
  <c r="CC159" i="61"/>
  <c r="CC133" i="61"/>
  <c r="CC142" i="61"/>
  <c r="CC203" i="61"/>
  <c r="CC192" i="61"/>
  <c r="CC198" i="61"/>
  <c r="CC135" i="61"/>
  <c r="CC127" i="61"/>
  <c r="CC223" i="61"/>
  <c r="CC200" i="61"/>
  <c r="CC199" i="61"/>
  <c r="CC225" i="61"/>
  <c r="BY233" i="61"/>
  <c r="CR233" i="61" s="1"/>
  <c r="CK233" i="61"/>
  <c r="C311" i="61" s="1"/>
  <c r="BY191" i="61"/>
  <c r="CK191" i="61"/>
  <c r="C269" i="61" s="1"/>
  <c r="BY228" i="61"/>
  <c r="CR228" i="61" s="1"/>
  <c r="CK228" i="61"/>
  <c r="C306" i="61" s="1"/>
  <c r="BY234" i="61"/>
  <c r="CR234" i="61" s="1"/>
  <c r="CK234" i="61"/>
  <c r="C312" i="61" s="1"/>
  <c r="BY205" i="61"/>
  <c r="CK205" i="61"/>
  <c r="C283" i="61" s="1"/>
  <c r="BY208" i="61"/>
  <c r="CR208" i="61" s="1"/>
  <c r="CK208" i="61"/>
  <c r="C286" i="61" s="1"/>
  <c r="BY201" i="61"/>
  <c r="CK201" i="61"/>
  <c r="C279" i="61" s="1"/>
  <c r="BY215" i="61"/>
  <c r="CR215" i="61" s="1"/>
  <c r="CK215" i="61"/>
  <c r="C293" i="61" s="1"/>
  <c r="CK221" i="61"/>
  <c r="C299" i="61" s="1"/>
  <c r="BY221" i="61"/>
  <c r="CR221" i="61" s="1"/>
  <c r="CL217" i="61"/>
  <c r="CX217" i="61" s="1"/>
  <c r="CH211" i="61"/>
  <c r="CI211" i="61" s="1"/>
  <c r="CH239" i="61"/>
  <c r="CI239" i="61" s="1"/>
  <c r="AT216" i="61"/>
  <c r="AT249" i="61"/>
  <c r="AT218" i="61"/>
  <c r="AT175" i="61"/>
  <c r="CZ212" i="61"/>
  <c r="CZ249" i="61"/>
  <c r="CZ218" i="61"/>
  <c r="CZ175" i="61"/>
  <c r="CO175" i="61"/>
  <c r="BP236" i="61"/>
  <c r="CL236" i="61" s="1"/>
  <c r="CX236" i="61" s="1"/>
  <c r="BP240" i="61"/>
  <c r="CL240" i="61" s="1"/>
  <c r="CX240" i="61" s="1"/>
  <c r="CO167" i="61"/>
  <c r="CO157" i="61"/>
  <c r="CO172" i="61"/>
  <c r="CO218" i="61"/>
  <c r="CO139" i="61"/>
  <c r="CO173" i="61"/>
  <c r="CO216" i="61"/>
  <c r="CO154" i="61"/>
  <c r="CO214" i="61"/>
  <c r="CO210" i="61"/>
  <c r="CO158" i="61"/>
  <c r="CO165" i="61"/>
  <c r="CO141" i="61"/>
  <c r="CO239" i="61"/>
  <c r="CO226" i="61"/>
  <c r="CO207" i="61"/>
  <c r="CO162" i="61"/>
  <c r="CO155" i="61"/>
  <c r="CO174" i="61"/>
  <c r="CO231" i="61"/>
  <c r="CO220" i="61"/>
  <c r="CO156" i="61"/>
  <c r="CO145" i="61"/>
  <c r="CO222" i="61"/>
  <c r="CO150" i="61"/>
  <c r="CO164" i="61"/>
  <c r="CO209" i="61"/>
  <c r="CO211" i="61"/>
  <c r="CO237" i="61"/>
  <c r="CO217" i="61"/>
  <c r="CO140" i="61"/>
  <c r="CO153" i="61"/>
  <c r="CO224" i="61"/>
  <c r="CO148" i="61"/>
  <c r="CO243" i="61"/>
  <c r="CO232" i="61"/>
  <c r="CO212" i="61"/>
  <c r="BN240" i="61"/>
  <c r="BP242" i="61"/>
  <c r="CL210" i="61"/>
  <c r="CX210" i="61" s="1"/>
  <c r="CH210" i="61"/>
  <c r="CI210" i="61" s="1"/>
  <c r="CH249" i="61"/>
  <c r="CI249" i="61" s="1"/>
  <c r="CL249" i="61"/>
  <c r="CX249" i="61" s="1"/>
  <c r="BP247" i="61"/>
  <c r="AT195" i="61"/>
  <c r="CZ195" i="61"/>
  <c r="AT132" i="61"/>
  <c r="CZ132" i="61"/>
  <c r="CZ121" i="61"/>
  <c r="AT189" i="61"/>
  <c r="CZ189" i="61"/>
  <c r="CL231" i="61"/>
  <c r="CX231" i="61" s="1"/>
  <c r="CH231" i="61"/>
  <c r="CI231" i="61" s="1"/>
  <c r="CL220" i="61"/>
  <c r="CX220" i="61" s="1"/>
  <c r="CH220" i="61"/>
  <c r="CI220" i="61" s="1"/>
  <c r="AT173" i="61"/>
  <c r="CZ173" i="61"/>
  <c r="CL202" i="61"/>
  <c r="CX202" i="61" s="1"/>
  <c r="CH202" i="61"/>
  <c r="CI202" i="61" s="1"/>
  <c r="CL195" i="61"/>
  <c r="CX195" i="61" s="1"/>
  <c r="CH195" i="61"/>
  <c r="CI195" i="61" s="1"/>
  <c r="CL226" i="61"/>
  <c r="CX226" i="61" s="1"/>
  <c r="CH226" i="61"/>
  <c r="CI226" i="61" s="1"/>
  <c r="BX248" i="61"/>
  <c r="CJ248" i="61"/>
  <c r="E326" i="61" s="1"/>
  <c r="AT180" i="61"/>
  <c r="CZ180" i="61"/>
  <c r="CZ179" i="61" s="1"/>
  <c r="BY240" i="61"/>
  <c r="CR240" i="61" s="1"/>
  <c r="CK240" i="61"/>
  <c r="C318" i="61" s="1"/>
  <c r="AT158" i="61"/>
  <c r="CZ158" i="61"/>
  <c r="CL243" i="61"/>
  <c r="CX243" i="61" s="1"/>
  <c r="CH243" i="61"/>
  <c r="CI243" i="61" s="1"/>
  <c r="AT141" i="61"/>
  <c r="CZ141" i="61"/>
  <c r="AT124" i="61"/>
  <c r="CZ124" i="61"/>
  <c r="CL232" i="61"/>
  <c r="CX232" i="61" s="1"/>
  <c r="CH232" i="61"/>
  <c r="CI232" i="61" s="1"/>
  <c r="AT138" i="61"/>
  <c r="CZ138" i="61"/>
  <c r="BX242" i="61"/>
  <c r="CS242" i="61" s="1"/>
  <c r="CJ242" i="61"/>
  <c r="E320" i="61" s="1"/>
  <c r="AT126" i="61"/>
  <c r="CZ126" i="61"/>
  <c r="BX241" i="61"/>
  <c r="CS241" i="61" s="1"/>
  <c r="CJ241" i="61"/>
  <c r="E319" i="61" s="1"/>
  <c r="BX247" i="61"/>
  <c r="CJ247" i="61"/>
  <c r="E325" i="61" s="1"/>
  <c r="BX236" i="61"/>
  <c r="CS236" i="61" s="1"/>
  <c r="CJ236" i="61"/>
  <c r="E314" i="61" s="1"/>
  <c r="AT164" i="61"/>
  <c r="CZ164" i="61"/>
  <c r="CL189" i="61"/>
  <c r="CX189" i="61" s="1"/>
  <c r="CH189" i="61"/>
  <c r="CI189" i="61" s="1"/>
  <c r="AT193" i="61"/>
  <c r="CZ193" i="61"/>
  <c r="AT237" i="61"/>
  <c r="CZ237" i="61"/>
  <c r="BN246" i="61"/>
  <c r="AT239" i="61"/>
  <c r="CZ239" i="61"/>
  <c r="AT140" i="61"/>
  <c r="CZ140" i="61"/>
  <c r="AT162" i="61"/>
  <c r="CZ162" i="61"/>
  <c r="AT125" i="61"/>
  <c r="CZ125" i="61"/>
  <c r="BP248" i="61"/>
  <c r="BX240" i="61"/>
  <c r="CS240" i="61" s="1"/>
  <c r="CJ240" i="61"/>
  <c r="E318" i="61" s="1"/>
  <c r="AT153" i="61"/>
  <c r="CZ153" i="61"/>
  <c r="AT155" i="61"/>
  <c r="CZ155" i="61"/>
  <c r="AT122" i="61"/>
  <c r="CZ122" i="61"/>
  <c r="AT178" i="61"/>
  <c r="CZ178" i="61"/>
  <c r="CL214" i="61"/>
  <c r="CX214" i="61" s="1"/>
  <c r="CH214" i="61"/>
  <c r="CI214" i="61" s="1"/>
  <c r="CL218" i="61"/>
  <c r="CX218" i="61" s="1"/>
  <c r="CH218" i="61"/>
  <c r="CI218" i="61" s="1"/>
  <c r="AT134" i="61"/>
  <c r="CZ134" i="61"/>
  <c r="AT165" i="61"/>
  <c r="CZ165" i="61"/>
  <c r="BP244" i="61"/>
  <c r="BN244" i="61"/>
  <c r="CL209" i="61"/>
  <c r="CX209" i="61" s="1"/>
  <c r="CH209" i="61"/>
  <c r="CI209" i="61" s="1"/>
  <c r="AT181" i="61"/>
  <c r="CZ182" i="61"/>
  <c r="CZ181" i="61"/>
  <c r="BN242" i="61"/>
  <c r="AT145" i="61"/>
  <c r="CZ145" i="61"/>
  <c r="AT226" i="61"/>
  <c r="CZ226" i="61"/>
  <c r="CL204" i="61"/>
  <c r="CX204" i="61" s="1"/>
  <c r="CH204" i="61"/>
  <c r="CI204" i="61" s="1"/>
  <c r="BP241" i="61"/>
  <c r="BN247" i="61"/>
  <c r="BN236" i="61"/>
  <c r="AT214" i="61"/>
  <c r="CZ214" i="61"/>
  <c r="AT222" i="61"/>
  <c r="CZ222" i="61"/>
  <c r="AT217" i="61"/>
  <c r="CZ217" i="61"/>
  <c r="AT211" i="61"/>
  <c r="CZ211" i="61"/>
  <c r="AT204" i="61"/>
  <c r="CZ204" i="61"/>
  <c r="AT197" i="61"/>
  <c r="CZ197" i="61"/>
  <c r="AT156" i="61"/>
  <c r="CZ156" i="61"/>
  <c r="BX246" i="61"/>
  <c r="CJ246" i="61"/>
  <c r="E324" i="61" s="1"/>
  <c r="CW239" i="61"/>
  <c r="AT172" i="61"/>
  <c r="CZ172" i="61"/>
  <c r="CI190" i="61"/>
  <c r="AT210" i="61"/>
  <c r="CZ210" i="61"/>
  <c r="CH207" i="61"/>
  <c r="CI207" i="61" s="1"/>
  <c r="CL207" i="61"/>
  <c r="CX207" i="61" s="1"/>
  <c r="CW237" i="61"/>
  <c r="CW249" i="61"/>
  <c r="AT209" i="61"/>
  <c r="CZ209" i="61"/>
  <c r="CW243" i="61"/>
  <c r="AT139" i="61"/>
  <c r="CZ139" i="61"/>
  <c r="AT220" i="61"/>
  <c r="CZ220" i="61"/>
  <c r="BX244" i="61"/>
  <c r="CS244" i="61" s="1"/>
  <c r="CJ244" i="61"/>
  <c r="E322" i="61" s="1"/>
  <c r="AT123" i="61"/>
  <c r="CZ123" i="61"/>
  <c r="CH216" i="61"/>
  <c r="CI216" i="61" s="1"/>
  <c r="CL216" i="61"/>
  <c r="CX216" i="61" s="1"/>
  <c r="AT150" i="61"/>
  <c r="CZ150" i="61"/>
  <c r="AT207" i="61"/>
  <c r="CZ207" i="61"/>
  <c r="CL237" i="61"/>
  <c r="CX237" i="61" s="1"/>
  <c r="CH237" i="61"/>
  <c r="CI237" i="61" s="1"/>
  <c r="BN241" i="61"/>
  <c r="AT243" i="61"/>
  <c r="CZ243" i="61"/>
  <c r="AT136" i="61"/>
  <c r="CZ136" i="61"/>
  <c r="AT157" i="61"/>
  <c r="CZ157" i="61"/>
  <c r="CL192" i="61"/>
  <c r="CX192" i="61" s="1"/>
  <c r="CH192" i="61"/>
  <c r="CI192" i="61" s="1"/>
  <c r="AT179" i="61"/>
  <c r="CL224" i="61"/>
  <c r="CX224" i="61" s="1"/>
  <c r="CH224" i="61"/>
  <c r="CI224" i="61" s="1"/>
  <c r="AT202" i="61"/>
  <c r="CZ202" i="61"/>
  <c r="AT148" i="61"/>
  <c r="CZ148" i="61"/>
  <c r="BP246" i="61"/>
  <c r="AT232" i="61"/>
  <c r="CZ232" i="61"/>
  <c r="CX190" i="61"/>
  <c r="BN248" i="61"/>
  <c r="CL222" i="61"/>
  <c r="CX222" i="61" s="1"/>
  <c r="CH222" i="61"/>
  <c r="CI222" i="61" s="1"/>
  <c r="AT154" i="61"/>
  <c r="CZ154" i="61"/>
  <c r="AT128" i="61"/>
  <c r="CZ128" i="61"/>
  <c r="AT224" i="61"/>
  <c r="CZ224" i="61"/>
  <c r="AT137" i="61"/>
  <c r="CZ137" i="61"/>
  <c r="BD170" i="61"/>
  <c r="BE170" i="61"/>
  <c r="BE169" i="61"/>
  <c r="BD169" i="61"/>
  <c r="BB170" i="61"/>
  <c r="BB169" i="61"/>
  <c r="BC169" i="61"/>
  <c r="BC170" i="61"/>
  <c r="AV202" i="61"/>
  <c r="AV243" i="61"/>
  <c r="AV197" i="61"/>
  <c r="AV235" i="61"/>
  <c r="AV231" i="61"/>
  <c r="AV217" i="61"/>
  <c r="AV167" i="61"/>
  <c r="AJ238" i="61"/>
  <c r="AV179" i="61"/>
  <c r="AV172" i="61"/>
  <c r="AV158" i="61"/>
  <c r="AV157" i="61"/>
  <c r="AV218" i="61"/>
  <c r="AV214" i="61"/>
  <c r="AV239" i="61"/>
  <c r="AV207" i="61"/>
  <c r="AV165" i="61"/>
  <c r="AV227" i="61"/>
  <c r="BQ247" i="61"/>
  <c r="AV196" i="61"/>
  <c r="AV210" i="61"/>
  <c r="AV180" i="61"/>
  <c r="CC167" i="61" l="1"/>
  <c r="BP170" i="61"/>
  <c r="BN170" i="61"/>
  <c r="O316" i="61" s="1"/>
  <c r="BN169" i="61"/>
  <c r="O315" i="61" s="1"/>
  <c r="CC179" i="61"/>
  <c r="CC180" i="61"/>
  <c r="BP169" i="61"/>
  <c r="CA170" i="61"/>
  <c r="CC172" i="61"/>
  <c r="CH236" i="61"/>
  <c r="CI236" i="61" s="1"/>
  <c r="AV189" i="61"/>
  <c r="BQ244" i="61"/>
  <c r="AV195" i="61"/>
  <c r="BQ236" i="61"/>
  <c r="AV204" i="61"/>
  <c r="AV132" i="61"/>
  <c r="AV136" i="61"/>
  <c r="BQ169" i="61"/>
  <c r="BQ246" i="61"/>
  <c r="AV237" i="61"/>
  <c r="BO242" i="61"/>
  <c r="AV154" i="61"/>
  <c r="BQ240" i="61"/>
  <c r="AV155" i="61"/>
  <c r="AV222" i="61"/>
  <c r="AV145" i="61"/>
  <c r="AV150" i="61"/>
  <c r="BQ241" i="61"/>
  <c r="AV138" i="61"/>
  <c r="BO247" i="61"/>
  <c r="AV122" i="61"/>
  <c r="AV162" i="61"/>
  <c r="AV173" i="61"/>
  <c r="AV211" i="61"/>
  <c r="AV124" i="61"/>
  <c r="AV134" i="61"/>
  <c r="BO169" i="61"/>
  <c r="BO246" i="61"/>
  <c r="AV153" i="61"/>
  <c r="BQ248" i="61"/>
  <c r="AV141" i="61"/>
  <c r="AV137" i="61"/>
  <c r="BO240" i="61"/>
  <c r="BO244" i="61"/>
  <c r="AV125" i="61"/>
  <c r="BQ170" i="61"/>
  <c r="AV232" i="61"/>
  <c r="AV224" i="61"/>
  <c r="AV139" i="61"/>
  <c r="AV123" i="61"/>
  <c r="BO236" i="61"/>
  <c r="BO170" i="61"/>
  <c r="AV181" i="61"/>
  <c r="AV126" i="61"/>
  <c r="AV178" i="61"/>
  <c r="AV156" i="61"/>
  <c r="BO241" i="61"/>
  <c r="AV226" i="61"/>
  <c r="AV128" i="61"/>
  <c r="AV175" i="61"/>
  <c r="BO248" i="61"/>
  <c r="AV164" i="61"/>
  <c r="AV148" i="61"/>
  <c r="BQ242" i="61"/>
  <c r="AV140" i="61"/>
  <c r="AV209" i="61"/>
  <c r="AV193" i="61"/>
  <c r="AV249" i="61"/>
  <c r="AV216" i="61"/>
  <c r="AV220" i="61"/>
  <c r="CC178" i="61" l="1"/>
  <c r="P315" i="61"/>
  <c r="P316" i="61"/>
  <c r="CC181" i="61"/>
  <c r="CB169" i="61"/>
  <c r="CA169" i="61"/>
  <c r="BX170" i="61"/>
  <c r="CB170" i="61"/>
  <c r="CC173" i="61"/>
  <c r="CC175" i="61"/>
  <c r="CC235" i="61"/>
  <c r="CC227" i="61"/>
  <c r="CC196" i="61"/>
  <c r="BC238" i="61"/>
  <c r="BE238" i="61"/>
  <c r="CC238" i="61"/>
  <c r="BG238" i="61"/>
  <c r="BZ238" i="61"/>
  <c r="BF238" i="61"/>
  <c r="BH238" i="61"/>
  <c r="BI238" i="61"/>
  <c r="BB238" i="61"/>
  <c r="BD238" i="61"/>
  <c r="CC231" i="61"/>
  <c r="BY231" i="61" s="1"/>
  <c r="CR231" i="61" s="1"/>
  <c r="CC232" i="61"/>
  <c r="CC226" i="61"/>
  <c r="CC153" i="61"/>
  <c r="CC125" i="61"/>
  <c r="CC126" i="61"/>
  <c r="CC121" i="61"/>
  <c r="CC128" i="61"/>
  <c r="CC150" i="61"/>
  <c r="CC156" i="61"/>
  <c r="CC204" i="61"/>
  <c r="CC211" i="61"/>
  <c r="CC222" i="61"/>
  <c r="CC134" i="61"/>
  <c r="CC124" i="61"/>
  <c r="CC141" i="61"/>
  <c r="CC138" i="61"/>
  <c r="CC154" i="61"/>
  <c r="CC123" i="61"/>
  <c r="CC224" i="61"/>
  <c r="CC220" i="61"/>
  <c r="CC209" i="61"/>
  <c r="CC155" i="61"/>
  <c r="CC162" i="61"/>
  <c r="CC189" i="61"/>
  <c r="CC132" i="61"/>
  <c r="CC195" i="61"/>
  <c r="CC216" i="61"/>
  <c r="CC137" i="61"/>
  <c r="CC139" i="61"/>
  <c r="CC145" i="61"/>
  <c r="CC122" i="61"/>
  <c r="CC140" i="61"/>
  <c r="CC193" i="61"/>
  <c r="CC164" i="61"/>
  <c r="CC148" i="61"/>
  <c r="CC136" i="61"/>
  <c r="CC202" i="61"/>
  <c r="CC157" i="61"/>
  <c r="CC207" i="61"/>
  <c r="CC210" i="61"/>
  <c r="CC197" i="61"/>
  <c r="CC217" i="61"/>
  <c r="CC214" i="61"/>
  <c r="CC165" i="61"/>
  <c r="CC158" i="61"/>
  <c r="CC218" i="61"/>
  <c r="BY200" i="61"/>
  <c r="CK200" i="61"/>
  <c r="C278" i="61" s="1"/>
  <c r="BY219" i="61"/>
  <c r="CR219" i="61" s="1"/>
  <c r="CK219" i="61"/>
  <c r="C297" i="61" s="1"/>
  <c r="CW201" i="61"/>
  <c r="CW191" i="61"/>
  <c r="CW233" i="61"/>
  <c r="CK223" i="61"/>
  <c r="C301" i="61" s="1"/>
  <c r="BY223" i="61"/>
  <c r="CR223" i="61" s="1"/>
  <c r="BY192" i="61"/>
  <c r="CK192" i="61"/>
  <c r="C270" i="61" s="1"/>
  <c r="CK190" i="61"/>
  <c r="C268" i="61" s="1"/>
  <c r="BY190" i="61"/>
  <c r="CW208" i="61"/>
  <c r="CW234" i="61"/>
  <c r="CK198" i="61"/>
  <c r="C276" i="61" s="1"/>
  <c r="BY198" i="61"/>
  <c r="BY206" i="61"/>
  <c r="CK206" i="61"/>
  <c r="C284" i="61" s="1"/>
  <c r="CW221" i="61"/>
  <c r="CW205" i="61"/>
  <c r="CW228" i="61"/>
  <c r="BY225" i="61"/>
  <c r="CR225" i="61" s="1"/>
  <c r="CK225" i="61"/>
  <c r="C303" i="61" s="1"/>
  <c r="BY203" i="61"/>
  <c r="CK203" i="61"/>
  <c r="C281" i="61" s="1"/>
  <c r="CK213" i="61"/>
  <c r="C291" i="61" s="1"/>
  <c r="BY213" i="61"/>
  <c r="CR213" i="61" s="1"/>
  <c r="CK230" i="61"/>
  <c r="C308" i="61" s="1"/>
  <c r="BY230" i="61"/>
  <c r="CR230" i="61" s="1"/>
  <c r="CW215" i="61"/>
  <c r="BY199" i="61"/>
  <c r="CK199" i="61"/>
  <c r="C277" i="61" s="1"/>
  <c r="CK212" i="61"/>
  <c r="C290" i="61" s="1"/>
  <c r="BY212" i="61"/>
  <c r="CR212" i="61" s="1"/>
  <c r="BY229" i="61"/>
  <c r="CR229" i="61" s="1"/>
  <c r="CK229" i="61"/>
  <c r="C307" i="61" s="1"/>
  <c r="CK194" i="61"/>
  <c r="C272" i="61" s="1"/>
  <c r="BY194" i="61"/>
  <c r="CZ240" i="61"/>
  <c r="AT240" i="61"/>
  <c r="CH240" i="61"/>
  <c r="CI240" i="61" s="1"/>
  <c r="CO244" i="61"/>
  <c r="CO236" i="61"/>
  <c r="CO241" i="61"/>
  <c r="CO240" i="61"/>
  <c r="CO242" i="61"/>
  <c r="CO169" i="61"/>
  <c r="CO170" i="61"/>
  <c r="CW244" i="61"/>
  <c r="CW246" i="61"/>
  <c r="AT236" i="61"/>
  <c r="CZ236" i="61"/>
  <c r="CL241" i="61"/>
  <c r="CX241" i="61" s="1"/>
  <c r="CH241" i="61"/>
  <c r="CI241" i="61" s="1"/>
  <c r="CL248" i="61"/>
  <c r="CX248" i="61" s="1"/>
  <c r="CH248" i="61"/>
  <c r="CI248" i="61" s="1"/>
  <c r="CW247" i="61"/>
  <c r="CL247" i="61"/>
  <c r="CX247" i="61" s="1"/>
  <c r="CH247" i="61"/>
  <c r="CI247" i="61" s="1"/>
  <c r="AT248" i="61"/>
  <c r="CZ248" i="61"/>
  <c r="AT247" i="61"/>
  <c r="CZ247" i="61"/>
  <c r="CW242" i="61"/>
  <c r="CL246" i="61"/>
  <c r="CX246" i="61" s="1"/>
  <c r="CH246" i="61"/>
  <c r="CI246" i="61" s="1"/>
  <c r="AT170" i="61"/>
  <c r="CZ170" i="61"/>
  <c r="AT244" i="61"/>
  <c r="CZ244" i="61"/>
  <c r="AT246" i="61"/>
  <c r="CZ246" i="61"/>
  <c r="CW241" i="61"/>
  <c r="AT169" i="61"/>
  <c r="CZ169" i="61"/>
  <c r="CW240" i="61"/>
  <c r="CW248" i="61"/>
  <c r="AT241" i="61"/>
  <c r="CZ241" i="61"/>
  <c r="AT242" i="61"/>
  <c r="CZ242" i="61"/>
  <c r="CL244" i="61"/>
  <c r="CX244" i="61" s="1"/>
  <c r="CH244" i="61"/>
  <c r="CI244" i="61" s="1"/>
  <c r="CL242" i="61"/>
  <c r="CX242" i="61" s="1"/>
  <c r="CH242" i="61"/>
  <c r="CI242" i="61" s="1"/>
  <c r="AV241" i="61"/>
  <c r="AV169" i="61"/>
  <c r="AV170" i="61"/>
  <c r="AV248" i="61"/>
  <c r="AV236" i="61"/>
  <c r="AV246" i="61"/>
  <c r="AV242" i="61"/>
  <c r="AV244" i="61"/>
  <c r="AV247" i="61"/>
  <c r="AV240" i="61"/>
  <c r="BX169" i="61" l="1"/>
  <c r="CC169" i="61"/>
  <c r="CC170" i="61"/>
  <c r="BY196" i="61"/>
  <c r="CK196" i="61"/>
  <c r="C274" i="61" s="1"/>
  <c r="BY227" i="61"/>
  <c r="CR227" i="61" s="1"/>
  <c r="CK227" i="61"/>
  <c r="C305" i="61" s="1"/>
  <c r="BY235" i="61"/>
  <c r="CR235" i="61" s="1"/>
  <c r="CK235" i="61"/>
  <c r="C313" i="61" s="1"/>
  <c r="BY238" i="61"/>
  <c r="CR238" i="61" s="1"/>
  <c r="CK238" i="61"/>
  <c r="C316" i="61" s="1"/>
  <c r="BN238" i="61"/>
  <c r="BX238" i="61"/>
  <c r="CS238" i="61" s="1"/>
  <c r="CJ238" i="61"/>
  <c r="E316" i="61" s="1"/>
  <c r="BP238" i="61"/>
  <c r="CK231" i="61"/>
  <c r="CC236" i="61"/>
  <c r="CW194" i="61"/>
  <c r="CW192" i="61"/>
  <c r="BY207" i="61"/>
  <c r="CR207" i="61" s="1"/>
  <c r="CK207" i="61"/>
  <c r="C285" i="61" s="1"/>
  <c r="CW190" i="61"/>
  <c r="CW223" i="61"/>
  <c r="BY210" i="61"/>
  <c r="CR210" i="61" s="1"/>
  <c r="CK210" i="61"/>
  <c r="C288" i="61" s="1"/>
  <c r="BY189" i="61"/>
  <c r="CK189" i="61"/>
  <c r="C267" i="61" s="1"/>
  <c r="CK220" i="61"/>
  <c r="C298" i="61" s="1"/>
  <c r="BY220" i="61"/>
  <c r="CR220" i="61" s="1"/>
  <c r="CK222" i="61"/>
  <c r="C300" i="61" s="1"/>
  <c r="BY222" i="61"/>
  <c r="CR222" i="61" s="1"/>
  <c r="BY216" i="61"/>
  <c r="CR216" i="61" s="1"/>
  <c r="CK216" i="61"/>
  <c r="C294" i="61" s="1"/>
  <c r="BY224" i="61"/>
  <c r="CR224" i="61" s="1"/>
  <c r="CK224" i="61"/>
  <c r="C302" i="61" s="1"/>
  <c r="CW229" i="61"/>
  <c r="CW199" i="61"/>
  <c r="CW203" i="61"/>
  <c r="CW225" i="61"/>
  <c r="CW206" i="61"/>
  <c r="CK218" i="61"/>
  <c r="C296" i="61" s="1"/>
  <c r="BY218" i="61"/>
  <c r="CR218" i="61" s="1"/>
  <c r="BY217" i="61"/>
  <c r="CR217" i="61" s="1"/>
  <c r="CK217" i="61"/>
  <c r="C295" i="61" s="1"/>
  <c r="CK195" i="61"/>
  <c r="C273" i="61" s="1"/>
  <c r="BY195" i="61"/>
  <c r="CK204" i="61"/>
  <c r="C282" i="61" s="1"/>
  <c r="BY204" i="61"/>
  <c r="BY226" i="61"/>
  <c r="CR226" i="61" s="1"/>
  <c r="CK226" i="61"/>
  <c r="C304" i="61" s="1"/>
  <c r="CW212" i="61"/>
  <c r="CW230" i="61"/>
  <c r="CW198" i="61"/>
  <c r="CK214" i="61"/>
  <c r="C292" i="61" s="1"/>
  <c r="BY214" i="61"/>
  <c r="CR214" i="61" s="1"/>
  <c r="BY211" i="61"/>
  <c r="CR211" i="61" s="1"/>
  <c r="CK211" i="61"/>
  <c r="C289" i="61" s="1"/>
  <c r="CW213" i="61"/>
  <c r="CW219" i="61"/>
  <c r="CW200" i="61"/>
  <c r="CK197" i="61"/>
  <c r="C275" i="61" s="1"/>
  <c r="BY197" i="61"/>
  <c r="BY202" i="61"/>
  <c r="CK202" i="61"/>
  <c r="C280" i="61" s="1"/>
  <c r="CK193" i="61"/>
  <c r="C271" i="61" s="1"/>
  <c r="BY193" i="61"/>
  <c r="CK209" i="61"/>
  <c r="C287" i="61" s="1"/>
  <c r="BY209" i="61"/>
  <c r="CR209" i="61" s="1"/>
  <c r="CK232" i="61"/>
  <c r="C310" i="61" s="1"/>
  <c r="BY232" i="61"/>
  <c r="CR232" i="61" s="1"/>
  <c r="BO238" i="61"/>
  <c r="BQ238" i="61"/>
  <c r="CW231" i="61" l="1"/>
  <c r="C309" i="61"/>
  <c r="CW227" i="61"/>
  <c r="CW196" i="61"/>
  <c r="CW235" i="61"/>
  <c r="CO238" i="61"/>
  <c r="AT238" i="61"/>
  <c r="CZ238" i="61"/>
  <c r="CL238" i="61"/>
  <c r="CH238" i="61"/>
  <c r="CW238" i="61"/>
  <c r="CJ250" i="61"/>
  <c r="E254" i="61" s="1"/>
  <c r="F254" i="61" s="1"/>
  <c r="CW209" i="61"/>
  <c r="CW189" i="61"/>
  <c r="CW210" i="61"/>
  <c r="CW218" i="61"/>
  <c r="CW232" i="61"/>
  <c r="CW193" i="61"/>
  <c r="CW197" i="61"/>
  <c r="CW211" i="61"/>
  <c r="CW226" i="61"/>
  <c r="CW217" i="61"/>
  <c r="CW224" i="61"/>
  <c r="CW202" i="61"/>
  <c r="CW214" i="61"/>
  <c r="CW204" i="61"/>
  <c r="CW195" i="61"/>
  <c r="CW216" i="61"/>
  <c r="CW222" i="61"/>
  <c r="CW220" i="61"/>
  <c r="CW207" i="61"/>
  <c r="CK236" i="61"/>
  <c r="BY236" i="61"/>
  <c r="CR236" i="61" s="1"/>
  <c r="AV238" i="61"/>
  <c r="CK250" i="61" l="1"/>
  <c r="E255" i="61" s="1"/>
  <c r="F255" i="61" s="1"/>
  <c r="F260" i="61" s="1"/>
  <c r="C314" i="61"/>
  <c r="CI238" i="61"/>
  <c r="CI250" i="61" s="1"/>
  <c r="CH250" i="61"/>
  <c r="E262" i="61" s="1"/>
  <c r="F262" i="61" s="1"/>
  <c r="CX238" i="61"/>
  <c r="CL250" i="61"/>
  <c r="E263" i="61" s="1"/>
  <c r="CW236" i="61"/>
  <c r="CW250" i="61" s="1"/>
  <c r="E260" i="61" l="1"/>
  <c r="F13" i="43"/>
  <c r="B6" i="42" s="1"/>
  <c r="F14" i="43"/>
  <c r="F15" i="43"/>
  <c r="F16" i="43"/>
  <c r="F17" i="43"/>
  <c r="B10" i="42" s="1"/>
  <c r="F18" i="43"/>
  <c r="F19" i="43"/>
  <c r="F20" i="43"/>
  <c r="F21" i="43"/>
  <c r="B14" i="42" s="1"/>
  <c r="F22" i="43"/>
  <c r="F23" i="43"/>
  <c r="F24" i="43"/>
  <c r="F25" i="43"/>
  <c r="B18" i="42" s="1"/>
  <c r="F26" i="43"/>
  <c r="F27" i="43"/>
  <c r="F28" i="43"/>
  <c r="F29" i="43"/>
  <c r="B22" i="42" s="1"/>
  <c r="F30" i="43"/>
  <c r="F31" i="43"/>
  <c r="F32" i="43"/>
  <c r="F33" i="43"/>
  <c r="B26" i="42" s="1"/>
  <c r="F34" i="43"/>
  <c r="F35" i="43"/>
  <c r="F36" i="43"/>
  <c r="F37" i="43"/>
  <c r="B30" i="42" s="1"/>
  <c r="F38" i="43"/>
  <c r="F39" i="43"/>
  <c r="F40" i="43"/>
  <c r="F41" i="43"/>
  <c r="B34" i="42" s="1"/>
  <c r="F42" i="43"/>
  <c r="F43" i="43"/>
  <c r="F44" i="43"/>
  <c r="F45" i="43"/>
  <c r="B38" i="42" s="1"/>
  <c r="F46" i="43"/>
  <c r="F47" i="43"/>
  <c r="F48" i="43"/>
  <c r="F49" i="43"/>
  <c r="B42" i="42" s="1"/>
  <c r="F50" i="43"/>
  <c r="F51" i="43"/>
  <c r="F52" i="43"/>
  <c r="F53" i="43"/>
  <c r="B46" i="42" s="1"/>
  <c r="F54" i="43"/>
  <c r="F55" i="43"/>
  <c r="F56" i="43"/>
  <c r="F57" i="43"/>
  <c r="B50" i="42" s="1"/>
  <c r="H29" i="57"/>
  <c r="F83" i="43"/>
  <c r="F257" i="43"/>
  <c r="F192" i="43"/>
  <c r="C29" i="15" s="1"/>
  <c r="F193" i="43"/>
  <c r="C30" i="15" s="1"/>
  <c r="F194" i="43"/>
  <c r="C31" i="15" s="1"/>
  <c r="F195" i="43"/>
  <c r="C32" i="15" s="1"/>
  <c r="F258" i="43"/>
  <c r="F29" i="15" s="1"/>
  <c r="F259" i="43"/>
  <c r="F30" i="15" s="1"/>
  <c r="F261" i="43"/>
  <c r="F31" i="15" s="1"/>
  <c r="F262" i="43"/>
  <c r="F32" i="15" s="1"/>
  <c r="F196" i="43"/>
  <c r="C33" i="15" s="1"/>
  <c r="F260" i="43"/>
  <c r="F33" i="15" s="1"/>
  <c r="F197" i="43"/>
  <c r="C34" i="15" s="1"/>
  <c r="F265" i="43"/>
  <c r="F34" i="15" s="1"/>
  <c r="F198" i="43"/>
  <c r="C35" i="15" s="1"/>
  <c r="F199" i="43"/>
  <c r="C36" i="15" s="1"/>
  <c r="F200" i="43"/>
  <c r="C37" i="15" s="1"/>
  <c r="F266" i="43"/>
  <c r="F37" i="15" s="1"/>
  <c r="F201" i="43"/>
  <c r="C38" i="15" s="1"/>
  <c r="F202" i="43"/>
  <c r="C39" i="15" s="1"/>
  <c r="F203" i="43"/>
  <c r="C40" i="15" s="1"/>
  <c r="F204" i="43"/>
  <c r="C41" i="15" s="1"/>
  <c r="F251" i="43"/>
  <c r="F101" i="43"/>
  <c r="F252" i="43"/>
  <c r="F100" i="43"/>
  <c r="T5" i="58" s="1"/>
  <c r="F250" i="43"/>
  <c r="F79" i="43"/>
  <c r="F80" i="43"/>
  <c r="F103" i="43"/>
  <c r="K45" i="40" s="1"/>
  <c r="F76" i="43"/>
  <c r="F243" i="43"/>
  <c r="B14" i="57" s="1"/>
  <c r="F249" i="43"/>
  <c r="F248" i="43"/>
  <c r="F253" i="43"/>
  <c r="F246" i="43"/>
  <c r="H4" i="57" s="1"/>
  <c r="F245" i="43"/>
  <c r="F244" i="43"/>
  <c r="F191" i="43"/>
  <c r="F174" i="43"/>
  <c r="C11" i="15" s="1"/>
  <c r="F175" i="43"/>
  <c r="C12" i="15" s="1"/>
  <c r="F176" i="43"/>
  <c r="C13" i="15" s="1"/>
  <c r="F177" i="43"/>
  <c r="C14" i="15" s="1"/>
  <c r="F178" i="43"/>
  <c r="C15" i="15" s="1"/>
  <c r="F179" i="43"/>
  <c r="C16" i="15" s="1"/>
  <c r="F180" i="43"/>
  <c r="C17" i="15" s="1"/>
  <c r="F181" i="43"/>
  <c r="C18" i="15" s="1"/>
  <c r="F182" i="43"/>
  <c r="C19" i="15" s="1"/>
  <c r="F183" i="43"/>
  <c r="C20" i="15" s="1"/>
  <c r="F184" i="43"/>
  <c r="C21" i="15" s="1"/>
  <c r="F185" i="43"/>
  <c r="C22" i="15" s="1"/>
  <c r="F186" i="43"/>
  <c r="C23" i="15" s="1"/>
  <c r="F187" i="43"/>
  <c r="C24" i="15" s="1"/>
  <c r="F188" i="43"/>
  <c r="C25" i="15" s="1"/>
  <c r="F189" i="43"/>
  <c r="C26" i="15" s="1"/>
  <c r="F173" i="43"/>
  <c r="C10" i="15" s="1"/>
  <c r="F166" i="43"/>
  <c r="C3" i="15" s="1"/>
  <c r="F167" i="43"/>
  <c r="C4" i="15" s="1"/>
  <c r="F168" i="43"/>
  <c r="C5" i="15" s="1"/>
  <c r="F169" i="43"/>
  <c r="C6" i="15" s="1"/>
  <c r="F170" i="43"/>
  <c r="C7" i="15" s="1"/>
  <c r="F171" i="43"/>
  <c r="C8" i="15" s="1"/>
  <c r="F247" i="43"/>
  <c r="F63" i="43"/>
  <c r="F61" i="43"/>
  <c r="K2" i="58"/>
  <c r="H2" i="58"/>
  <c r="A2" i="58"/>
  <c r="K2" i="57"/>
  <c r="H2" i="57"/>
  <c r="A2" i="57"/>
  <c r="L2" i="56"/>
  <c r="I2" i="56"/>
  <c r="A2" i="56"/>
  <c r="F94" i="43"/>
  <c r="F60" i="40" s="1"/>
  <c r="Y12" i="58"/>
  <c r="Y11" i="58"/>
  <c r="J50" i="40"/>
  <c r="J55" i="40"/>
  <c r="J56" i="40"/>
  <c r="J57" i="40"/>
  <c r="J54" i="40"/>
  <c r="J48" i="40"/>
  <c r="J49" i="40"/>
  <c r="J51" i="40"/>
  <c r="J52" i="40"/>
  <c r="J47" i="40"/>
  <c r="E57" i="40"/>
  <c r="I57" i="40" s="1"/>
  <c r="L57" i="40" s="1"/>
  <c r="E56" i="40"/>
  <c r="I56" i="40" s="1"/>
  <c r="E55" i="40"/>
  <c r="I55" i="40" s="1"/>
  <c r="E54" i="40"/>
  <c r="I54" i="40" s="1"/>
  <c r="E52" i="40"/>
  <c r="E51" i="40"/>
  <c r="E50" i="40"/>
  <c r="E49" i="40"/>
  <c r="E48" i="40"/>
  <c r="I48" i="40" s="1"/>
  <c r="I32" i="40"/>
  <c r="H32" i="40"/>
  <c r="I31" i="40"/>
  <c r="H31" i="40"/>
  <c r="I30" i="40"/>
  <c r="H30" i="40"/>
  <c r="I29" i="40"/>
  <c r="H29" i="40"/>
  <c r="I28" i="40"/>
  <c r="H28" i="40"/>
  <c r="I27" i="40"/>
  <c r="H27" i="40"/>
  <c r="I26" i="40"/>
  <c r="H26" i="40"/>
  <c r="I25" i="40"/>
  <c r="H25" i="40"/>
  <c r="C3" i="41"/>
  <c r="D3" i="41"/>
  <c r="E3" i="41"/>
  <c r="F3" i="41" s="1"/>
  <c r="G3" i="41" s="1"/>
  <c r="H3" i="41" s="1"/>
  <c r="I3" i="41" s="1"/>
  <c r="J3" i="41" s="1"/>
  <c r="K3" i="41" s="1"/>
  <c r="L3" i="41" s="1"/>
  <c r="M3" i="41" s="1"/>
  <c r="N3" i="41" s="1"/>
  <c r="O3" i="41" s="1"/>
  <c r="P3" i="41" s="1"/>
  <c r="Q3" i="41" s="1"/>
  <c r="R3" i="41" s="1"/>
  <c r="S3" i="41" s="1"/>
  <c r="T3" i="41" s="1"/>
  <c r="U3" i="41" s="1"/>
  <c r="V3" i="41" s="1"/>
  <c r="W3" i="41" s="1"/>
  <c r="X3" i="41" s="1"/>
  <c r="Y3" i="41" s="1"/>
  <c r="Z3" i="41" s="1"/>
  <c r="AA3" i="41" s="1"/>
  <c r="AB3" i="41" s="1"/>
  <c r="AC3" i="41" s="1"/>
  <c r="AD3" i="41" s="1"/>
  <c r="AE3" i="41" s="1"/>
  <c r="AF3" i="41" s="1"/>
  <c r="AG3" i="41" s="1"/>
  <c r="AH3" i="41" s="1"/>
  <c r="AI3" i="41" s="1"/>
  <c r="AJ3" i="41" s="1"/>
  <c r="AK3" i="41" s="1"/>
  <c r="AL3" i="41" s="1"/>
  <c r="AM3" i="41" s="1"/>
  <c r="AN3" i="41" s="1"/>
  <c r="AO3" i="41" s="1"/>
  <c r="AP3" i="41" s="1"/>
  <c r="AQ3" i="41" s="1"/>
  <c r="AR3" i="41" s="1"/>
  <c r="AS3" i="41" s="1"/>
  <c r="AT3" i="41" s="1"/>
  <c r="AU3" i="41" s="1"/>
  <c r="AV3" i="41" s="1"/>
  <c r="D18" i="57"/>
  <c r="R18" i="57" s="1"/>
  <c r="A18" i="57"/>
  <c r="D9" i="57"/>
  <c r="P9" i="57" s="1"/>
  <c r="A9" i="57"/>
  <c r="F95" i="43"/>
  <c r="L10" i="40" s="1"/>
  <c r="F273" i="43"/>
  <c r="F274" i="43"/>
  <c r="F275" i="43"/>
  <c r="F276" i="43"/>
  <c r="T32" i="40"/>
  <c r="T31" i="40"/>
  <c r="T29" i="40"/>
  <c r="T28" i="40"/>
  <c r="T27" i="40"/>
  <c r="T26" i="40"/>
  <c r="T25" i="40"/>
  <c r="Q32" i="40"/>
  <c r="Q30" i="40"/>
  <c r="Q29" i="40"/>
  <c r="Q28" i="40"/>
  <c r="Q27" i="40"/>
  <c r="Q26" i="40"/>
  <c r="D39" i="40"/>
  <c r="F294" i="43"/>
  <c r="F290" i="43"/>
  <c r="B17" i="47" s="1"/>
  <c r="F5" i="43"/>
  <c r="F6" i="43"/>
  <c r="F7" i="43"/>
  <c r="F8" i="43"/>
  <c r="F9" i="43"/>
  <c r="F10" i="43"/>
  <c r="F11" i="43"/>
  <c r="F12" i="43"/>
  <c r="A25" i="40"/>
  <c r="A26" i="40"/>
  <c r="A27" i="40"/>
  <c r="A28" i="40"/>
  <c r="A29" i="40"/>
  <c r="A30" i="40"/>
  <c r="A31" i="40"/>
  <c r="A32" i="40"/>
  <c r="Q22" i="40"/>
  <c r="R22" i="40"/>
  <c r="T22" i="40"/>
  <c r="U22" i="40"/>
  <c r="Q23" i="40"/>
  <c r="R23" i="40"/>
  <c r="T23" i="40"/>
  <c r="U23" i="40"/>
  <c r="Q24" i="40"/>
  <c r="R24" i="40"/>
  <c r="T24" i="40"/>
  <c r="U24" i="40"/>
  <c r="F25" i="40"/>
  <c r="G25" i="40"/>
  <c r="J25" i="40"/>
  <c r="K25" i="40"/>
  <c r="N25" i="40"/>
  <c r="O25" i="40"/>
  <c r="Q25" i="40"/>
  <c r="R25" i="40"/>
  <c r="U25" i="40"/>
  <c r="W25" i="40"/>
  <c r="F26" i="40"/>
  <c r="G26" i="40"/>
  <c r="J26" i="40"/>
  <c r="K26" i="40"/>
  <c r="N26" i="40"/>
  <c r="O26" i="40"/>
  <c r="R26" i="40"/>
  <c r="U26" i="40"/>
  <c r="W26" i="40"/>
  <c r="F27" i="40"/>
  <c r="G27" i="40"/>
  <c r="J27" i="40"/>
  <c r="K27" i="40"/>
  <c r="N27" i="40"/>
  <c r="O27" i="40"/>
  <c r="R27" i="40"/>
  <c r="U27" i="40"/>
  <c r="W27" i="40"/>
  <c r="F28" i="40"/>
  <c r="G28" i="40"/>
  <c r="J28" i="40"/>
  <c r="K28" i="40"/>
  <c r="N28" i="40"/>
  <c r="O28" i="40"/>
  <c r="R28" i="40"/>
  <c r="U28" i="40"/>
  <c r="W28" i="40"/>
  <c r="F29" i="40"/>
  <c r="G29" i="40"/>
  <c r="J29" i="40"/>
  <c r="K29" i="40"/>
  <c r="N29" i="40"/>
  <c r="O29" i="40"/>
  <c r="R29" i="40"/>
  <c r="U29" i="40"/>
  <c r="W29" i="40"/>
  <c r="F280" i="43"/>
  <c r="A4" i="47" s="1"/>
  <c r="F82" i="43"/>
  <c r="B28" i="15"/>
  <c r="D33" i="40"/>
  <c r="D35" i="40" s="1"/>
  <c r="E29" i="40" s="1"/>
  <c r="F93" i="43"/>
  <c r="E10" i="40" s="1"/>
  <c r="F96" i="43"/>
  <c r="F97" i="43"/>
  <c r="P10" i="40" s="1"/>
  <c r="F98" i="43"/>
  <c r="F99" i="43"/>
  <c r="M10" i="40" s="1"/>
  <c r="F102" i="43"/>
  <c r="F231" i="43"/>
  <c r="B22" i="58" s="1"/>
  <c r="F91" i="43"/>
  <c r="D10" i="40" s="1"/>
  <c r="F84" i="43"/>
  <c r="B34" i="40" s="1"/>
  <c r="F85" i="43"/>
  <c r="C7" i="40" s="1"/>
  <c r="F81" i="43"/>
  <c r="A7" i="40" s="1"/>
  <c r="F86" i="43"/>
  <c r="B37" i="40" s="1"/>
  <c r="F87" i="43"/>
  <c r="B38" i="40" s="1"/>
  <c r="F88" i="43"/>
  <c r="B39" i="40" s="1"/>
  <c r="F89" i="43"/>
  <c r="F90" i="43"/>
  <c r="C10" i="40" s="1"/>
  <c r="F92" i="43"/>
  <c r="A4" i="58" s="1"/>
  <c r="F232" i="43"/>
  <c r="B63" i="58" s="1"/>
  <c r="F233" i="43"/>
  <c r="B51" i="58" s="1"/>
  <c r="F234" i="43"/>
  <c r="F235" i="43"/>
  <c r="B30" i="58" s="1"/>
  <c r="F236" i="43"/>
  <c r="F237" i="43"/>
  <c r="B4" i="40" s="1"/>
  <c r="F238" i="43"/>
  <c r="F239" i="43"/>
  <c r="F240" i="43"/>
  <c r="G10" i="15"/>
  <c r="F254" i="43"/>
  <c r="A18" i="58" s="1"/>
  <c r="F255" i="43"/>
  <c r="A28" i="58" s="1"/>
  <c r="F256" i="43"/>
  <c r="S28" i="58" s="1"/>
  <c r="F263" i="43"/>
  <c r="B12" i="58" s="1"/>
  <c r="F264" i="43"/>
  <c r="F267" i="43"/>
  <c r="N4" i="58" s="1"/>
  <c r="F268" i="43"/>
  <c r="F269" i="43"/>
  <c r="P4" i="58" s="1"/>
  <c r="F270" i="43"/>
  <c r="F271" i="43"/>
  <c r="F277" i="43"/>
  <c r="F278" i="43"/>
  <c r="F279" i="43"/>
  <c r="A2" i="47" s="1"/>
  <c r="F281" i="43"/>
  <c r="B6" i="47" s="1"/>
  <c r="F282" i="43"/>
  <c r="B7" i="47" s="1"/>
  <c r="F283" i="43"/>
  <c r="B8" i="47" s="1"/>
  <c r="F284" i="43"/>
  <c r="B9" i="47" s="1"/>
  <c r="F285" i="43"/>
  <c r="B10" i="47" s="1"/>
  <c r="F286" i="43"/>
  <c r="A12" i="47" s="1"/>
  <c r="F287" i="43"/>
  <c r="B13" i="47" s="1"/>
  <c r="F288" i="43"/>
  <c r="B14" i="47" s="1"/>
  <c r="F289" i="43"/>
  <c r="B15" i="47" s="1"/>
  <c r="F291" i="43"/>
  <c r="A20" i="47" s="1"/>
  <c r="F292" i="43"/>
  <c r="B21" i="47" s="1"/>
  <c r="F293" i="43"/>
  <c r="B22" i="47" s="1"/>
  <c r="F296" i="43"/>
  <c r="B25" i="47" s="1"/>
  <c r="F297" i="43"/>
  <c r="B26" i="47" s="1"/>
  <c r="F298" i="43"/>
  <c r="B27" i="47" s="1"/>
  <c r="F299" i="43"/>
  <c r="C28" i="47" s="1"/>
  <c r="F300" i="43"/>
  <c r="C29" i="47" s="1"/>
  <c r="F301" i="43"/>
  <c r="C30" i="47" s="1"/>
  <c r="F70" i="43"/>
  <c r="F190" i="43"/>
  <c r="F78" i="43"/>
  <c r="B30" i="47" s="1"/>
  <c r="F77" i="43"/>
  <c r="B29" i="47" s="1"/>
  <c r="F75" i="43"/>
  <c r="F74" i="43"/>
  <c r="P18" i="58" s="1"/>
  <c r="F73" i="43"/>
  <c r="F72" i="43"/>
  <c r="B56" i="58" s="1"/>
  <c r="B68" i="58" s="1"/>
  <c r="F71" i="43"/>
  <c r="F69" i="43"/>
  <c r="F18" i="58" s="1"/>
  <c r="F68" i="43"/>
  <c r="C3" i="42" s="1"/>
  <c r="F67" i="43"/>
  <c r="F66" i="43"/>
  <c r="A3" i="42" s="1"/>
  <c r="F65" i="43"/>
  <c r="B4" i="42" s="1"/>
  <c r="F59" i="43"/>
  <c r="F58" i="43"/>
  <c r="J10" i="42"/>
  <c r="J14" i="42"/>
  <c r="J18" i="42"/>
  <c r="J22" i="42"/>
  <c r="J26" i="42"/>
  <c r="J30" i="42"/>
  <c r="J34" i="42"/>
  <c r="J38" i="42"/>
  <c r="J42" i="42"/>
  <c r="J46" i="42"/>
  <c r="J50" i="42"/>
  <c r="J49" i="42"/>
  <c r="J48" i="42"/>
  <c r="J47" i="42"/>
  <c r="J45" i="42"/>
  <c r="J44" i="42"/>
  <c r="J43" i="42"/>
  <c r="J41" i="42"/>
  <c r="J40" i="42"/>
  <c r="J39" i="42"/>
  <c r="J37" i="42"/>
  <c r="J36" i="42"/>
  <c r="J35" i="42"/>
  <c r="J33" i="42"/>
  <c r="J32" i="42"/>
  <c r="J31" i="42"/>
  <c r="J29" i="42"/>
  <c r="J28" i="42"/>
  <c r="J27" i="42"/>
  <c r="J25" i="42"/>
  <c r="J24" i="42"/>
  <c r="J23" i="42"/>
  <c r="J21" i="42"/>
  <c r="J20" i="42"/>
  <c r="J19" i="42"/>
  <c r="J17" i="42"/>
  <c r="J16" i="42"/>
  <c r="J15" i="42"/>
  <c r="J13" i="42"/>
  <c r="J12" i="42"/>
  <c r="J11" i="42"/>
  <c r="J9" i="42"/>
  <c r="J8" i="42"/>
  <c r="J7" i="42"/>
  <c r="J6" i="42"/>
  <c r="Q5" i="58"/>
  <c r="A22" i="40"/>
  <c r="A23" i="40"/>
  <c r="A24" i="40"/>
  <c r="B31" i="41"/>
  <c r="B27" i="41"/>
  <c r="B35" i="41"/>
  <c r="B51" i="41"/>
  <c r="B23" i="41"/>
  <c r="T21" i="40"/>
  <c r="R21" i="40"/>
  <c r="U21" i="40"/>
  <c r="Q18" i="40"/>
  <c r="R18" i="40"/>
  <c r="B47" i="41"/>
  <c r="B2" i="15"/>
  <c r="I24" i="40"/>
  <c r="H22" i="40"/>
  <c r="H24" i="40"/>
  <c r="I22" i="40"/>
  <c r="I23" i="40"/>
  <c r="F23" i="40"/>
  <c r="F24" i="40"/>
  <c r="F22" i="40"/>
  <c r="G23" i="40"/>
  <c r="G24" i="40"/>
  <c r="J23" i="40"/>
  <c r="J24" i="40"/>
  <c r="G22" i="40"/>
  <c r="K23" i="40"/>
  <c r="K24" i="40"/>
  <c r="J22" i="40"/>
  <c r="K22" i="40"/>
  <c r="H23" i="40"/>
  <c r="O23" i="40"/>
  <c r="O22" i="40"/>
  <c r="O24" i="40"/>
  <c r="N22" i="40"/>
  <c r="N24" i="40"/>
  <c r="N23" i="40"/>
  <c r="W24" i="40"/>
  <c r="W23" i="40"/>
  <c r="W22" i="40"/>
  <c r="Q21" i="40"/>
  <c r="R17" i="40"/>
  <c r="Q17" i="40"/>
  <c r="R19" i="40"/>
  <c r="Q19" i="40"/>
  <c r="O31" i="40"/>
  <c r="J31" i="40"/>
  <c r="N31" i="40"/>
  <c r="K31" i="40"/>
  <c r="R31" i="40"/>
  <c r="F31" i="40"/>
  <c r="Q31" i="40"/>
  <c r="U31" i="40"/>
  <c r="W31" i="40"/>
  <c r="G31" i="40"/>
  <c r="R32" i="40"/>
  <c r="F32" i="40"/>
  <c r="U32" i="40"/>
  <c r="N32" i="40"/>
  <c r="G32" i="40"/>
  <c r="O32" i="40"/>
  <c r="W32" i="40"/>
  <c r="K32" i="40"/>
  <c r="J32" i="40"/>
  <c r="F30" i="40"/>
  <c r="J30" i="40"/>
  <c r="N30" i="40"/>
  <c r="O30" i="40"/>
  <c r="K30" i="40"/>
  <c r="T30" i="40"/>
  <c r="R30" i="40"/>
  <c r="G30" i="40"/>
  <c r="U30" i="40"/>
  <c r="W30" i="40"/>
  <c r="B11" i="41" l="1"/>
  <c r="B15" i="41"/>
  <c r="M5" i="58"/>
  <c r="U5" i="58"/>
  <c r="M22" i="40"/>
  <c r="C13" i="56" s="1"/>
  <c r="F13" i="56" s="1"/>
  <c r="H13" i="56" s="1"/>
  <c r="K13" i="56" s="1"/>
  <c r="V22" i="40"/>
  <c r="C34" i="58"/>
  <c r="C32" i="58"/>
  <c r="B23" i="47"/>
  <c r="B46" i="58"/>
  <c r="B58" i="58"/>
  <c r="B70" i="58" s="1"/>
  <c r="B47" i="58"/>
  <c r="B59" i="58"/>
  <c r="B71" i="58" s="1"/>
  <c r="B45" i="58"/>
  <c r="B57" i="58"/>
  <c r="B69" i="58" s="1"/>
  <c r="B40" i="41"/>
  <c r="B44" i="41"/>
  <c r="B36" i="41"/>
  <c r="B16" i="41"/>
  <c r="R9" i="40"/>
  <c r="W9" i="40"/>
  <c r="Q9" i="40"/>
  <c r="T9" i="40"/>
  <c r="U9" i="40"/>
  <c r="F9" i="40"/>
  <c r="B23" i="57"/>
  <c r="B53" i="58"/>
  <c r="B65" i="58" s="1"/>
  <c r="B32" i="41"/>
  <c r="B48" i="41"/>
  <c r="O5" i="58"/>
  <c r="D4" i="58"/>
  <c r="B40" i="58"/>
  <c r="B52" i="58"/>
  <c r="B64" i="58" s="1"/>
  <c r="M23" i="57"/>
  <c r="B20" i="41"/>
  <c r="B12" i="41"/>
  <c r="B5" i="57"/>
  <c r="D18" i="58"/>
  <c r="E14" i="57"/>
  <c r="E5" i="56"/>
  <c r="L44" i="40"/>
  <c r="Q5" i="56"/>
  <c r="S5" i="56"/>
  <c r="H5" i="56"/>
  <c r="E5" i="58"/>
  <c r="R5" i="56"/>
  <c r="I5" i="56"/>
  <c r="T5" i="56"/>
  <c r="J23" i="57"/>
  <c r="S5" i="58"/>
  <c r="K10" i="40"/>
  <c r="B9" i="58"/>
  <c r="L55" i="40"/>
  <c r="M5" i="57"/>
  <c r="Q23" i="57"/>
  <c r="O10" i="40"/>
  <c r="L54" i="40"/>
  <c r="F23" i="57"/>
  <c r="F14" i="57"/>
  <c r="F5" i="57"/>
  <c r="F11" i="15"/>
  <c r="R23" i="57"/>
  <c r="R14" i="57"/>
  <c r="R5" i="57"/>
  <c r="B8" i="58"/>
  <c r="G23" i="57"/>
  <c r="G14" i="57"/>
  <c r="G5" i="57"/>
  <c r="L56" i="40"/>
  <c r="L48" i="40"/>
  <c r="H14" i="57"/>
  <c r="F22" i="57"/>
  <c r="E13" i="40"/>
  <c r="B29" i="41"/>
  <c r="B8" i="41"/>
  <c r="J5" i="57"/>
  <c r="Q5" i="57"/>
  <c r="G5" i="58"/>
  <c r="H13" i="57"/>
  <c r="R10" i="40"/>
  <c r="F7" i="40"/>
  <c r="H1" i="58"/>
  <c r="S7" i="40"/>
  <c r="P23" i="57"/>
  <c r="D5" i="40"/>
  <c r="N10" i="40"/>
  <c r="B14" i="58"/>
  <c r="N5" i="58"/>
  <c r="D13" i="57"/>
  <c r="H5" i="57"/>
  <c r="F20" i="15"/>
  <c r="I5" i="58"/>
  <c r="B13" i="41"/>
  <c r="B37" i="41"/>
  <c r="B7" i="41"/>
  <c r="B33" i="41"/>
  <c r="F10" i="40"/>
  <c r="L5" i="58"/>
  <c r="B19" i="57"/>
  <c r="B49" i="41"/>
  <c r="B19" i="41"/>
  <c r="B39" i="41"/>
  <c r="B43" i="41"/>
  <c r="B21" i="41"/>
  <c r="B17" i="41"/>
  <c r="B24" i="41"/>
  <c r="B28" i="41"/>
  <c r="B41" i="41"/>
  <c r="W10" i="40"/>
  <c r="J5" i="58"/>
  <c r="L14" i="57"/>
  <c r="B58" i="40"/>
  <c r="J14" i="57"/>
  <c r="K5" i="58"/>
  <c r="M14" i="57"/>
  <c r="Q14" i="57"/>
  <c r="I10" i="40"/>
  <c r="F13" i="57"/>
  <c r="H22" i="57"/>
  <c r="H23" i="57"/>
  <c r="G10" i="40"/>
  <c r="U10" i="40"/>
  <c r="B11" i="58"/>
  <c r="F14" i="15"/>
  <c r="F38" i="15"/>
  <c r="F36" i="15"/>
  <c r="B9" i="41"/>
  <c r="B25" i="41"/>
  <c r="J10" i="40"/>
  <c r="F5" i="58"/>
  <c r="T4" i="58"/>
  <c r="T10" i="40"/>
  <c r="L5" i="57"/>
  <c r="R5" i="58"/>
  <c r="P5" i="58"/>
  <c r="H10" i="40"/>
  <c r="B28" i="57"/>
  <c r="E5" i="57"/>
  <c r="B45" i="41"/>
  <c r="D3" i="42"/>
  <c r="B33" i="40"/>
  <c r="Q10" i="40"/>
  <c r="L23" i="57"/>
  <c r="P14" i="57"/>
  <c r="P5" i="57"/>
  <c r="B10" i="57"/>
  <c r="T18" i="58"/>
  <c r="E23" i="57"/>
  <c r="E28" i="15"/>
  <c r="V10" i="40"/>
  <c r="C2" i="15"/>
  <c r="B28" i="47"/>
  <c r="A4" i="57"/>
  <c r="B10" i="15"/>
  <c r="G9" i="40"/>
  <c r="I44" i="40"/>
  <c r="B38" i="41"/>
  <c r="F7" i="15"/>
  <c r="J9" i="40"/>
  <c r="A18" i="40"/>
  <c r="N9" i="40"/>
  <c r="N5" i="57"/>
  <c r="K9" i="40"/>
  <c r="A22" i="57"/>
  <c r="F19" i="15"/>
  <c r="B22" i="41"/>
  <c r="B46" i="41"/>
  <c r="A13" i="40"/>
  <c r="D5" i="57"/>
  <c r="H9" i="40"/>
  <c r="B10" i="58"/>
  <c r="A19" i="40"/>
  <c r="B35" i="58"/>
  <c r="A14" i="40"/>
  <c r="F2" i="15"/>
  <c r="F28" i="15"/>
  <c r="P4" i="57"/>
  <c r="A21" i="40"/>
  <c r="D4" i="57"/>
  <c r="P22" i="57"/>
  <c r="E10" i="15"/>
  <c r="L4" i="57"/>
  <c r="D5" i="58"/>
  <c r="S10" i="40"/>
  <c r="A16" i="40"/>
  <c r="N23" i="57"/>
  <c r="E2" i="15"/>
  <c r="B34" i="41"/>
  <c r="B30" i="41"/>
  <c r="B10" i="41"/>
  <c r="B18" i="41"/>
  <c r="V7" i="40"/>
  <c r="B26" i="41"/>
  <c r="F3" i="15"/>
  <c r="A15" i="40"/>
  <c r="F6" i="15"/>
  <c r="B42" i="41"/>
  <c r="B50" i="41"/>
  <c r="B14" i="41"/>
  <c r="A12" i="40"/>
  <c r="A17" i="40"/>
  <c r="F10" i="15"/>
  <c r="D22" i="57"/>
  <c r="P13" i="57"/>
  <c r="F4" i="57"/>
  <c r="N14" i="57"/>
  <c r="L18" i="58"/>
  <c r="F15" i="15"/>
  <c r="B33" i="58"/>
  <c r="B41" i="58"/>
  <c r="B1" i="40"/>
  <c r="A1" i="57"/>
  <c r="B31" i="58"/>
  <c r="B13" i="58"/>
  <c r="G2" i="15"/>
  <c r="G28" i="15"/>
  <c r="B39" i="58"/>
  <c r="B43" i="58"/>
  <c r="A1" i="58"/>
  <c r="F13" i="15"/>
  <c r="R4" i="58"/>
  <c r="B44" i="58"/>
  <c r="A1" i="56"/>
  <c r="A20" i="40"/>
  <c r="F25" i="15"/>
  <c r="P18" i="57"/>
  <c r="I1" i="56"/>
  <c r="F21" i="15"/>
  <c r="N18" i="58"/>
  <c r="F8" i="15"/>
  <c r="F5" i="15"/>
  <c r="F23" i="15"/>
  <c r="F18" i="15"/>
  <c r="P7" i="40"/>
  <c r="C28" i="15"/>
  <c r="F4" i="58"/>
  <c r="L22" i="57"/>
  <c r="B7" i="58"/>
  <c r="D23" i="57"/>
  <c r="I9" i="40"/>
  <c r="A13" i="57"/>
  <c r="Q18" i="57"/>
  <c r="F37" i="40"/>
  <c r="F24" i="15"/>
  <c r="F17" i="15"/>
  <c r="B35" i="40"/>
  <c r="O9" i="40"/>
  <c r="L13" i="57"/>
  <c r="D14" i="57"/>
  <c r="F4" i="15"/>
  <c r="F40" i="15"/>
  <c r="A8" i="57"/>
  <c r="D8" i="57"/>
  <c r="B10" i="40"/>
  <c r="F41" i="15"/>
  <c r="F35" i="15"/>
  <c r="A17" i="57"/>
  <c r="D16" i="57"/>
  <c r="D17" i="57"/>
  <c r="A16" i="57"/>
  <c r="D7" i="57"/>
  <c r="A7" i="57"/>
  <c r="D27" i="57"/>
  <c r="D26" i="57"/>
  <c r="R26" i="57" s="1"/>
  <c r="A27" i="57"/>
  <c r="A25" i="57"/>
  <c r="A26" i="57"/>
  <c r="H7" i="40"/>
  <c r="J18" i="58"/>
  <c r="J7" i="40"/>
  <c r="B55" i="58"/>
  <c r="B67" i="58" s="1"/>
  <c r="J4" i="58"/>
  <c r="R18" i="58"/>
  <c r="H3" i="42"/>
  <c r="G49" i="40"/>
  <c r="I49" i="40" s="1"/>
  <c r="L49" i="40" s="1"/>
  <c r="I47" i="40"/>
  <c r="L47" i="40" s="1"/>
  <c r="E28" i="40"/>
  <c r="L7" i="40"/>
  <c r="G5" i="40"/>
  <c r="R9" i="57"/>
  <c r="Q9" i="57"/>
  <c r="L4" i="58"/>
  <c r="H5" i="58"/>
  <c r="D25" i="57"/>
  <c r="B49" i="42"/>
  <c r="B47" i="42"/>
  <c r="B45" i="42"/>
  <c r="B43" i="42"/>
  <c r="B41" i="42"/>
  <c r="B39" i="42"/>
  <c r="B37" i="42"/>
  <c r="B35" i="42"/>
  <c r="B33" i="42"/>
  <c r="B31" i="42"/>
  <c r="B29" i="42"/>
  <c r="B27" i="42"/>
  <c r="B25" i="42"/>
  <c r="B23" i="42"/>
  <c r="B21" i="42"/>
  <c r="B19" i="42"/>
  <c r="B17" i="42"/>
  <c r="B15" i="42"/>
  <c r="B13" i="42"/>
  <c r="B11" i="42"/>
  <c r="B9" i="42"/>
  <c r="B7" i="42"/>
  <c r="B48" i="42"/>
  <c r="B44" i="42"/>
  <c r="B40" i="42"/>
  <c r="B36" i="42"/>
  <c r="B32" i="42"/>
  <c r="B28" i="42"/>
  <c r="B24" i="42"/>
  <c r="B20" i="42"/>
  <c r="B16" i="42"/>
  <c r="B12" i="42"/>
  <c r="B8" i="42"/>
  <c r="H1" i="57"/>
  <c r="F26" i="15"/>
  <c r="F22" i="15"/>
  <c r="F16" i="15"/>
  <c r="F12" i="15"/>
  <c r="F39" i="15"/>
  <c r="B25" i="58"/>
  <c r="B21" i="58"/>
  <c r="E15" i="40"/>
  <c r="E20" i="40"/>
  <c r="E26" i="40"/>
  <c r="E30" i="40"/>
  <c r="D38" i="40"/>
  <c r="E24" i="40"/>
  <c r="E17" i="40"/>
  <c r="E18" i="40"/>
  <c r="G51" i="40"/>
  <c r="I51" i="40" s="1"/>
  <c r="L51" i="40" s="1"/>
  <c r="E27" i="40"/>
  <c r="E16" i="40"/>
  <c r="E31" i="40"/>
  <c r="E25" i="40"/>
  <c r="E14" i="40"/>
  <c r="E21" i="40"/>
  <c r="E23" i="40"/>
  <c r="E32" i="40"/>
  <c r="E12" i="40"/>
  <c r="G50" i="40"/>
  <c r="I50" i="40" s="1"/>
  <c r="L50" i="40" s="1"/>
  <c r="G52" i="40"/>
  <c r="I52" i="40" s="1"/>
  <c r="L52" i="40" s="1"/>
  <c r="E22" i="40"/>
  <c r="E19" i="40"/>
  <c r="B125" i="61" l="1"/>
  <c r="B141" i="61"/>
  <c r="B157" i="61"/>
  <c r="B173" i="61"/>
  <c r="B126" i="61"/>
  <c r="B142" i="61"/>
  <c r="B158" i="61"/>
  <c r="B174" i="61"/>
  <c r="B127" i="61"/>
  <c r="B143" i="61"/>
  <c r="B159" i="61"/>
  <c r="B175" i="61"/>
  <c r="B128" i="61"/>
  <c r="B144" i="61"/>
  <c r="B160" i="61"/>
  <c r="B176" i="61"/>
  <c r="B129" i="61"/>
  <c r="B145" i="61"/>
  <c r="B161" i="61"/>
  <c r="B177" i="61"/>
  <c r="B130" i="61"/>
  <c r="B146" i="61"/>
  <c r="B162" i="61"/>
  <c r="B178" i="61"/>
  <c r="B131" i="61"/>
  <c r="B147" i="61"/>
  <c r="B163" i="61"/>
  <c r="B179" i="61"/>
  <c r="B132" i="61"/>
  <c r="B148" i="61"/>
  <c r="B164" i="61"/>
  <c r="B180" i="61"/>
  <c r="B133" i="61"/>
  <c r="B149" i="61"/>
  <c r="B165" i="61"/>
  <c r="B181" i="61"/>
  <c r="B134" i="61"/>
  <c r="B150" i="61"/>
  <c r="B166" i="61"/>
  <c r="B121" i="61"/>
  <c r="B135" i="61"/>
  <c r="B151" i="61"/>
  <c r="B167" i="61"/>
  <c r="J6" i="61"/>
  <c r="B136" i="61"/>
  <c r="B152" i="61"/>
  <c r="B168" i="61"/>
  <c r="B137" i="61"/>
  <c r="B153" i="61"/>
  <c r="B169" i="61"/>
  <c r="B122" i="61"/>
  <c r="B138" i="61"/>
  <c r="B154" i="61"/>
  <c r="B170" i="61"/>
  <c r="B123" i="61"/>
  <c r="B139" i="61"/>
  <c r="B155" i="61"/>
  <c r="B171" i="61"/>
  <c r="B124" i="61"/>
  <c r="B140" i="61"/>
  <c r="B156" i="61"/>
  <c r="B172" i="61"/>
  <c r="K69" i="61"/>
  <c r="M13" i="40"/>
  <c r="M14" i="40"/>
  <c r="C8" i="56" s="1"/>
  <c r="F8" i="56" s="1"/>
  <c r="H8" i="56" s="1"/>
  <c r="K8" i="56" s="1"/>
  <c r="M12" i="40"/>
  <c r="M20" i="40"/>
  <c r="M21" i="40"/>
  <c r="C12" i="56" s="1"/>
  <c r="F12" i="56" s="1"/>
  <c r="H12" i="56" s="1"/>
  <c r="K12" i="56" s="1"/>
  <c r="M15" i="40"/>
  <c r="C9" i="56" s="1"/>
  <c r="F9" i="56" s="1"/>
  <c r="H9" i="56" s="1"/>
  <c r="K9" i="56" s="1"/>
  <c r="M16" i="40"/>
  <c r="M17" i="40"/>
  <c r="M18" i="40"/>
  <c r="C10" i="56" s="1"/>
  <c r="F10" i="56" s="1"/>
  <c r="H10" i="56" s="1"/>
  <c r="K10" i="56" s="1"/>
  <c r="M19" i="40"/>
  <c r="V17" i="40"/>
  <c r="V18" i="40"/>
  <c r="V15" i="40"/>
  <c r="V21" i="40"/>
  <c r="V19" i="40"/>
  <c r="V12" i="40"/>
  <c r="V20" i="40"/>
  <c r="V16" i="40"/>
  <c r="V13" i="40"/>
  <c r="V14" i="40"/>
  <c r="W13" i="40"/>
  <c r="W12" i="40"/>
  <c r="R8" i="57"/>
  <c r="O12" i="40"/>
  <c r="H13" i="40"/>
  <c r="U12" i="40"/>
  <c r="I15" i="40"/>
  <c r="R25" i="57"/>
  <c r="N12" i="40"/>
  <c r="N14" i="40"/>
  <c r="O14" i="40"/>
  <c r="G13" i="40"/>
  <c r="H14" i="40"/>
  <c r="N13" i="40"/>
  <c r="J14" i="40"/>
  <c r="O13" i="40"/>
  <c r="R17" i="57"/>
  <c r="I14" i="40"/>
  <c r="H12" i="40"/>
  <c r="K15" i="40"/>
  <c r="K13" i="40"/>
  <c r="G14" i="40"/>
  <c r="U14" i="40"/>
  <c r="T12" i="40"/>
  <c r="I13" i="40"/>
  <c r="J13" i="40"/>
  <c r="G12" i="40"/>
  <c r="F20" i="40"/>
  <c r="F13" i="40"/>
  <c r="R13" i="40"/>
  <c r="U19" i="40"/>
  <c r="I18" i="40"/>
  <c r="T17" i="40"/>
  <c r="R15" i="40"/>
  <c r="H21" i="40"/>
  <c r="O15" i="40"/>
  <c r="G15" i="40"/>
  <c r="U18" i="40"/>
  <c r="F15" i="40"/>
  <c r="J17" i="40"/>
  <c r="G17" i="40"/>
  <c r="U13" i="40"/>
  <c r="R16" i="57"/>
  <c r="R7" i="57"/>
  <c r="T13" i="40"/>
  <c r="N17" i="40"/>
  <c r="T18" i="40"/>
  <c r="K14" i="40"/>
  <c r="Q13" i="40"/>
  <c r="I12" i="40"/>
  <c r="J18" i="40"/>
  <c r="R14" i="40"/>
  <c r="T19" i="40"/>
  <c r="H18" i="40"/>
  <c r="I20" i="40"/>
  <c r="K16" i="40"/>
  <c r="J15" i="40"/>
  <c r="J16" i="40"/>
  <c r="Q14" i="40"/>
  <c r="G21" i="40"/>
  <c r="K19" i="40"/>
  <c r="G20" i="40"/>
  <c r="U17" i="40"/>
  <c r="F12" i="40"/>
  <c r="F21" i="40"/>
  <c r="R20" i="40"/>
  <c r="R16" i="40"/>
  <c r="I21" i="40"/>
  <c r="O19" i="40"/>
  <c r="T20" i="40"/>
  <c r="N19" i="40"/>
  <c r="K21" i="40"/>
  <c r="W15" i="40"/>
  <c r="T14" i="40"/>
  <c r="H15" i="40"/>
  <c r="I17" i="40"/>
  <c r="R12" i="40"/>
  <c r="I16" i="40"/>
  <c r="O16" i="40"/>
  <c r="T16" i="40"/>
  <c r="K18" i="40"/>
  <c r="K12" i="40"/>
  <c r="Q16" i="40"/>
  <c r="J19" i="40"/>
  <c r="K20" i="40"/>
  <c r="F14" i="40"/>
  <c r="G18" i="40"/>
  <c r="U16" i="40"/>
  <c r="T15" i="40"/>
  <c r="N18" i="40"/>
  <c r="W16" i="40"/>
  <c r="W20" i="40"/>
  <c r="W21" i="40"/>
  <c r="H19" i="40"/>
  <c r="H17" i="40"/>
  <c r="N21" i="40"/>
  <c r="J20" i="40"/>
  <c r="G19" i="40"/>
  <c r="O17" i="40"/>
  <c r="O18" i="40"/>
  <c r="O21" i="40"/>
  <c r="U15" i="40"/>
  <c r="F19" i="40"/>
  <c r="F16" i="40"/>
  <c r="U20" i="40"/>
  <c r="H20" i="40"/>
  <c r="K17" i="40"/>
  <c r="W18" i="40"/>
  <c r="Q15" i="40"/>
  <c r="Q20" i="40"/>
  <c r="J21" i="40"/>
  <c r="W17" i="40"/>
  <c r="H16" i="40"/>
  <c r="F17" i="40"/>
  <c r="F18" i="40"/>
  <c r="I19" i="40"/>
  <c r="N20" i="40"/>
  <c r="N16" i="40"/>
  <c r="W14" i="40"/>
  <c r="Q12" i="40"/>
  <c r="J12" i="40"/>
  <c r="G16" i="40"/>
  <c r="W19" i="40"/>
  <c r="O20" i="40"/>
  <c r="N15" i="40"/>
  <c r="R27" i="57"/>
  <c r="Q27" i="57"/>
  <c r="P27" i="57"/>
  <c r="E33" i="40"/>
  <c r="L58" i="40"/>
  <c r="I58" i="40"/>
  <c r="CU139" i="61" l="1"/>
  <c r="CV139" i="61"/>
  <c r="CQ139" i="61"/>
  <c r="CP139" i="61"/>
  <c r="CS139" i="61"/>
  <c r="CD139" i="61"/>
  <c r="BY139" i="61" s="1"/>
  <c r="CR139" i="61" s="1"/>
  <c r="CV137" i="61"/>
  <c r="CU137" i="61"/>
  <c r="CQ137" i="61"/>
  <c r="CP137" i="61"/>
  <c r="CS137" i="61"/>
  <c r="CD137" i="61"/>
  <c r="BY137" i="61" s="1"/>
  <c r="CR137" i="61" s="1"/>
  <c r="CU181" i="61"/>
  <c r="CP181" i="61"/>
  <c r="CS181" i="61"/>
  <c r="CV181" i="61"/>
  <c r="CD181" i="61"/>
  <c r="BY181" i="61" s="1"/>
  <c r="CR181" i="61" s="1"/>
  <c r="CQ181" i="61"/>
  <c r="CV179" i="61"/>
  <c r="CU179" i="61"/>
  <c r="CQ179" i="61"/>
  <c r="CP179" i="61"/>
  <c r="CD179" i="61"/>
  <c r="BY179" i="61" s="1"/>
  <c r="CR179" i="61" s="1"/>
  <c r="CS179" i="61"/>
  <c r="CU177" i="61"/>
  <c r="CV177" i="61"/>
  <c r="CQ177" i="61"/>
  <c r="CP177" i="61"/>
  <c r="CS177" i="61"/>
  <c r="CD177" i="61"/>
  <c r="BY177" i="61" s="1"/>
  <c r="CR177" i="61" s="1"/>
  <c r="CV174" i="61"/>
  <c r="CU174" i="61"/>
  <c r="CP174" i="61"/>
  <c r="CQ174" i="61"/>
  <c r="CS174" i="61"/>
  <c r="CD174" i="61"/>
  <c r="BY174" i="61" s="1"/>
  <c r="CR174" i="61" s="1"/>
  <c r="CV124" i="61"/>
  <c r="CU124" i="61"/>
  <c r="CP124" i="61"/>
  <c r="CQ124" i="61"/>
  <c r="CS124" i="61"/>
  <c r="CD124" i="61"/>
  <c r="BY124" i="61" s="1"/>
  <c r="CR124" i="61" s="1"/>
  <c r="CU123" i="61"/>
  <c r="CV123" i="61"/>
  <c r="CP123" i="61"/>
  <c r="CQ123" i="61"/>
  <c r="CS123" i="61"/>
  <c r="CD123" i="61"/>
  <c r="BY123" i="61" s="1"/>
  <c r="CR123" i="61" s="1"/>
  <c r="CV122" i="61"/>
  <c r="CU122" i="61"/>
  <c r="CP122" i="61"/>
  <c r="CQ122" i="61"/>
  <c r="CS122" i="61"/>
  <c r="CD122" i="61"/>
  <c r="BY122" i="61" s="1"/>
  <c r="CR122" i="61" s="1"/>
  <c r="CV168" i="61"/>
  <c r="CU168" i="61"/>
  <c r="CQ168" i="61"/>
  <c r="CP168" i="61"/>
  <c r="CS168" i="61"/>
  <c r="CD168" i="61"/>
  <c r="BY168" i="61" s="1"/>
  <c r="CR168" i="61" s="1"/>
  <c r="CU167" i="61"/>
  <c r="CV167" i="61"/>
  <c r="CP167" i="61"/>
  <c r="CQ167" i="61"/>
  <c r="CS167" i="61"/>
  <c r="CD167" i="61"/>
  <c r="BY167" i="61" s="1"/>
  <c r="CR167" i="61" s="1"/>
  <c r="CU166" i="61"/>
  <c r="CV166" i="61"/>
  <c r="CQ166" i="61"/>
  <c r="CP166" i="61"/>
  <c r="CS166" i="61"/>
  <c r="CD166" i="61"/>
  <c r="BY166" i="61" s="1"/>
  <c r="CR166" i="61" s="1"/>
  <c r="CU165" i="61"/>
  <c r="CV165" i="61"/>
  <c r="CP165" i="61"/>
  <c r="CQ165" i="61"/>
  <c r="CD165" i="61"/>
  <c r="BY165" i="61" s="1"/>
  <c r="CR165" i="61" s="1"/>
  <c r="CS165" i="61"/>
  <c r="CU164" i="61"/>
  <c r="CV164" i="61"/>
  <c r="CQ164" i="61"/>
  <c r="CP164" i="61"/>
  <c r="CS164" i="61"/>
  <c r="CD164" i="61"/>
  <c r="BY164" i="61" s="1"/>
  <c r="CR164" i="61" s="1"/>
  <c r="CU163" i="61"/>
  <c r="CV163" i="61"/>
  <c r="CP163" i="61"/>
  <c r="CQ163" i="61"/>
  <c r="CS163" i="61"/>
  <c r="CD163" i="61"/>
  <c r="BY163" i="61" s="1"/>
  <c r="CR163" i="61" s="1"/>
  <c r="CU162" i="61"/>
  <c r="CV162" i="61"/>
  <c r="CQ162" i="61"/>
  <c r="CP162" i="61"/>
  <c r="CS162" i="61"/>
  <c r="CD162" i="61"/>
  <c r="BY162" i="61" s="1"/>
  <c r="CR162" i="61" s="1"/>
  <c r="CV161" i="61"/>
  <c r="CU161" i="61"/>
  <c r="CQ161" i="61"/>
  <c r="CP161" i="61"/>
  <c r="CD161" i="61"/>
  <c r="BY161" i="61" s="1"/>
  <c r="CR161" i="61" s="1"/>
  <c r="CS161" i="61"/>
  <c r="CV160" i="61"/>
  <c r="CU160" i="61"/>
  <c r="CP160" i="61"/>
  <c r="CQ160" i="61"/>
  <c r="CD160" i="61"/>
  <c r="BY160" i="61" s="1"/>
  <c r="CR160" i="61" s="1"/>
  <c r="CS160" i="61"/>
  <c r="CU159" i="61"/>
  <c r="CV159" i="61"/>
  <c r="CP159" i="61"/>
  <c r="CQ159" i="61"/>
  <c r="CS159" i="61"/>
  <c r="CD159" i="61"/>
  <c r="BY159" i="61" s="1"/>
  <c r="CR159" i="61" s="1"/>
  <c r="CU158" i="61"/>
  <c r="CV158" i="61"/>
  <c r="CP158" i="61"/>
  <c r="CQ158" i="61"/>
  <c r="CS158" i="61"/>
  <c r="CD158" i="61"/>
  <c r="BY158" i="61" s="1"/>
  <c r="CR158" i="61" s="1"/>
  <c r="CU157" i="61"/>
  <c r="CV157" i="61"/>
  <c r="CP157" i="61"/>
  <c r="CQ157" i="61"/>
  <c r="CS157" i="61"/>
  <c r="CD157" i="61"/>
  <c r="BY157" i="61" s="1"/>
  <c r="CR157" i="61" s="1"/>
  <c r="CU172" i="61"/>
  <c r="CV172" i="61"/>
  <c r="CQ172" i="61"/>
  <c r="CP172" i="61"/>
  <c r="CS172" i="61"/>
  <c r="CD172" i="61"/>
  <c r="BY172" i="61" s="1"/>
  <c r="CR172" i="61" s="1"/>
  <c r="CV171" i="61"/>
  <c r="CU171" i="61"/>
  <c r="CP171" i="61"/>
  <c r="CQ171" i="61"/>
  <c r="CS171" i="61"/>
  <c r="CD171" i="61"/>
  <c r="BY171" i="61" s="1"/>
  <c r="CR171" i="61" s="1"/>
  <c r="CU170" i="61"/>
  <c r="CV170" i="61"/>
  <c r="CP170" i="61"/>
  <c r="CQ170" i="61"/>
  <c r="CS170" i="61"/>
  <c r="CD170" i="61"/>
  <c r="BY170" i="61" s="1"/>
  <c r="CR170" i="61" s="1"/>
  <c r="CU169" i="61"/>
  <c r="CV169" i="61"/>
  <c r="CP169" i="61"/>
  <c r="CQ169" i="61"/>
  <c r="CD169" i="61"/>
  <c r="BY169" i="61" s="1"/>
  <c r="CR169" i="61" s="1"/>
  <c r="CS169" i="61"/>
  <c r="CV152" i="61"/>
  <c r="CU152" i="61"/>
  <c r="CP152" i="61"/>
  <c r="CQ152" i="61"/>
  <c r="CD152" i="61"/>
  <c r="BY152" i="61" s="1"/>
  <c r="CR152" i="61" s="1"/>
  <c r="CS152" i="61"/>
  <c r="CU151" i="61"/>
  <c r="CV151" i="61"/>
  <c r="CQ151" i="61"/>
  <c r="CP151" i="61"/>
  <c r="CD151" i="61"/>
  <c r="BY151" i="61" s="1"/>
  <c r="CR151" i="61" s="1"/>
  <c r="CS151" i="61"/>
  <c r="CV150" i="61"/>
  <c r="CU150" i="61"/>
  <c r="CP150" i="61"/>
  <c r="CQ150" i="61"/>
  <c r="CS150" i="61"/>
  <c r="CD150" i="61"/>
  <c r="BY150" i="61" s="1"/>
  <c r="CR150" i="61" s="1"/>
  <c r="CV149" i="61"/>
  <c r="CU149" i="61"/>
  <c r="CP149" i="61"/>
  <c r="CQ149" i="61"/>
  <c r="CD149" i="61"/>
  <c r="BY149" i="61" s="1"/>
  <c r="CR149" i="61" s="1"/>
  <c r="CS149" i="61"/>
  <c r="CV148" i="61"/>
  <c r="CU148" i="61"/>
  <c r="CP148" i="61"/>
  <c r="CQ148" i="61"/>
  <c r="CS148" i="61"/>
  <c r="CD148" i="61"/>
  <c r="BY148" i="61" s="1"/>
  <c r="CR148" i="61" s="1"/>
  <c r="CV147" i="61"/>
  <c r="CU147" i="61"/>
  <c r="CQ147" i="61"/>
  <c r="CP147" i="61"/>
  <c r="CS147" i="61"/>
  <c r="CD147" i="61"/>
  <c r="BY147" i="61" s="1"/>
  <c r="CR147" i="61" s="1"/>
  <c r="CU146" i="61"/>
  <c r="CV146" i="61"/>
  <c r="CP146" i="61"/>
  <c r="CQ146" i="61"/>
  <c r="CD146" i="61"/>
  <c r="BY146" i="61" s="1"/>
  <c r="CR146" i="61" s="1"/>
  <c r="CS146" i="61"/>
  <c r="CU145" i="61"/>
  <c r="CV145" i="61"/>
  <c r="CP145" i="61"/>
  <c r="CQ145" i="61"/>
  <c r="CS145" i="61"/>
  <c r="CD145" i="61"/>
  <c r="BY145" i="61" s="1"/>
  <c r="CR145" i="61" s="1"/>
  <c r="CU144" i="61"/>
  <c r="CV144" i="61"/>
  <c r="CP144" i="61"/>
  <c r="CQ144" i="61"/>
  <c r="CD144" i="61"/>
  <c r="BY144" i="61" s="1"/>
  <c r="CR144" i="61" s="1"/>
  <c r="CS144" i="61"/>
  <c r="CV143" i="61"/>
  <c r="CU143" i="61"/>
  <c r="CQ143" i="61"/>
  <c r="CP143" i="61"/>
  <c r="CS143" i="61"/>
  <c r="CD143" i="61"/>
  <c r="BY143" i="61" s="1"/>
  <c r="CR143" i="61" s="1"/>
  <c r="CU142" i="61"/>
  <c r="CV142" i="61"/>
  <c r="CQ142" i="61"/>
  <c r="CP142" i="61"/>
  <c r="CD142" i="61"/>
  <c r="BY142" i="61" s="1"/>
  <c r="CR142" i="61" s="1"/>
  <c r="CS142" i="61"/>
  <c r="CU141" i="61"/>
  <c r="CV141" i="61"/>
  <c r="CP141" i="61"/>
  <c r="CQ141" i="61"/>
  <c r="CS141" i="61"/>
  <c r="CD141" i="61"/>
  <c r="BY141" i="61" s="1"/>
  <c r="CR141" i="61" s="1"/>
  <c r="CV140" i="61"/>
  <c r="CU140" i="61"/>
  <c r="CP140" i="61"/>
  <c r="CQ140" i="61"/>
  <c r="CS140" i="61"/>
  <c r="CD140" i="61"/>
  <c r="BY140" i="61" s="1"/>
  <c r="CR140" i="61" s="1"/>
  <c r="CV138" i="61"/>
  <c r="CU138" i="61"/>
  <c r="CP138" i="61"/>
  <c r="CQ138" i="61"/>
  <c r="CS138" i="61"/>
  <c r="CD138" i="61"/>
  <c r="BY138" i="61" s="1"/>
  <c r="CR138" i="61" s="1"/>
  <c r="CS121" i="61"/>
  <c r="CQ121" i="61"/>
  <c r="CV121" i="61"/>
  <c r="CD121" i="61"/>
  <c r="BY121" i="61" s="1"/>
  <c r="CR121" i="61"/>
  <c r="CP121" i="61"/>
  <c r="CU121" i="61"/>
  <c r="CV180" i="61"/>
  <c r="CU180" i="61"/>
  <c r="CQ180" i="61"/>
  <c r="CP180" i="61"/>
  <c r="CS180" i="61"/>
  <c r="CD180" i="61"/>
  <c r="BY180" i="61" s="1"/>
  <c r="CR180" i="61" s="1"/>
  <c r="CU178" i="61"/>
  <c r="CV178" i="61"/>
  <c r="CP178" i="61"/>
  <c r="CQ178" i="61"/>
  <c r="CS178" i="61"/>
  <c r="CD178" i="61"/>
  <c r="BY178" i="61" s="1"/>
  <c r="CR178" i="61" s="1"/>
  <c r="CV176" i="61"/>
  <c r="CU176" i="61"/>
  <c r="CQ176" i="61"/>
  <c r="CP176" i="61"/>
  <c r="CS176" i="61"/>
  <c r="CD176" i="61"/>
  <c r="BY176" i="61" s="1"/>
  <c r="CR176" i="61" s="1"/>
  <c r="CU175" i="61"/>
  <c r="CV175" i="61"/>
  <c r="CP175" i="61"/>
  <c r="CQ175" i="61"/>
  <c r="CS175" i="61"/>
  <c r="CD175" i="61"/>
  <c r="BY175" i="61" s="1"/>
  <c r="CR175" i="61" s="1"/>
  <c r="CV173" i="61"/>
  <c r="CU173" i="61"/>
  <c r="CP173" i="61"/>
  <c r="CQ173" i="61"/>
  <c r="CS173" i="61"/>
  <c r="CD173" i="61"/>
  <c r="BY173" i="61" s="1"/>
  <c r="CR173" i="61" s="1"/>
  <c r="CU156" i="61"/>
  <c r="CV156" i="61"/>
  <c r="CP156" i="61"/>
  <c r="CQ156" i="61"/>
  <c r="CS156" i="61"/>
  <c r="CD156" i="61"/>
  <c r="BY156" i="61" s="1"/>
  <c r="CR156" i="61" s="1"/>
  <c r="CV155" i="61"/>
  <c r="CU155" i="61"/>
  <c r="CQ155" i="61"/>
  <c r="CP155" i="61"/>
  <c r="CS155" i="61"/>
  <c r="CD155" i="61"/>
  <c r="BY155" i="61" s="1"/>
  <c r="CR155" i="61" s="1"/>
  <c r="CU154" i="61"/>
  <c r="CV154" i="61"/>
  <c r="CP154" i="61"/>
  <c r="CQ154" i="61"/>
  <c r="CS154" i="61"/>
  <c r="CD154" i="61"/>
  <c r="BY154" i="61" s="1"/>
  <c r="CR154" i="61" s="1"/>
  <c r="CU153" i="61"/>
  <c r="CV153" i="61"/>
  <c r="CQ153" i="61"/>
  <c r="CP153" i="61"/>
  <c r="CS153" i="61"/>
  <c r="CD153" i="61"/>
  <c r="BY153" i="61" s="1"/>
  <c r="CR153" i="61" s="1"/>
  <c r="CU136" i="61"/>
  <c r="CV136" i="61"/>
  <c r="CQ136" i="61"/>
  <c r="CP136" i="61"/>
  <c r="CS136" i="61"/>
  <c r="CD136" i="61"/>
  <c r="BY136" i="61" s="1"/>
  <c r="CR136" i="61" s="1"/>
  <c r="CV135" i="61"/>
  <c r="CU135" i="61"/>
  <c r="CP135" i="61"/>
  <c r="CQ135" i="61"/>
  <c r="CS135" i="61"/>
  <c r="CD135" i="61"/>
  <c r="BY135" i="61" s="1"/>
  <c r="CR135" i="61" s="1"/>
  <c r="CU134" i="61"/>
  <c r="CV134" i="61"/>
  <c r="CQ134" i="61"/>
  <c r="CP134" i="61"/>
  <c r="CS134" i="61"/>
  <c r="CD134" i="61"/>
  <c r="BY134" i="61" s="1"/>
  <c r="CR134" i="61" s="1"/>
  <c r="CU133" i="61"/>
  <c r="CV133" i="61"/>
  <c r="CP133" i="61"/>
  <c r="CQ133" i="61"/>
  <c r="CS133" i="61"/>
  <c r="CD133" i="61"/>
  <c r="BY133" i="61" s="1"/>
  <c r="CR133" i="61" s="1"/>
  <c r="CV132" i="61"/>
  <c r="CU132" i="61"/>
  <c r="CP132" i="61"/>
  <c r="CQ132" i="61"/>
  <c r="CS132" i="61"/>
  <c r="CD132" i="61"/>
  <c r="BY132" i="61" s="1"/>
  <c r="CR132" i="61" s="1"/>
  <c r="CU131" i="61"/>
  <c r="CV131" i="61"/>
  <c r="CQ131" i="61"/>
  <c r="CP131" i="61"/>
  <c r="CS131" i="61"/>
  <c r="CD131" i="61"/>
  <c r="BY131" i="61" s="1"/>
  <c r="CR131" i="61" s="1"/>
  <c r="CV130" i="61"/>
  <c r="CU130" i="61"/>
  <c r="CQ130" i="61"/>
  <c r="CP130" i="61"/>
  <c r="CS130" i="61"/>
  <c r="CD130" i="61"/>
  <c r="BY130" i="61" s="1"/>
  <c r="CR130" i="61" s="1"/>
  <c r="CV129" i="61"/>
  <c r="CU129" i="61"/>
  <c r="CP129" i="61"/>
  <c r="CQ129" i="61"/>
  <c r="CS129" i="61"/>
  <c r="CD129" i="61"/>
  <c r="BY129" i="61" s="1"/>
  <c r="CR129" i="61" s="1"/>
  <c r="CU128" i="61"/>
  <c r="CV128" i="61"/>
  <c r="CQ128" i="61"/>
  <c r="CP128" i="61"/>
  <c r="CS128" i="61"/>
  <c r="CD128" i="61"/>
  <c r="BY128" i="61" s="1"/>
  <c r="CR128" i="61" s="1"/>
  <c r="CV127" i="61"/>
  <c r="CU127" i="61"/>
  <c r="CQ127" i="61"/>
  <c r="CP127" i="61"/>
  <c r="CS127" i="61"/>
  <c r="CD127" i="61"/>
  <c r="BY127" i="61" s="1"/>
  <c r="CR127" i="61" s="1"/>
  <c r="CU126" i="61"/>
  <c r="CV126" i="61"/>
  <c r="CQ126" i="61"/>
  <c r="CP126" i="61"/>
  <c r="CS126" i="61"/>
  <c r="CD126" i="61"/>
  <c r="BY126" i="61" s="1"/>
  <c r="CR126" i="61" s="1"/>
  <c r="CU125" i="61"/>
  <c r="CV125" i="61"/>
  <c r="CP125" i="61"/>
  <c r="CQ125" i="61"/>
  <c r="CS125" i="61"/>
  <c r="CD125" i="61"/>
  <c r="BY125" i="61" s="1"/>
  <c r="CR125" i="61" s="1"/>
  <c r="C11" i="56"/>
  <c r="F11" i="56" s="1"/>
  <c r="H11" i="56" s="1"/>
  <c r="K11" i="56" s="1"/>
  <c r="C7" i="56"/>
  <c r="F7" i="56" s="1"/>
  <c r="H7" i="56" s="1"/>
  <c r="K7" i="56" s="1"/>
  <c r="R13" i="58"/>
  <c r="T33" i="40"/>
  <c r="T35" i="40" s="1"/>
  <c r="P12" i="58"/>
  <c r="N33" i="40"/>
  <c r="N35" i="40" s="1"/>
  <c r="N39" i="40" s="1"/>
  <c r="S11" i="58"/>
  <c r="R11" i="58"/>
  <c r="I33" i="40"/>
  <c r="I35" i="40" s="1"/>
  <c r="I39" i="40" s="1"/>
  <c r="G33" i="40"/>
  <c r="G35" i="40" s="1"/>
  <c r="G39" i="40" s="1"/>
  <c r="O33" i="40"/>
  <c r="O35" i="40" s="1"/>
  <c r="O39" i="40" s="1"/>
  <c r="J33" i="40"/>
  <c r="J35" i="40" s="1"/>
  <c r="J39" i="40" s="1"/>
  <c r="H33" i="40"/>
  <c r="H35" i="40" s="1"/>
  <c r="H39" i="40" s="1"/>
  <c r="F33" i="40"/>
  <c r="F35" i="40" s="1"/>
  <c r="F39" i="40" s="1"/>
  <c r="K33" i="40"/>
  <c r="K35" i="40" s="1"/>
  <c r="K39" i="40" s="1"/>
  <c r="R33" i="40"/>
  <c r="R35" i="40" s="1"/>
  <c r="C31" i="58" s="1"/>
  <c r="U33" i="40"/>
  <c r="U35" i="40" s="1"/>
  <c r="Q33" i="40"/>
  <c r="Q35" i="40" s="1"/>
  <c r="L7" i="57" s="1"/>
  <c r="S9" i="58"/>
  <c r="Q8" i="58"/>
  <c r="P11" i="58"/>
  <c r="Q12" i="58"/>
  <c r="Q14" i="58"/>
  <c r="P14" i="58"/>
  <c r="Q11" i="58"/>
  <c r="Q13" i="58"/>
  <c r="P13" i="58"/>
  <c r="P8" i="58"/>
  <c r="R12" i="58"/>
  <c r="S12" i="58"/>
  <c r="W33" i="40"/>
  <c r="W35" i="40" s="1"/>
  <c r="W39" i="40" s="1"/>
  <c r="R14" i="58"/>
  <c r="R8" i="58"/>
  <c r="S13" i="58"/>
  <c r="S14" i="58"/>
  <c r="S8" i="58"/>
  <c r="R9" i="58"/>
  <c r="M33" i="40"/>
  <c r="M35" i="40" s="1"/>
  <c r="M39" i="40" s="1"/>
  <c r="V33" i="40"/>
  <c r="V35" i="40" s="1"/>
  <c r="L25" i="57" s="1"/>
  <c r="D7" i="58"/>
  <c r="L62" i="40"/>
  <c r="E7" i="58"/>
  <c r="I62" i="40"/>
  <c r="U11" i="58" l="1"/>
  <c r="T8" i="58"/>
  <c r="U8" i="58"/>
  <c r="U14" i="58"/>
  <c r="U13" i="58"/>
  <c r="U12" i="58"/>
  <c r="E25" i="58" a="1"/>
  <c r="E25" i="58" s="1"/>
  <c r="E21" i="58" a="1"/>
  <c r="E21" i="58" s="1"/>
  <c r="T13" i="58"/>
  <c r="T11" i="58"/>
  <c r="T14" i="58"/>
  <c r="T12" i="58"/>
  <c r="C32" i="56"/>
  <c r="C6" i="61" s="1"/>
  <c r="F32" i="56"/>
  <c r="M7" i="57"/>
  <c r="Q7" i="57" s="1"/>
  <c r="M8" i="57"/>
  <c r="Q8" i="57" s="1"/>
  <c r="M9" i="57"/>
  <c r="M18" i="57"/>
  <c r="M16" i="57"/>
  <c r="Q16" i="57" s="1"/>
  <c r="M17" i="57"/>
  <c r="Q17" i="57" s="1"/>
  <c r="Q10" i="58" s="1"/>
  <c r="L17" i="57"/>
  <c r="P17" i="57" s="1"/>
  <c r="P10" i="58" s="1"/>
  <c r="L16" i="57"/>
  <c r="P16" i="57" s="1"/>
  <c r="L18" i="57"/>
  <c r="N18" i="57" s="1"/>
  <c r="L8" i="57"/>
  <c r="P8" i="57" s="1"/>
  <c r="P7" i="57"/>
  <c r="L9" i="57"/>
  <c r="N9" i="57" s="1"/>
  <c r="T39" i="40"/>
  <c r="K7" i="58"/>
  <c r="C35" i="58"/>
  <c r="M25" i="57"/>
  <c r="Q25" i="57" s="1"/>
  <c r="M27" i="57"/>
  <c r="M26" i="57"/>
  <c r="Q26" i="57" s="1"/>
  <c r="S10" i="58" s="1"/>
  <c r="H7" i="58"/>
  <c r="Q39" i="40"/>
  <c r="F7" i="58"/>
  <c r="C33" i="58"/>
  <c r="J7" i="58"/>
  <c r="I7" i="58"/>
  <c r="U39" i="40"/>
  <c r="G7" i="58"/>
  <c r="R39" i="40"/>
  <c r="C23" i="56"/>
  <c r="L27" i="57"/>
  <c r="L26" i="57"/>
  <c r="G22" i="58"/>
  <c r="C40" i="58"/>
  <c r="E22" i="58"/>
  <c r="U10" i="58" l="1"/>
  <c r="D21" i="58"/>
  <c r="D25" i="58"/>
  <c r="K22" i="58"/>
  <c r="J22" i="58" s="1"/>
  <c r="C55" i="58" s="1"/>
  <c r="K25" i="58" a="1"/>
  <c r="K25" i="58" s="1"/>
  <c r="J25" i="58" s="1"/>
  <c r="C67" i="58" s="1"/>
  <c r="K21" i="58" a="1"/>
  <c r="K21" i="58" s="1"/>
  <c r="J21" i="58" s="1"/>
  <c r="C41" i="58"/>
  <c r="G25" i="58" a="1"/>
  <c r="G25" i="58" s="1"/>
  <c r="F25" i="58" s="1"/>
  <c r="C65" i="58" s="1"/>
  <c r="G21" i="58" a="1"/>
  <c r="G21" i="58" s="1"/>
  <c r="F21" i="58" s="1"/>
  <c r="D22" i="58"/>
  <c r="I22" i="58"/>
  <c r="H22" i="58" s="1"/>
  <c r="C54" i="58" s="1"/>
  <c r="I25" i="58" a="1"/>
  <c r="I25" i="58" s="1"/>
  <c r="H25" i="58" s="1"/>
  <c r="C66" i="58" s="1"/>
  <c r="I21" i="58" a="1"/>
  <c r="I21" i="58" s="1"/>
  <c r="H21" i="58" s="1"/>
  <c r="Q7" i="58"/>
  <c r="Q9" i="58"/>
  <c r="U9" i="58" s="1"/>
  <c r="P7" i="58"/>
  <c r="P9" i="58"/>
  <c r="T9" i="58" s="1"/>
  <c r="E7" i="61"/>
  <c r="H32" i="56"/>
  <c r="G6" i="61" s="1"/>
  <c r="M70" i="61" s="1"/>
  <c r="CT121" i="61" s="1"/>
  <c r="N17" i="57"/>
  <c r="L19" i="57"/>
  <c r="P19" i="57"/>
  <c r="N16" i="57"/>
  <c r="C43" i="58"/>
  <c r="C42" i="58"/>
  <c r="O7" i="58"/>
  <c r="S7" i="58"/>
  <c r="M19" i="57"/>
  <c r="N7" i="57"/>
  <c r="M28" i="57"/>
  <c r="N27" i="57"/>
  <c r="P10" i="57"/>
  <c r="N7" i="58" s="1"/>
  <c r="L10" i="57"/>
  <c r="N8" i="57"/>
  <c r="H23" i="56"/>
  <c r="L7" i="58" s="1"/>
  <c r="M10" i="57"/>
  <c r="Z23" i="56"/>
  <c r="Y23" i="56"/>
  <c r="P26" i="57"/>
  <c r="R10" i="58" s="1"/>
  <c r="T10" i="58" s="1"/>
  <c r="N26" i="57"/>
  <c r="V23" i="56"/>
  <c r="C37" i="58" s="1"/>
  <c r="U23" i="56"/>
  <c r="M7" i="58"/>
  <c r="L28" i="57"/>
  <c r="P25" i="57"/>
  <c r="N25" i="57"/>
  <c r="X23" i="56"/>
  <c r="C38" i="58" s="1"/>
  <c r="W23" i="56"/>
  <c r="F22" i="58"/>
  <c r="C53" i="58" s="1"/>
  <c r="C44" i="58" l="1"/>
  <c r="M25" i="58" a="1"/>
  <c r="M25" i="58" s="1"/>
  <c r="M21" i="58" a="1"/>
  <c r="M21" i="58" s="1"/>
  <c r="L21" i="58" s="1"/>
  <c r="U7" i="58"/>
  <c r="C64" i="58"/>
  <c r="O25" i="58" a="1"/>
  <c r="O25" i="58" s="1"/>
  <c r="O21" i="58" a="1"/>
  <c r="O21" i="58" s="1"/>
  <c r="N21" i="58" s="1"/>
  <c r="C46" i="58"/>
  <c r="C52" i="58"/>
  <c r="E18" i="61"/>
  <c r="E20" i="61" s="1"/>
  <c r="K70" i="61"/>
  <c r="P15" i="58"/>
  <c r="Q15" i="58"/>
  <c r="E16" i="61"/>
  <c r="B107" i="61" s="1"/>
  <c r="D259" i="61"/>
  <c r="S15" i="58"/>
  <c r="C50" i="58" s="1"/>
  <c r="C47" i="58"/>
  <c r="O22" i="58"/>
  <c r="N22" i="58" s="1"/>
  <c r="C57" i="58" s="1"/>
  <c r="C45" i="58"/>
  <c r="N19" i="57"/>
  <c r="N28" i="57"/>
  <c r="N10" i="57"/>
  <c r="M22" i="58"/>
  <c r="P28" i="57"/>
  <c r="R7" i="58"/>
  <c r="R15" i="58" s="1"/>
  <c r="P70" i="61" l="1"/>
  <c r="DC179" i="61"/>
  <c r="G179" i="61"/>
  <c r="T7" i="58"/>
  <c r="T15" i="58" s="1"/>
  <c r="CB183" i="61"/>
  <c r="D258" i="61" s="1"/>
  <c r="X7" i="61" s="1"/>
  <c r="W32" i="56" s="1"/>
  <c r="CC183" i="61"/>
  <c r="D255" i="61" s="1"/>
  <c r="R7" i="61" s="1"/>
  <c r="S32" i="56" s="1"/>
  <c r="O64" i="61"/>
  <c r="P64" i="61" s="1"/>
  <c r="CD183" i="61"/>
  <c r="D256" i="61" s="1"/>
  <c r="T7" i="61" s="1"/>
  <c r="Y32" i="56" s="1"/>
  <c r="E19" i="61"/>
  <c r="I15" i="61" s="1"/>
  <c r="E23" i="61"/>
  <c r="S21" i="58" a="1"/>
  <c r="S21" i="58" s="1"/>
  <c r="R21" i="58" s="1"/>
  <c r="Q21" i="58" a="1"/>
  <c r="Q21" i="58" s="1"/>
  <c r="S25" i="58" a="1"/>
  <c r="S25" i="58" s="1"/>
  <c r="Q25" i="58" a="1"/>
  <c r="Q25" i="58" s="1"/>
  <c r="CA183" i="61"/>
  <c r="D257" i="61" s="1"/>
  <c r="V7" i="61" s="1"/>
  <c r="U32" i="56" s="1"/>
  <c r="J64" i="61"/>
  <c r="K64" i="61" s="1"/>
  <c r="BZ183" i="61"/>
  <c r="D254" i="61" s="1"/>
  <c r="P7" i="61" s="1"/>
  <c r="Q32" i="56" s="1"/>
  <c r="Q22" i="58"/>
  <c r="P22" i="58" s="1"/>
  <c r="C58" i="58" s="1"/>
  <c r="R70" i="61"/>
  <c r="B103" i="61"/>
  <c r="E21" i="61"/>
  <c r="D105" i="61" s="1"/>
  <c r="B105" i="61"/>
  <c r="B104" i="61"/>
  <c r="B102" i="61"/>
  <c r="C102" i="61" s="1"/>
  <c r="C108" i="61" s="1"/>
  <c r="B106" i="61"/>
  <c r="O66" i="61"/>
  <c r="P66" i="61" s="1"/>
  <c r="E25" i="61"/>
  <c r="J66" i="61"/>
  <c r="K66" i="61" s="1"/>
  <c r="S22" i="58"/>
  <c r="R22" i="58" s="1"/>
  <c r="C59" i="58" s="1"/>
  <c r="N25" i="58"/>
  <c r="L22" i="58"/>
  <c r="C56" i="58" s="1"/>
  <c r="L25" i="58"/>
  <c r="C68" i="58" s="1"/>
  <c r="U15" i="58"/>
  <c r="U21" i="58" l="1"/>
  <c r="U22" i="58"/>
  <c r="C69" i="58"/>
  <c r="U25" i="58"/>
  <c r="T22" i="58"/>
  <c r="O65" i="61"/>
  <c r="P65" i="61" s="1"/>
  <c r="P67" i="61" s="1"/>
  <c r="E24" i="61"/>
  <c r="I18" i="61" s="1"/>
  <c r="J65" i="61"/>
  <c r="K65" i="61" s="1"/>
  <c r="K67" i="61" s="1"/>
  <c r="I13" i="61"/>
  <c r="I14" i="61"/>
  <c r="I16" i="61"/>
  <c r="D260" i="61"/>
  <c r="P21" i="58"/>
  <c r="T21" i="58" s="1"/>
  <c r="P25" i="58"/>
  <c r="C70" i="58" s="1"/>
  <c r="D103" i="61"/>
  <c r="D102" i="61"/>
  <c r="E102" i="61" s="1"/>
  <c r="E108" i="61" s="1"/>
  <c r="D107" i="61"/>
  <c r="I11" i="61"/>
  <c r="D104" i="61"/>
  <c r="D106" i="61"/>
  <c r="R25" i="58"/>
  <c r="C71" i="58" s="1"/>
  <c r="I17" i="61" l="1"/>
  <c r="L64" i="61" s="1"/>
  <c r="M64" i="61" s="1"/>
  <c r="I12" i="61"/>
  <c r="I19" i="61"/>
  <c r="Q66" i="61" s="1"/>
  <c r="R66" i="61" s="1"/>
  <c r="T25" i="58"/>
  <c r="L65" i="61"/>
  <c r="M65" i="61" s="1"/>
  <c r="Q65" i="61"/>
  <c r="R65" i="61" s="1"/>
  <c r="CE121" i="61"/>
  <c r="CK170" i="61"/>
  <c r="CG124" i="61"/>
  <c r="CM124" i="61" s="1"/>
  <c r="K270" i="61" s="1"/>
  <c r="CK158" i="61"/>
  <c r="CK123" i="61"/>
  <c r="CG153" i="61"/>
  <c r="CM153" i="61" s="1"/>
  <c r="K299" i="61" s="1"/>
  <c r="CK163" i="61"/>
  <c r="CJ174" i="61"/>
  <c r="L320" i="61" s="1"/>
  <c r="CG139" i="61"/>
  <c r="CM139" i="61" s="1"/>
  <c r="K285" i="61" s="1"/>
  <c r="CK167" i="61"/>
  <c r="CL138" i="61"/>
  <c r="CX138" i="61" s="1"/>
  <c r="CE176" i="61"/>
  <c r="CK126" i="61"/>
  <c r="CJ169" i="61"/>
  <c r="L315" i="61" s="1"/>
  <c r="CL141" i="61"/>
  <c r="CX141" i="61" s="1"/>
  <c r="CL130" i="61"/>
  <c r="CX130" i="61" s="1"/>
  <c r="CK139" i="61"/>
  <c r="CK124" i="61"/>
  <c r="CG178" i="61"/>
  <c r="CM178" i="61" s="1"/>
  <c r="K324" i="61" s="1"/>
  <c r="CK122" i="61"/>
  <c r="CK135" i="61"/>
  <c r="CG167" i="61"/>
  <c r="CM167" i="61" s="1"/>
  <c r="K313" i="61" s="1"/>
  <c r="CH181" i="61"/>
  <c r="CI181" i="61" s="1"/>
  <c r="CH156" i="61"/>
  <c r="CI156" i="61" s="1"/>
  <c r="CH138" i="61"/>
  <c r="CI138" i="61" s="1"/>
  <c r="CK151" i="61"/>
  <c r="CF157" i="61"/>
  <c r="N303" i="61" s="1"/>
  <c r="CJ125" i="61"/>
  <c r="L271" i="61" s="1"/>
  <c r="CH131" i="61"/>
  <c r="CI131" i="61" s="1"/>
  <c r="CJ161" i="61"/>
  <c r="L307" i="61" s="1"/>
  <c r="CG121" i="61"/>
  <c r="CM121" i="61" s="1"/>
  <c r="K267" i="61" s="1"/>
  <c r="G138" i="61"/>
  <c r="G129" i="61"/>
  <c r="DC136" i="61"/>
  <c r="CJ168" i="61"/>
  <c r="L314" i="61" s="1"/>
  <c r="CE177" i="61"/>
  <c r="CL147" i="61"/>
  <c r="CX147" i="61" s="1"/>
  <c r="CE152" i="61"/>
  <c r="CH176" i="61"/>
  <c r="CI176" i="61" s="1"/>
  <c r="CJ133" i="61"/>
  <c r="L279" i="61" s="1"/>
  <c r="CJ162" i="61"/>
  <c r="L308" i="61" s="1"/>
  <c r="CK168" i="61"/>
  <c r="CH133" i="61"/>
  <c r="CI133" i="61" s="1"/>
  <c r="CH142" i="61"/>
  <c r="CI142" i="61" s="1"/>
  <c r="CJ179" i="61"/>
  <c r="L325" i="61" s="1"/>
  <c r="CG144" i="61"/>
  <c r="CM144" i="61" s="1"/>
  <c r="K290" i="61" s="1"/>
  <c r="CG149" i="61"/>
  <c r="CM149" i="61" s="1"/>
  <c r="K295" i="61" s="1"/>
  <c r="CH139" i="61"/>
  <c r="CI139" i="61" s="1"/>
  <c r="CL180" i="61"/>
  <c r="CX180" i="61" s="1"/>
  <c r="CF139" i="61"/>
  <c r="N285" i="61" s="1"/>
  <c r="CH162" i="61"/>
  <c r="CI162" i="61" s="1"/>
  <c r="CK180" i="61"/>
  <c r="CK181" i="61"/>
  <c r="G144" i="61"/>
  <c r="DC132" i="61"/>
  <c r="CJ144" i="61"/>
  <c r="L290" i="61" s="1"/>
  <c r="CE127" i="61"/>
  <c r="CF176" i="61"/>
  <c r="N322" i="61" s="1"/>
  <c r="CE147" i="61"/>
  <c r="CL152" i="61"/>
  <c r="CX152" i="61" s="1"/>
  <c r="CH161" i="61"/>
  <c r="CI161" i="61" s="1"/>
  <c r="CG146" i="61"/>
  <c r="CM146" i="61" s="1"/>
  <c r="K292" i="61" s="1"/>
  <c r="CE124" i="61"/>
  <c r="CJ136" i="61"/>
  <c r="L282" i="61" s="1"/>
  <c r="CJ126" i="61"/>
  <c r="L272" i="61" s="1"/>
  <c r="CL142" i="61"/>
  <c r="CX142" i="61" s="1"/>
  <c r="CG177" i="61"/>
  <c r="CM177" i="61" s="1"/>
  <c r="K323" i="61" s="1"/>
  <c r="CG152" i="61"/>
  <c r="CM152" i="61" s="1"/>
  <c r="K298" i="61" s="1"/>
  <c r="CK149" i="61"/>
  <c r="CH153" i="61"/>
  <c r="CI153" i="61" s="1"/>
  <c r="CK178" i="61"/>
  <c r="DC123" i="61"/>
  <c r="G134" i="61"/>
  <c r="DC128" i="61"/>
  <c r="CF130" i="61"/>
  <c r="N276" i="61" s="1"/>
  <c r="CE133" i="61"/>
  <c r="CF168" i="61"/>
  <c r="N314" i="61" s="1"/>
  <c r="CE146" i="61"/>
  <c r="CL166" i="61"/>
  <c r="CX166" i="61" s="1"/>
  <c r="CH166" i="61"/>
  <c r="CI166" i="61" s="1"/>
  <c r="CE132" i="61"/>
  <c r="CF161" i="61"/>
  <c r="N307" i="61" s="1"/>
  <c r="CF126" i="61"/>
  <c r="N272" i="61" s="1"/>
  <c r="CF121" i="61"/>
  <c r="N267" i="61" s="1"/>
  <c r="CG175" i="61"/>
  <c r="CM175" i="61" s="1"/>
  <c r="K321" i="61" s="1"/>
  <c r="CK141" i="61"/>
  <c r="CH170" i="61"/>
  <c r="CI170" i="61" s="1"/>
  <c r="CG127" i="61"/>
  <c r="CM127" i="61" s="1"/>
  <c r="K273" i="61" s="1"/>
  <c r="CG137" i="61"/>
  <c r="CM137" i="61" s="1"/>
  <c r="K283" i="61" s="1"/>
  <c r="CK172" i="61"/>
  <c r="CK161" i="61"/>
  <c r="CL143" i="61"/>
  <c r="CX143" i="61" s="1"/>
  <c r="CK153" i="61"/>
  <c r="CG174" i="61"/>
  <c r="CM174" i="61" s="1"/>
  <c r="K320" i="61" s="1"/>
  <c r="CH150" i="61"/>
  <c r="CI150" i="61" s="1"/>
  <c r="CK179" i="61"/>
  <c r="CK175" i="61"/>
  <c r="CF167" i="61"/>
  <c r="N313" i="61" s="1"/>
  <c r="CL155" i="61"/>
  <c r="CX155" i="61" s="1"/>
  <c r="G128" i="61"/>
  <c r="CK162" i="61"/>
  <c r="CK125" i="61"/>
  <c r="CG150" i="61"/>
  <c r="CM150" i="61" s="1"/>
  <c r="K296" i="61" s="1"/>
  <c r="CG136" i="61"/>
  <c r="CM136" i="61" s="1"/>
  <c r="K282" i="61" s="1"/>
  <c r="CK142" i="61"/>
  <c r="CF162" i="61"/>
  <c r="N308" i="61" s="1"/>
  <c r="CF150" i="61"/>
  <c r="N296" i="61" s="1"/>
  <c r="CH121" i="61"/>
  <c r="CI121" i="61" s="1"/>
  <c r="CE158" i="61"/>
  <c r="CF136" i="61"/>
  <c r="N282" i="61" s="1"/>
  <c r="CG151" i="61"/>
  <c r="CM151" i="61" s="1"/>
  <c r="K297" i="61" s="1"/>
  <c r="CJ153" i="61"/>
  <c r="L299" i="61" s="1"/>
  <c r="CL131" i="61"/>
  <c r="CX131" i="61" s="1"/>
  <c r="CE131" i="61"/>
  <c r="DC138" i="61"/>
  <c r="G137" i="61"/>
  <c r="G141" i="61"/>
  <c r="DC141" i="61"/>
  <c r="CJ166" i="61"/>
  <c r="L312" i="61" s="1"/>
  <c r="CJ177" i="61"/>
  <c r="L323" i="61" s="1"/>
  <c r="CF143" i="61"/>
  <c r="N289" i="61" s="1"/>
  <c r="CE144" i="61"/>
  <c r="CL161" i="61"/>
  <c r="CX161" i="61" s="1"/>
  <c r="CF144" i="61"/>
  <c r="N290" i="61" s="1"/>
  <c r="CJ178" i="61"/>
  <c r="L324" i="61" s="1"/>
  <c r="CF132" i="61"/>
  <c r="N278" i="61" s="1"/>
  <c r="CJ123" i="61"/>
  <c r="L269" i="61" s="1"/>
  <c r="CL127" i="61"/>
  <c r="CX127" i="61" s="1"/>
  <c r="CG143" i="61"/>
  <c r="CM143" i="61" s="1"/>
  <c r="K289" i="61" s="1"/>
  <c r="CG130" i="61"/>
  <c r="CM130" i="61" s="1"/>
  <c r="K276" i="61" s="1"/>
  <c r="CF148" i="61"/>
  <c r="N294" i="61" s="1"/>
  <c r="CH164" i="61"/>
  <c r="CI164" i="61" s="1"/>
  <c r="CE140" i="61"/>
  <c r="CE139" i="61"/>
  <c r="CL157" i="61"/>
  <c r="CX157" i="61" s="1"/>
  <c r="DC134" i="61"/>
  <c r="G142" i="61"/>
  <c r="DC146" i="61"/>
  <c r="G133" i="61"/>
  <c r="CJ146" i="61"/>
  <c r="L292" i="61" s="1"/>
  <c r="CE171" i="61"/>
  <c r="CH149" i="61"/>
  <c r="CI149" i="61" s="1"/>
  <c r="CH147" i="61"/>
  <c r="CI147" i="61" s="1"/>
  <c r="CF151" i="61"/>
  <c r="N297" i="61" s="1"/>
  <c r="CF149" i="61"/>
  <c r="N295" i="61" s="1"/>
  <c r="CJ175" i="61"/>
  <c r="L321" i="61" s="1"/>
  <c r="CL159" i="61"/>
  <c r="CX159" i="61" s="1"/>
  <c r="CF124" i="61"/>
  <c r="N270" i="61" s="1"/>
  <c r="CJ150" i="61"/>
  <c r="L296" i="61" s="1"/>
  <c r="CG131" i="61"/>
  <c r="CM131" i="61" s="1"/>
  <c r="K277" i="61" s="1"/>
  <c r="CH124" i="61"/>
  <c r="CI124" i="61" s="1"/>
  <c r="CL132" i="61"/>
  <c r="CX132" i="61" s="1"/>
  <c r="CH173" i="61"/>
  <c r="CI173" i="61" s="1"/>
  <c r="CL126" i="61"/>
  <c r="CX126" i="61" s="1"/>
  <c r="DC130" i="61"/>
  <c r="CK176" i="61"/>
  <c r="G132" i="61"/>
  <c r="G131" i="61"/>
  <c r="CJ160" i="61"/>
  <c r="L306" i="61" s="1"/>
  <c r="CE135" i="61"/>
  <c r="CH151" i="61"/>
  <c r="CI151" i="61" s="1"/>
  <c r="CL146" i="61"/>
  <c r="CX146" i="61" s="1"/>
  <c r="CF147" i="61"/>
  <c r="N293" i="61" s="1"/>
  <c r="CE160" i="61"/>
  <c r="CJ141" i="61"/>
  <c r="L287" i="61" s="1"/>
  <c r="CF122" i="61"/>
  <c r="CE125" i="61"/>
  <c r="CJ134" i="61"/>
  <c r="L280" i="61" s="1"/>
  <c r="CL178" i="61"/>
  <c r="CX178" i="61" s="1"/>
  <c r="CH126" i="61"/>
  <c r="CI126" i="61" s="1"/>
  <c r="CK164" i="61"/>
  <c r="CE148" i="61"/>
  <c r="CF170" i="61"/>
  <c r="N316" i="61" s="1"/>
  <c r="CE142" i="61"/>
  <c r="CK157" i="61"/>
  <c r="CF134" i="61"/>
  <c r="N280" i="61" s="1"/>
  <c r="CG154" i="61"/>
  <c r="CM154" i="61" s="1"/>
  <c r="K300" i="61" s="1"/>
  <c r="CK134" i="61"/>
  <c r="CG172" i="61"/>
  <c r="CM172" i="61" s="1"/>
  <c r="K318" i="61" s="1"/>
  <c r="CH174" i="61"/>
  <c r="CI174" i="61" s="1"/>
  <c r="CH137" i="61"/>
  <c r="CI137" i="61" s="1"/>
  <c r="CE167" i="61"/>
  <c r="CH177" i="61"/>
  <c r="CI177" i="61" s="1"/>
  <c r="DC122" i="61"/>
  <c r="G143" i="61"/>
  <c r="CJ130" i="61"/>
  <c r="L276" i="61" s="1"/>
  <c r="CL171" i="61"/>
  <c r="CX171" i="61" s="1"/>
  <c r="CF177" i="61"/>
  <c r="N323" i="61" s="1"/>
  <c r="CJ148" i="61"/>
  <c r="L294" i="61" s="1"/>
  <c r="CE126" i="61"/>
  <c r="CL156" i="61"/>
  <c r="CX156" i="61" s="1"/>
  <c r="CE150" i="61"/>
  <c r="CL140" i="61"/>
  <c r="CX140" i="61" s="1"/>
  <c r="CL179" i="61"/>
  <c r="CX179" i="61" s="1"/>
  <c r="DC137" i="61"/>
  <c r="DC131" i="61"/>
  <c r="CL129" i="61"/>
  <c r="CX129" i="61" s="1"/>
  <c r="CJ135" i="61"/>
  <c r="L281" i="61" s="1"/>
  <c r="CE161" i="61"/>
  <c r="CJ164" i="61"/>
  <c r="L310" i="61" s="1"/>
  <c r="CJ180" i="61"/>
  <c r="L326" i="61" s="1"/>
  <c r="CH136" i="61"/>
  <c r="CI136" i="61" s="1"/>
  <c r="CL172" i="61"/>
  <c r="CX172" i="61" s="1"/>
  <c r="G125" i="61"/>
  <c r="DC135" i="61"/>
  <c r="CJ152" i="61"/>
  <c r="L298" i="61" s="1"/>
  <c r="CH163" i="61"/>
  <c r="CI163" i="61" s="1"/>
  <c r="CL160" i="61"/>
  <c r="CX160" i="61" s="1"/>
  <c r="CF180" i="61"/>
  <c r="N326" i="61" s="1"/>
  <c r="CH127" i="61"/>
  <c r="CI127" i="61" s="1"/>
  <c r="CJ124" i="61"/>
  <c r="L270" i="61" s="1"/>
  <c r="CL148" i="61"/>
  <c r="CX148" i="61" s="1"/>
  <c r="CJ158" i="61"/>
  <c r="L304" i="61" s="1"/>
  <c r="CK152" i="61"/>
  <c r="CL137" i="61"/>
  <c r="CX137" i="61" s="1"/>
  <c r="CF141" i="61"/>
  <c r="N287" i="61" s="1"/>
  <c r="CL123" i="61"/>
  <c r="CX123" i="61" s="1"/>
  <c r="CF145" i="61"/>
  <c r="N291" i="61" s="1"/>
  <c r="CG141" i="61"/>
  <c r="CM141" i="61" s="1"/>
  <c r="K287" i="61" s="1"/>
  <c r="CG164" i="61"/>
  <c r="CM164" i="61" s="1"/>
  <c r="K310" i="61" s="1"/>
  <c r="CK155" i="61"/>
  <c r="CG140" i="61"/>
  <c r="CM140" i="61" s="1"/>
  <c r="K286" i="61" s="1"/>
  <c r="CG179" i="61"/>
  <c r="CM179" i="61" s="1"/>
  <c r="K325" i="61" s="1"/>
  <c r="CF173" i="61"/>
  <c r="N319" i="61" s="1"/>
  <c r="CH157" i="61"/>
  <c r="CI157" i="61" s="1"/>
  <c r="CE154" i="61"/>
  <c r="CH167" i="61"/>
  <c r="CI167" i="61" s="1"/>
  <c r="CE162" i="61"/>
  <c r="CK171" i="61"/>
  <c r="CJ138" i="61"/>
  <c r="L284" i="61" s="1"/>
  <c r="CH130" i="61"/>
  <c r="CI130" i="61" s="1"/>
  <c r="G122" i="61"/>
  <c r="CK136" i="61"/>
  <c r="CG162" i="61"/>
  <c r="CM162" i="61" s="1"/>
  <c r="K308" i="61" s="1"/>
  <c r="CG155" i="61"/>
  <c r="CM155" i="61" s="1"/>
  <c r="K301" i="61" s="1"/>
  <c r="CK127" i="61"/>
  <c r="CK174" i="61"/>
  <c r="CH179" i="61"/>
  <c r="CI179" i="61" s="1"/>
  <c r="CE155" i="61"/>
  <c r="CE175" i="61"/>
  <c r="CE172" i="61"/>
  <c r="CJ167" i="61"/>
  <c r="L313" i="61" s="1"/>
  <c r="CF160" i="61"/>
  <c r="N306" i="61" s="1"/>
  <c r="CE143" i="61"/>
  <c r="DC124" i="61"/>
  <c r="F113" i="61"/>
  <c r="DB179" i="61" s="1"/>
  <c r="CL139" i="61"/>
  <c r="CX139" i="61" s="1"/>
  <c r="CF164" i="61"/>
  <c r="N310" i="61" s="1"/>
  <c r="CL167" i="61"/>
  <c r="CX167" i="61" s="1"/>
  <c r="CL158" i="61"/>
  <c r="CX158" i="61" s="1"/>
  <c r="CF175" i="61"/>
  <c r="N321" i="61" s="1"/>
  <c r="CH132" i="61"/>
  <c r="CI132" i="61" s="1"/>
  <c r="CH152" i="61"/>
  <c r="CI152" i="61" s="1"/>
  <c r="CG126" i="61"/>
  <c r="CM126" i="61" s="1"/>
  <c r="K272" i="61" s="1"/>
  <c r="CF142" i="61"/>
  <c r="N288" i="61" s="1"/>
  <c r="CG125" i="61"/>
  <c r="CM125" i="61" s="1"/>
  <c r="K271" i="61" s="1"/>
  <c r="CE122" i="61"/>
  <c r="CG158" i="61"/>
  <c r="CM158" i="61" s="1"/>
  <c r="K304" i="61" s="1"/>
  <c r="CE123" i="61"/>
  <c r="CG138" i="61"/>
  <c r="CM138" i="61" s="1"/>
  <c r="K284" i="61" s="1"/>
  <c r="CK150" i="61"/>
  <c r="CG159" i="61"/>
  <c r="CM159" i="61" s="1"/>
  <c r="K305" i="61" s="1"/>
  <c r="CL125" i="61"/>
  <c r="CX125" i="61" s="1"/>
  <c r="CH122" i="61"/>
  <c r="CJ132" i="61"/>
  <c r="L278" i="61" s="1"/>
  <c r="CH146" i="61"/>
  <c r="CI146" i="61" s="1"/>
  <c r="G130" i="61"/>
  <c r="G146" i="61"/>
  <c r="CF131" i="61"/>
  <c r="N277" i="61" s="1"/>
  <c r="CF146" i="61"/>
  <c r="N292" i="61" s="1"/>
  <c r="CH144" i="61"/>
  <c r="CI144" i="61" s="1"/>
  <c r="CE128" i="61"/>
  <c r="CJ154" i="61"/>
  <c r="L300" i="61" s="1"/>
  <c r="CG171" i="61"/>
  <c r="CM171" i="61" s="1"/>
  <c r="K317" i="61" s="1"/>
  <c r="CK143" i="61"/>
  <c r="CF138" i="61"/>
  <c r="N284" i="61" s="1"/>
  <c r="CL150" i="61"/>
  <c r="CX150" i="61" s="1"/>
  <c r="DC121" i="61"/>
  <c r="CE129" i="61"/>
  <c r="CE166" i="61"/>
  <c r="CF127" i="61"/>
  <c r="N273" i="61" s="1"/>
  <c r="CF133" i="61"/>
  <c r="N279" i="61" s="1"/>
  <c r="CJ181" i="61"/>
  <c r="L327" i="61" s="1"/>
  <c r="CJ128" i="61"/>
  <c r="L274" i="61" s="1"/>
  <c r="CG160" i="61"/>
  <c r="CM160" i="61" s="1"/>
  <c r="K306" i="61" s="1"/>
  <c r="CH141" i="61"/>
  <c r="CI141" i="61" s="1"/>
  <c r="G139" i="61"/>
  <c r="G135" i="61"/>
  <c r="CJ151" i="61"/>
  <c r="L297" i="61" s="1"/>
  <c r="CG168" i="61"/>
  <c r="CM168" i="61" s="1"/>
  <c r="K314" i="61" s="1"/>
  <c r="CL176" i="61"/>
  <c r="CX176" i="61" s="1"/>
  <c r="CL133" i="61"/>
  <c r="CX133" i="61" s="1"/>
  <c r="CE180" i="61"/>
  <c r="CH175" i="61"/>
  <c r="CI175" i="61" s="1"/>
  <c r="CG129" i="61"/>
  <c r="CM129" i="61" s="1"/>
  <c r="K275" i="61" s="1"/>
  <c r="CG176" i="61"/>
  <c r="CM176" i="61" s="1"/>
  <c r="K322" i="61" s="1"/>
  <c r="CH128" i="61"/>
  <c r="CI128" i="61" s="1"/>
  <c r="CE164" i="61"/>
  <c r="CE156" i="61"/>
  <c r="CH134" i="61"/>
  <c r="CI134" i="61" s="1"/>
  <c r="CK169" i="61"/>
  <c r="CK121" i="61"/>
  <c r="CG156" i="61"/>
  <c r="CM156" i="61" s="1"/>
  <c r="K302" i="61" s="1"/>
  <c r="CK138" i="61"/>
  <c r="CK133" i="61"/>
  <c r="CG133" i="61"/>
  <c r="CM133" i="61" s="1"/>
  <c r="K279" i="61" s="1"/>
  <c r="CF165" i="61"/>
  <c r="N311" i="61" s="1"/>
  <c r="CH145" i="61"/>
  <c r="CI145" i="61" s="1"/>
  <c r="CE173" i="61"/>
  <c r="CL145" i="61"/>
  <c r="CX145" i="61" s="1"/>
  <c r="CJ170" i="61"/>
  <c r="L316" i="61" s="1"/>
  <c r="CF125" i="61"/>
  <c r="N271" i="61" s="1"/>
  <c r="CE149" i="61"/>
  <c r="CJ143" i="61"/>
  <c r="L289" i="61" s="1"/>
  <c r="CK177" i="61"/>
  <c r="CF169" i="61"/>
  <c r="N315" i="61" s="1"/>
  <c r="CK145" i="61"/>
  <c r="CL169" i="61"/>
  <c r="CX169" i="61" s="1"/>
  <c r="CG157" i="61"/>
  <c r="CM157" i="61" s="1"/>
  <c r="K303" i="61" s="1"/>
  <c r="CF179" i="61"/>
  <c r="N325" i="61" s="1"/>
  <c r="CL181" i="61"/>
  <c r="CX181" i="61" s="1"/>
  <c r="CF158" i="61"/>
  <c r="N304" i="61" s="1"/>
  <c r="CH155" i="61"/>
  <c r="CI155" i="61" s="1"/>
  <c r="CH178" i="61"/>
  <c r="CI178" i="61" s="1"/>
  <c r="CJ140" i="61"/>
  <c r="L286" i="61" s="1"/>
  <c r="CJ157" i="61"/>
  <c r="L303" i="61" s="1"/>
  <c r="CF152" i="61"/>
  <c r="N298" i="61" s="1"/>
  <c r="G127" i="61"/>
  <c r="G121" i="61"/>
  <c r="G140" i="61"/>
  <c r="CK144" i="61"/>
  <c r="CJ147" i="61"/>
  <c r="L293" i="61" s="1"/>
  <c r="CG170" i="61"/>
  <c r="CM170" i="61" s="1"/>
  <c r="K316" i="61" s="1"/>
  <c r="DC140" i="61"/>
  <c r="CG132" i="61"/>
  <c r="CM132" i="61" s="1"/>
  <c r="K278" i="61" s="1"/>
  <c r="CG145" i="61"/>
  <c r="CM145" i="61" s="1"/>
  <c r="K291" i="61" s="1"/>
  <c r="CF129" i="61"/>
  <c r="N275" i="61" s="1"/>
  <c r="CG122" i="61"/>
  <c r="CH169" i="61"/>
  <c r="CI169" i="61" s="1"/>
  <c r="CH125" i="61"/>
  <c r="CI125" i="61" s="1"/>
  <c r="DC127" i="61"/>
  <c r="DC139" i="61"/>
  <c r="CL168" i="61"/>
  <c r="CX168" i="61" s="1"/>
  <c r="CH135" i="61"/>
  <c r="CI135" i="61" s="1"/>
  <c r="CG161" i="61"/>
  <c r="CM161" i="61" s="1"/>
  <c r="K307" i="61" s="1"/>
  <c r="CL121" i="61"/>
  <c r="CX121" i="61" s="1"/>
  <c r="CG181" i="61"/>
  <c r="CM181" i="61" s="1"/>
  <c r="K327" i="61" s="1"/>
  <c r="CH168" i="61"/>
  <c r="CI168" i="61" s="1"/>
  <c r="CJ122" i="61"/>
  <c r="CK147" i="61"/>
  <c r="CK166" i="61"/>
  <c r="G145" i="61"/>
  <c r="CL177" i="61"/>
  <c r="CX177" i="61" s="1"/>
  <c r="CF123" i="61"/>
  <c r="N269" i="61" s="1"/>
  <c r="CG166" i="61"/>
  <c r="CM166" i="61" s="1"/>
  <c r="K312" i="61" s="1"/>
  <c r="CE165" i="61"/>
  <c r="CL164" i="61"/>
  <c r="CX164" i="61" s="1"/>
  <c r="CL174" i="61"/>
  <c r="CX174" i="61" s="1"/>
  <c r="CK156" i="61"/>
  <c r="CK148" i="61"/>
  <c r="CF172" i="61"/>
  <c r="N318" i="61" s="1"/>
  <c r="CK131" i="61"/>
  <c r="CL124" i="61"/>
  <c r="CX124" i="61" s="1"/>
  <c r="CF181" i="61"/>
  <c r="N327" i="61" s="1"/>
  <c r="CJ131" i="61"/>
  <c r="L277" i="61" s="1"/>
  <c r="CG123" i="61"/>
  <c r="CM123" i="61" s="1"/>
  <c r="K269" i="61" s="1"/>
  <c r="CG165" i="61"/>
  <c r="CM165" i="61" s="1"/>
  <c r="K311" i="61" s="1"/>
  <c r="CG142" i="61"/>
  <c r="CM142" i="61" s="1"/>
  <c r="K288" i="61" s="1"/>
  <c r="CF153" i="61"/>
  <c r="N299" i="61" s="1"/>
  <c r="CL136" i="61"/>
  <c r="CX136" i="61" s="1"/>
  <c r="CF171" i="61"/>
  <c r="N317" i="61" s="1"/>
  <c r="G136" i="61"/>
  <c r="CJ121" i="61"/>
  <c r="L267" i="61" s="1"/>
  <c r="CE157" i="61"/>
  <c r="DC143" i="61"/>
  <c r="CE168" i="61"/>
  <c r="CE134" i="61"/>
  <c r="G124" i="61"/>
  <c r="CJ149" i="61"/>
  <c r="L295" i="61" s="1"/>
  <c r="CJ137" i="61"/>
  <c r="L283" i="61" s="1"/>
  <c r="DC133" i="61"/>
  <c r="CH129" i="61"/>
  <c r="CI129" i="61" s="1"/>
  <c r="CJ172" i="61"/>
  <c r="L318" i="61" s="1"/>
  <c r="CL162" i="61"/>
  <c r="CX162" i="61" s="1"/>
  <c r="CK154" i="61"/>
  <c r="CE170" i="61"/>
  <c r="CL154" i="61"/>
  <c r="CX154" i="61" s="1"/>
  <c r="CF163" i="61"/>
  <c r="N309" i="61" s="1"/>
  <c r="CF178" i="61"/>
  <c r="N324" i="61" s="1"/>
  <c r="CL173" i="61"/>
  <c r="CX173" i="61" s="1"/>
  <c r="CJ176" i="61"/>
  <c r="L322" i="61" s="1"/>
  <c r="CF128" i="61"/>
  <c r="N274" i="61" s="1"/>
  <c r="CG148" i="61"/>
  <c r="CM148" i="61" s="1"/>
  <c r="K294" i="61" s="1"/>
  <c r="CH160" i="61"/>
  <c r="CI160" i="61" s="1"/>
  <c r="CL149" i="61"/>
  <c r="CX149" i="61" s="1"/>
  <c r="CJ145" i="61"/>
  <c r="L291" i="61" s="1"/>
  <c r="G123" i="61"/>
  <c r="CH143" i="61"/>
  <c r="CI143" i="61" s="1"/>
  <c r="CE178" i="61"/>
  <c r="CJ127" i="61"/>
  <c r="L273" i="61" s="1"/>
  <c r="CG147" i="61"/>
  <c r="CM147" i="61" s="1"/>
  <c r="K293" i="61" s="1"/>
  <c r="CK130" i="61"/>
  <c r="CK128" i="61"/>
  <c r="CL165" i="61"/>
  <c r="CX165" i="61" s="1"/>
  <c r="CH171" i="61"/>
  <c r="CI171" i="61" s="1"/>
  <c r="CE169" i="61"/>
  <c r="CK160" i="61"/>
  <c r="CJ165" i="61"/>
  <c r="L311" i="61" s="1"/>
  <c r="CE138" i="61"/>
  <c r="CF137" i="61"/>
  <c r="N283" i="61" s="1"/>
  <c r="CF174" i="61"/>
  <c r="N320" i="61" s="1"/>
  <c r="CL122" i="61"/>
  <c r="DC129" i="61"/>
  <c r="CE130" i="61"/>
  <c r="CL144" i="61"/>
  <c r="CX144" i="61" s="1"/>
  <c r="CJ173" i="61"/>
  <c r="L319" i="61" s="1"/>
  <c r="CF159" i="61"/>
  <c r="N305" i="61" s="1"/>
  <c r="CK129" i="61"/>
  <c r="G126" i="61"/>
  <c r="CF166" i="61"/>
  <c r="N312" i="61" s="1"/>
  <c r="CJ155" i="61"/>
  <c r="L301" i="61" s="1"/>
  <c r="CE159" i="61"/>
  <c r="CL153" i="61"/>
  <c r="CX153" i="61" s="1"/>
  <c r="CJ171" i="61"/>
  <c r="L317" i="61" s="1"/>
  <c r="CJ142" i="61"/>
  <c r="L288" i="61" s="1"/>
  <c r="CJ156" i="61"/>
  <c r="L302" i="61" s="1"/>
  <c r="CL175" i="61"/>
  <c r="CX175" i="61" s="1"/>
  <c r="CE136" i="61"/>
  <c r="CH165" i="61"/>
  <c r="CI165" i="61" s="1"/>
  <c r="CH180" i="61"/>
  <c r="CI180" i="61" s="1"/>
  <c r="CK137" i="61"/>
  <c r="CG134" i="61"/>
  <c r="CM134" i="61" s="1"/>
  <c r="K280" i="61" s="1"/>
  <c r="CG135" i="61"/>
  <c r="CM135" i="61" s="1"/>
  <c r="K281" i="61" s="1"/>
  <c r="CE153" i="61"/>
  <c r="CF156" i="61"/>
  <c r="N302" i="61" s="1"/>
  <c r="CJ139" i="61"/>
  <c r="L285" i="61" s="1"/>
  <c r="DC145" i="61"/>
  <c r="CG128" i="61"/>
  <c r="CM128" i="61" s="1"/>
  <c r="K274" i="61" s="1"/>
  <c r="CG180" i="61"/>
  <c r="CM180" i="61" s="1"/>
  <c r="K326" i="61" s="1"/>
  <c r="CH172" i="61"/>
  <c r="CI172" i="61" s="1"/>
  <c r="CL128" i="61"/>
  <c r="CX128" i="61" s="1"/>
  <c r="CH148" i="61"/>
  <c r="CI148" i="61" s="1"/>
  <c r="CF135" i="61"/>
  <c r="N281" i="61" s="1"/>
  <c r="DC144" i="61"/>
  <c r="CK165" i="61"/>
  <c r="CG169" i="61"/>
  <c r="CM169" i="61" s="1"/>
  <c r="K315" i="61" s="1"/>
  <c r="CL135" i="61"/>
  <c r="CX135" i="61" s="1"/>
  <c r="CE151" i="61"/>
  <c r="CL134" i="61"/>
  <c r="CX134" i="61" s="1"/>
  <c r="CJ159" i="61"/>
  <c r="L305" i="61" s="1"/>
  <c r="CF140" i="61"/>
  <c r="N286" i="61" s="1"/>
  <c r="CL151" i="61"/>
  <c r="CX151" i="61" s="1"/>
  <c r="CE174" i="61"/>
  <c r="CE137" i="61"/>
  <c r="CK173" i="61"/>
  <c r="CH158" i="61"/>
  <c r="CI158" i="61" s="1"/>
  <c r="CF155" i="61"/>
  <c r="N301" i="61" s="1"/>
  <c r="DC126" i="61"/>
  <c r="CK140" i="61"/>
  <c r="CH123" i="61"/>
  <c r="CI123" i="61" s="1"/>
  <c r="CH159" i="61"/>
  <c r="CI159" i="61" s="1"/>
  <c r="CE141" i="61"/>
  <c r="CF154" i="61"/>
  <c r="N300" i="61" s="1"/>
  <c r="DC125" i="61"/>
  <c r="CL163" i="61"/>
  <c r="CX163" i="61" s="1"/>
  <c r="CH154" i="61"/>
  <c r="CI154" i="61" s="1"/>
  <c r="CJ163" i="61"/>
  <c r="L309" i="61" s="1"/>
  <c r="CE181" i="61"/>
  <c r="DC142" i="61"/>
  <c r="CE163" i="61"/>
  <c r="CK146" i="61"/>
  <c r="CH140" i="61"/>
  <c r="CI140" i="61" s="1"/>
  <c r="CG173" i="61"/>
  <c r="CM173" i="61" s="1"/>
  <c r="K319" i="61" s="1"/>
  <c r="CK159" i="61"/>
  <c r="CE145" i="61"/>
  <c r="CG163" i="61"/>
  <c r="CM163" i="61" s="1"/>
  <c r="K309" i="61" s="1"/>
  <c r="CK132" i="61"/>
  <c r="CL170" i="61"/>
  <c r="CX170" i="61" s="1"/>
  <c r="CE179" i="61"/>
  <c r="CJ129" i="61"/>
  <c r="L275" i="61" s="1"/>
  <c r="Q64" i="61" l="1"/>
  <c r="R64" i="61" s="1"/>
  <c r="R67" i="61" s="1"/>
  <c r="L66" i="61"/>
  <c r="M66" i="61" s="1"/>
  <c r="M67" i="61" s="1"/>
  <c r="D325" i="61"/>
  <c r="M325" i="61"/>
  <c r="CX122" i="61"/>
  <c r="CL182" i="61"/>
  <c r="C263" i="61" s="1"/>
  <c r="M314" i="61"/>
  <c r="D314" i="61"/>
  <c r="D312" i="61"/>
  <c r="M312" i="61"/>
  <c r="J273" i="61"/>
  <c r="B273" i="61"/>
  <c r="M308" i="61"/>
  <c r="D308" i="61"/>
  <c r="B323" i="61"/>
  <c r="J323" i="61"/>
  <c r="D302" i="61"/>
  <c r="M302" i="61"/>
  <c r="M275" i="61"/>
  <c r="D275" i="61"/>
  <c r="B289" i="61"/>
  <c r="J289" i="61"/>
  <c r="D269" i="61"/>
  <c r="M269" i="61"/>
  <c r="M301" i="61"/>
  <c r="D301" i="61"/>
  <c r="D307" i="61"/>
  <c r="M307" i="61"/>
  <c r="J303" i="61"/>
  <c r="B303" i="61"/>
  <c r="B310" i="61"/>
  <c r="J310" i="61"/>
  <c r="M271" i="61"/>
  <c r="D271" i="61"/>
  <c r="J307" i="61"/>
  <c r="B307" i="61"/>
  <c r="J324" i="61"/>
  <c r="B324" i="61"/>
  <c r="M270" i="61"/>
  <c r="D270" i="61"/>
  <c r="D293" i="61"/>
  <c r="M293" i="61"/>
  <c r="J309" i="61"/>
  <c r="B309" i="61"/>
  <c r="J292" i="61"/>
  <c r="B292" i="61"/>
  <c r="J294" i="61"/>
  <c r="B294" i="61"/>
  <c r="J284" i="61"/>
  <c r="B284" i="61"/>
  <c r="M274" i="61"/>
  <c r="D274" i="61"/>
  <c r="M289" i="61"/>
  <c r="D289" i="61"/>
  <c r="M296" i="61"/>
  <c r="D296" i="61"/>
  <c r="M294" i="61"/>
  <c r="D294" i="61"/>
  <c r="M306" i="61"/>
  <c r="D306" i="61"/>
  <c r="M281" i="61"/>
  <c r="D281" i="61"/>
  <c r="D279" i="61"/>
  <c r="M279" i="61"/>
  <c r="J326" i="61"/>
  <c r="B326" i="61"/>
  <c r="M323" i="61"/>
  <c r="D323" i="61"/>
  <c r="J268" i="61"/>
  <c r="CK182" i="61"/>
  <c r="C255" i="61" s="1"/>
  <c r="S7" i="61" s="1"/>
  <c r="T32" i="56" s="1"/>
  <c r="B268" i="61"/>
  <c r="M322" i="61"/>
  <c r="D322" i="61"/>
  <c r="J304" i="61"/>
  <c r="B304" i="61"/>
  <c r="B305" i="61"/>
  <c r="J305" i="61"/>
  <c r="D309" i="61"/>
  <c r="M309" i="61"/>
  <c r="D287" i="61"/>
  <c r="M287" i="61"/>
  <c r="J319" i="61"/>
  <c r="B319" i="61"/>
  <c r="B283" i="61"/>
  <c r="J283" i="61"/>
  <c r="J306" i="61"/>
  <c r="B306" i="61"/>
  <c r="J274" i="61"/>
  <c r="B274" i="61"/>
  <c r="M324" i="61"/>
  <c r="D324" i="61"/>
  <c r="J302" i="61"/>
  <c r="B302" i="61"/>
  <c r="B312" i="61"/>
  <c r="J312" i="61"/>
  <c r="J290" i="61"/>
  <c r="B290" i="61"/>
  <c r="B278" i="61"/>
  <c r="J278" i="61"/>
  <c r="M283" i="61"/>
  <c r="D283" i="61"/>
  <c r="M299" i="61"/>
  <c r="D299" i="61"/>
  <c r="D305" i="61"/>
  <c r="M305" i="61"/>
  <c r="B275" i="61"/>
  <c r="J275" i="61"/>
  <c r="D276" i="61"/>
  <c r="M276" i="61"/>
  <c r="M315" i="61"/>
  <c r="D315" i="61"/>
  <c r="J276" i="61"/>
  <c r="B276" i="61"/>
  <c r="D316" i="61"/>
  <c r="M316" i="61"/>
  <c r="M303" i="61"/>
  <c r="D303" i="61"/>
  <c r="B277" i="61"/>
  <c r="J277" i="61"/>
  <c r="J293" i="61"/>
  <c r="B293" i="61"/>
  <c r="CM122" i="61"/>
  <c r="CG182" i="61"/>
  <c r="J267" i="61"/>
  <c r="B267" i="61"/>
  <c r="M310" i="61"/>
  <c r="D310" i="61"/>
  <c r="DB121" i="61"/>
  <c r="DB132" i="61"/>
  <c r="DB134" i="61"/>
  <c r="DB125" i="61"/>
  <c r="DB127" i="61"/>
  <c r="DB124" i="61"/>
  <c r="DB145" i="61"/>
  <c r="DB130" i="61"/>
  <c r="DB123" i="61"/>
  <c r="DB131" i="61"/>
  <c r="DB142" i="61"/>
  <c r="DB144" i="61"/>
  <c r="DB122" i="61"/>
  <c r="DB140" i="61"/>
  <c r="DB139" i="61"/>
  <c r="DB141" i="61"/>
  <c r="DB138" i="61"/>
  <c r="DB136" i="61"/>
  <c r="DB135" i="61"/>
  <c r="DB126" i="61"/>
  <c r="DB143" i="61"/>
  <c r="DB137" i="61"/>
  <c r="DB129" i="61"/>
  <c r="DB128" i="61"/>
  <c r="DB133" i="61"/>
  <c r="DB146" i="61"/>
  <c r="D300" i="61"/>
  <c r="M300" i="61"/>
  <c r="B298" i="61"/>
  <c r="J298" i="61"/>
  <c r="M272" i="61"/>
  <c r="D272" i="61"/>
  <c r="D313" i="61"/>
  <c r="M313" i="61"/>
  <c r="B280" i="61"/>
  <c r="J280" i="61"/>
  <c r="D288" i="61"/>
  <c r="M288" i="61"/>
  <c r="N268" i="61"/>
  <c r="N328" i="61" s="1"/>
  <c r="CF182" i="61"/>
  <c r="C258" i="61" s="1"/>
  <c r="Y7" i="61" s="1"/>
  <c r="X32" i="56" s="1"/>
  <c r="M285" i="61"/>
  <c r="D285" i="61"/>
  <c r="M290" i="61"/>
  <c r="D290" i="61"/>
  <c r="M277" i="61"/>
  <c r="D277" i="61"/>
  <c r="B271" i="61"/>
  <c r="J271" i="61"/>
  <c r="B318" i="61"/>
  <c r="J318" i="61"/>
  <c r="J287" i="61"/>
  <c r="B287" i="61"/>
  <c r="M292" i="61"/>
  <c r="D292" i="61"/>
  <c r="J314" i="61"/>
  <c r="B314" i="61"/>
  <c r="M298" i="61"/>
  <c r="D298" i="61"/>
  <c r="J297" i="61"/>
  <c r="B297" i="61"/>
  <c r="J270" i="61"/>
  <c r="B270" i="61"/>
  <c r="J313" i="61"/>
  <c r="B313" i="61"/>
  <c r="J316" i="61"/>
  <c r="B316" i="61"/>
  <c r="D291" i="61"/>
  <c r="M291" i="61"/>
  <c r="D297" i="61"/>
  <c r="M297" i="61"/>
  <c r="D282" i="61"/>
  <c r="M282" i="61"/>
  <c r="M311" i="61"/>
  <c r="D311" i="61"/>
  <c r="CI122" i="61"/>
  <c r="CI182" i="61" s="1"/>
  <c r="CH182" i="61"/>
  <c r="C262" i="61" s="1"/>
  <c r="D262" i="61" s="1"/>
  <c r="M321" i="61"/>
  <c r="D321" i="61"/>
  <c r="J322" i="61"/>
  <c r="B322" i="61"/>
  <c r="J325" i="61"/>
  <c r="B325" i="61"/>
  <c r="B286" i="61"/>
  <c r="J286" i="61"/>
  <c r="M327" i="61"/>
  <c r="D327" i="61"/>
  <c r="M320" i="61"/>
  <c r="D320" i="61"/>
  <c r="J311" i="61"/>
  <c r="B311" i="61"/>
  <c r="D284" i="61"/>
  <c r="M284" i="61"/>
  <c r="J300" i="61"/>
  <c r="B300" i="61"/>
  <c r="D280" i="61"/>
  <c r="M280" i="61"/>
  <c r="L268" i="61"/>
  <c r="L328" i="61" s="1"/>
  <c r="CJ182" i="61"/>
  <c r="C254" i="61" s="1"/>
  <c r="Q7" i="61" s="1"/>
  <c r="R32" i="56" s="1"/>
  <c r="J291" i="61"/>
  <c r="B291" i="61"/>
  <c r="M295" i="61"/>
  <c r="D295" i="61"/>
  <c r="M319" i="61"/>
  <c r="D319" i="61"/>
  <c r="B279" i="61"/>
  <c r="J279" i="61"/>
  <c r="J315" i="61"/>
  <c r="B315" i="61"/>
  <c r="D326" i="61"/>
  <c r="M326" i="61"/>
  <c r="J296" i="61"/>
  <c r="B296" i="61"/>
  <c r="M268" i="61"/>
  <c r="CE182" i="61"/>
  <c r="C257" i="61" s="1"/>
  <c r="W7" i="61" s="1"/>
  <c r="V32" i="56" s="1"/>
  <c r="D268" i="61"/>
  <c r="M318" i="61"/>
  <c r="D318" i="61"/>
  <c r="J320" i="61"/>
  <c r="B320" i="61"/>
  <c r="J282" i="61"/>
  <c r="B282" i="61"/>
  <c r="B317" i="61"/>
  <c r="J317" i="61"/>
  <c r="B301" i="61"/>
  <c r="J301" i="61"/>
  <c r="M317" i="61"/>
  <c r="D317" i="61"/>
  <c r="M286" i="61"/>
  <c r="D286" i="61"/>
  <c r="M304" i="61"/>
  <c r="D304" i="61"/>
  <c r="J288" i="61"/>
  <c r="B288" i="61"/>
  <c r="B308" i="61"/>
  <c r="J308" i="61"/>
  <c r="J321" i="61"/>
  <c r="B321" i="61"/>
  <c r="B299" i="61"/>
  <c r="J299" i="61"/>
  <c r="M278" i="61"/>
  <c r="D278" i="61"/>
  <c r="J295" i="61"/>
  <c r="B295" i="61"/>
  <c r="M273" i="61"/>
  <c r="D273" i="61"/>
  <c r="J327" i="61"/>
  <c r="B327" i="61"/>
  <c r="J281" i="61"/>
  <c r="B281" i="61"/>
  <c r="J285" i="61"/>
  <c r="B285" i="61"/>
  <c r="J272" i="61"/>
  <c r="B272" i="61"/>
  <c r="J269" i="61"/>
  <c r="B269" i="61"/>
  <c r="M267" i="61"/>
  <c r="D267" i="61"/>
  <c r="CT133" i="61"/>
  <c r="CW133" i="61" s="1"/>
  <c r="CT178" i="61"/>
  <c r="CW178" i="61" s="1"/>
  <c r="CT158" i="61"/>
  <c r="I304" i="61" s="1"/>
  <c r="CT135" i="61"/>
  <c r="I281" i="61" s="1"/>
  <c r="CT140" i="61"/>
  <c r="I286" i="61" s="1"/>
  <c r="CT147" i="61"/>
  <c r="I293" i="61" s="1"/>
  <c r="CT157" i="61"/>
  <c r="I303" i="61" s="1"/>
  <c r="CT179" i="61"/>
  <c r="I325" i="61" s="1"/>
  <c r="CT156" i="61"/>
  <c r="I302" i="61" s="1"/>
  <c r="CT180" i="61"/>
  <c r="I326" i="61" s="1"/>
  <c r="CT131" i="61"/>
  <c r="I277" i="61" s="1"/>
  <c r="CT161" i="61"/>
  <c r="I307" i="61" s="1"/>
  <c r="CT166" i="61"/>
  <c r="I312" i="61" s="1"/>
  <c r="CT139" i="61"/>
  <c r="I285" i="61" s="1"/>
  <c r="CT141" i="61"/>
  <c r="I287" i="61" s="1"/>
  <c r="CT168" i="61"/>
  <c r="I314" i="61" s="1"/>
  <c r="CT175" i="61"/>
  <c r="I321" i="61" s="1"/>
  <c r="CT159" i="61"/>
  <c r="I305" i="61" s="1"/>
  <c r="CT142" i="61"/>
  <c r="I288" i="61" s="1"/>
  <c r="CT129" i="61"/>
  <c r="I275" i="61" s="1"/>
  <c r="CT174" i="61"/>
  <c r="CW174" i="61" s="1"/>
  <c r="CT127" i="61"/>
  <c r="I273" i="61" s="1"/>
  <c r="CT177" i="61"/>
  <c r="CW177" i="61" s="1"/>
  <c r="CT164" i="61"/>
  <c r="CW164" i="61" s="1"/>
  <c r="CT144" i="61"/>
  <c r="I290" i="61" s="1"/>
  <c r="CT124" i="61"/>
  <c r="CW124" i="61" s="1"/>
  <c r="CT146" i="61"/>
  <c r="I292" i="61" s="1"/>
  <c r="CT130" i="61"/>
  <c r="CW130" i="61" s="1"/>
  <c r="CT167" i="61"/>
  <c r="CW167" i="61" s="1"/>
  <c r="CT170" i="61"/>
  <c r="CW170" i="61" s="1"/>
  <c r="CT126" i="61"/>
  <c r="I272" i="61" s="1"/>
  <c r="CT143" i="61"/>
  <c r="CW143" i="61" s="1"/>
  <c r="CT152" i="61"/>
  <c r="I298" i="61" s="1"/>
  <c r="CT134" i="61"/>
  <c r="CW134" i="61" s="1"/>
  <c r="CT132" i="61"/>
  <c r="I278" i="61" s="1"/>
  <c r="CT171" i="61"/>
  <c r="I317" i="61" s="1"/>
  <c r="CT160" i="61"/>
  <c r="CW160" i="61" s="1"/>
  <c r="CT163" i="61"/>
  <c r="CW163" i="61" s="1"/>
  <c r="CT153" i="61"/>
  <c r="CW153" i="61" s="1"/>
  <c r="CT155" i="61"/>
  <c r="I301" i="61" s="1"/>
  <c r="CT137" i="61"/>
  <c r="CW137" i="61" s="1"/>
  <c r="CT162" i="61"/>
  <c r="I308" i="61" s="1"/>
  <c r="CT149" i="61"/>
  <c r="I295" i="61" s="1"/>
  <c r="CT169" i="61"/>
  <c r="CW169" i="61" s="1"/>
  <c r="CT173" i="61"/>
  <c r="I319" i="61" s="1"/>
  <c r="CT148" i="61"/>
  <c r="CT145" i="61"/>
  <c r="CT150" i="61"/>
  <c r="CW150" i="61" s="1"/>
  <c r="CT136" i="61"/>
  <c r="I282" i="61" s="1"/>
  <c r="CT165" i="61"/>
  <c r="CW165" i="61" s="1"/>
  <c r="CT172" i="61"/>
  <c r="I318" i="61" s="1"/>
  <c r="CT123" i="61"/>
  <c r="I269" i="61" s="1"/>
  <c r="CT176" i="61"/>
  <c r="CW176" i="61" s="1"/>
  <c r="CT151" i="61" l="1"/>
  <c r="I297" i="61" s="1"/>
  <c r="I267" i="61"/>
  <c r="I280" i="61"/>
  <c r="CT154" i="61"/>
  <c r="CW154" i="61" s="1"/>
  <c r="CT125" i="61"/>
  <c r="CW125" i="61" s="1"/>
  <c r="CT122" i="61"/>
  <c r="CT181" i="61"/>
  <c r="CW181" i="61" s="1"/>
  <c r="CT138" i="61"/>
  <c r="CW138" i="61" s="1"/>
  <c r="CT128" i="61"/>
  <c r="I274" i="61" s="1"/>
  <c r="J328" i="61"/>
  <c r="M328" i="61"/>
  <c r="K268" i="61"/>
  <c r="K328" i="61" s="1"/>
  <c r="CM182" i="61"/>
  <c r="C256" i="61" s="1"/>
  <c r="U7" i="61" s="1"/>
  <c r="Z32" i="56" s="1"/>
  <c r="CW180" i="61"/>
  <c r="I324" i="61"/>
  <c r="CW158" i="61"/>
  <c r="CW121" i="61"/>
  <c r="CW140" i="61"/>
  <c r="CW179" i="61"/>
  <c r="CW147" i="61"/>
  <c r="CW161" i="61"/>
  <c r="CW135" i="61"/>
  <c r="CW168" i="61"/>
  <c r="I279" i="61"/>
  <c r="CW157" i="61"/>
  <c r="CW131" i="61"/>
  <c r="CW175" i="61"/>
  <c r="CW141" i="61"/>
  <c r="CW146" i="61"/>
  <c r="CW129" i="61"/>
  <c r="CW166" i="61"/>
  <c r="I306" i="61"/>
  <c r="CW156" i="61"/>
  <c r="CW144" i="61"/>
  <c r="I276" i="61"/>
  <c r="I310" i="61"/>
  <c r="CW127" i="61"/>
  <c r="I270" i="61"/>
  <c r="CW159" i="61"/>
  <c r="CW139" i="61"/>
  <c r="CW142" i="61"/>
  <c r="I323" i="61"/>
  <c r="I320" i="61"/>
  <c r="CW152" i="61"/>
  <c r="I316" i="61"/>
  <c r="I299" i="61"/>
  <c r="CW149" i="61"/>
  <c r="CW171" i="61"/>
  <c r="I289" i="61"/>
  <c r="I283" i="61"/>
  <c r="CW126" i="61"/>
  <c r="I313" i="61"/>
  <c r="CW132" i="61"/>
  <c r="CW162" i="61"/>
  <c r="I311" i="61"/>
  <c r="I309" i="61"/>
  <c r="I315" i="61"/>
  <c r="CW155" i="61"/>
  <c r="CW172" i="61"/>
  <c r="CW173" i="61"/>
  <c r="CW136" i="61"/>
  <c r="I322" i="61"/>
  <c r="CW123" i="61"/>
  <c r="I291" i="61"/>
  <c r="CW145" i="61"/>
  <c r="I296" i="61"/>
  <c r="CW148" i="61"/>
  <c r="I294" i="61"/>
  <c r="CW128" i="61" l="1"/>
  <c r="CW151" i="61"/>
  <c r="I268" i="61"/>
  <c r="CT182" i="61"/>
  <c r="C259" i="61" s="1"/>
  <c r="H7" i="61" s="1"/>
  <c r="J7" i="61" s="1"/>
  <c r="I300" i="61"/>
  <c r="I271" i="61"/>
  <c r="I284" i="61"/>
  <c r="I327" i="61"/>
  <c r="CW122" i="61"/>
  <c r="CW182" i="61" l="1"/>
  <c r="I32" i="56"/>
  <c r="I328" i="61"/>
  <c r="K32" i="56"/>
  <c r="C260" i="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tc={425D24CC-C828-442B-9525-4BAF7D610A73}</author>
    <author>tc={BA76812D-BAE0-4557-B306-ECFF49054223}</author>
    <author>tc={DFCD2835-F223-4D72-8F34-7E9A96C02C8C}</author>
    <author>tc={EF631B0E-2C46-4012-AFAF-F153D924EFAB}</author>
    <author>tc={9CEAC91C-99C1-46BC-96E2-14FEFB7BBC67}</author>
    <author>tc={37151503-9882-4FC4-91A2-EFDA9F122D19}</author>
    <author>tc={FFAF49FA-F1DE-44B8-88F5-014BA1788523}</author>
  </authors>
  <commentList>
    <comment ref="D25" authorId="0" shapeId="0" xr:uid="{425D24CC-C828-442B-9525-4BAF7D610A7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FWE: proposition pour remplacer la traduction actuelle figurant dans la SIA 2024 édition 2015</t>
      </text>
    </comment>
    <comment ref="D114" authorId="1" shapeId="0" xr:uid="{BA76812D-BAE0-4557-B306-ECFF4905422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Mein Vorschlag: Consommateurs électriques selon kWh/m²
Es ist ja nicht Elektroverbraucher in kWh/m2 sondern nach kWh/m2</t>
      </text>
    </comment>
    <comment ref="D135" authorId="2" shapeId="0" xr:uid="{DFCD2835-F223-4D72-8F34-7E9A96C02C8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Abluftventilator = ventilateur d'extraction (SIA 382/5, 5.2.5.1)
Zuluft = Air fourni (SIA382/5, 1.1.1.9)
Aussenluft = Air neuf (SIA382/5, 1.1.1.8)</t>
      </text>
    </comment>
    <comment ref="D150" authorId="3" shapeId="0" xr:uid="{EF631B0E-2C46-4012-AFAF-F153D924EF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Energiebedarf = Besoin en énergie (SIA 382/5, 2.3)</t>
      </text>
    </comment>
    <comment ref="D155" authorId="4" shapeId="0" xr:uid="{9CEAC91C-99C1-46BC-96E2-14FEFB7BBC6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FWE: Pas sûre de cette proposition</t>
      </text>
    </comment>
    <comment ref="D158" authorId="5" shapeId="0" xr:uid="{37151503-9882-4FC4-91A2-EFDA9F122D1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FWE: Pas sûre de cette proposition</t>
      </text>
    </comment>
    <comment ref="D159" authorId="6" shapeId="0" xr:uid="{FFAF49FA-F1DE-44B8-88F5-014BA178852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Energiebedarf = Besoin en énergie (SIA 382/5, 2.3)</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tc={0B6B56A3-48E2-4529-9973-E8740048F169}</author>
  </authors>
  <commentList>
    <comment ref="G5" authorId="0" shapeId="0" xr:uid="{0B6B56A3-48E2-4529-9973-E8740048F16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Specific Fan Power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<sst xmlns="http://schemas.openxmlformats.org/spreadsheetml/2006/main" count="4025" uniqueCount="1430">
  <si>
    <t>Beleuchtung</t>
  </si>
  <si>
    <t>Lüftung</t>
  </si>
  <si>
    <t>Kühlung</t>
  </si>
  <si>
    <t>Befeuchtung</t>
  </si>
  <si>
    <t>Heizung</t>
  </si>
  <si>
    <t xml:space="preserve">Hotelzimmer </t>
  </si>
  <si>
    <t>Empfang, Lobby</t>
  </si>
  <si>
    <t>Einzel-, Gruppenbüro</t>
  </si>
  <si>
    <t>Grossraumbüro</t>
  </si>
  <si>
    <t>Sitzungszimmer</t>
  </si>
  <si>
    <t>Schalterhalle, Empfang</t>
  </si>
  <si>
    <t>Schulzimmer</t>
  </si>
  <si>
    <t>Lehrerzimmer</t>
  </si>
  <si>
    <t>Bibliothek</t>
  </si>
  <si>
    <t>Hörsaal</t>
  </si>
  <si>
    <t>Lebensmittelverkauf</t>
  </si>
  <si>
    <t>Restaurant</t>
  </si>
  <si>
    <t>Küche zu Restaurant</t>
  </si>
  <si>
    <t>Küche zu Selbstbedienungsrest.</t>
  </si>
  <si>
    <t>Vorstellungsraum</t>
  </si>
  <si>
    <t>Mehrzweckhalle</t>
  </si>
  <si>
    <t>Ausstellungshalle</t>
  </si>
  <si>
    <t xml:space="preserve">Bettenzimmer </t>
  </si>
  <si>
    <t xml:space="preserve">Stationszimmer </t>
  </si>
  <si>
    <t>Produktion (grobe Arbeit)</t>
  </si>
  <si>
    <t>Produktion (feine Arbeit)</t>
  </si>
  <si>
    <t>Lagerhalle</t>
  </si>
  <si>
    <t>Turnhalle</t>
  </si>
  <si>
    <t>Fitnessraum</t>
  </si>
  <si>
    <t>Schwimmhalle</t>
  </si>
  <si>
    <t>Verkehrsfläche</t>
  </si>
  <si>
    <t xml:space="preserve">WC, Bad, Dusche </t>
  </si>
  <si>
    <t>WC</t>
  </si>
  <si>
    <t>Parkhaus</t>
  </si>
  <si>
    <t>Wasch- und Trockenraum</t>
  </si>
  <si>
    <t>Kühlraum</t>
  </si>
  <si>
    <t>Serverraum</t>
  </si>
  <si>
    <t>1.1</t>
  </si>
  <si>
    <t>2.1</t>
  </si>
  <si>
    <t>2.2</t>
  </si>
  <si>
    <t>3.1</t>
  </si>
  <si>
    <t>3.2</t>
  </si>
  <si>
    <t>3.3</t>
  </si>
  <si>
    <t>3.4</t>
  </si>
  <si>
    <t>4.1</t>
  </si>
  <si>
    <t>4.2</t>
  </si>
  <si>
    <t>4.3</t>
  </si>
  <si>
    <t>4.5</t>
  </si>
  <si>
    <t>5.1</t>
  </si>
  <si>
    <t>5.2</t>
  </si>
  <si>
    <t>5.3</t>
  </si>
  <si>
    <t>6.1</t>
  </si>
  <si>
    <t>6.2</t>
  </si>
  <si>
    <t>6.3</t>
  </si>
  <si>
    <t>6.4</t>
  </si>
  <si>
    <t>7.1</t>
  </si>
  <si>
    <t>7.2</t>
  </si>
  <si>
    <t>7.3</t>
  </si>
  <si>
    <t>8.1</t>
  </si>
  <si>
    <t>8.2</t>
  </si>
  <si>
    <t>8.3</t>
  </si>
  <si>
    <t>9.1</t>
  </si>
  <si>
    <t>9.2</t>
  </si>
  <si>
    <t>10.1</t>
  </si>
  <si>
    <t>11.1</t>
  </si>
  <si>
    <t>11.2</t>
  </si>
  <si>
    <t>11.3</t>
  </si>
  <si>
    <t>12.1</t>
  </si>
  <si>
    <t>12.2</t>
  </si>
  <si>
    <t>12.3</t>
  </si>
  <si>
    <t>12.4</t>
  </si>
  <si>
    <t>12.5</t>
  </si>
  <si>
    <t>12.6</t>
  </si>
  <si>
    <t>12.7</t>
  </si>
  <si>
    <t>12.8</t>
  </si>
  <si>
    <t>12.9</t>
  </si>
  <si>
    <t>Primärenergie nicht erneuerbar</t>
  </si>
  <si>
    <t>Treibhausgasemissionen</t>
  </si>
  <si>
    <t>Warmwasser</t>
  </si>
  <si>
    <t>Pellets</t>
  </si>
  <si>
    <t>Hilfsenergie</t>
  </si>
  <si>
    <t>Nutzungsgrad</t>
  </si>
  <si>
    <t>Elektrizität</t>
  </si>
  <si>
    <t>Erdgas</t>
  </si>
  <si>
    <t>kWh/m2</t>
  </si>
  <si>
    <t>Energieträger</t>
  </si>
  <si>
    <t>Holzschnitzel</t>
  </si>
  <si>
    <t>Heizöl EL</t>
  </si>
  <si>
    <t>Standard</t>
  </si>
  <si>
    <t>-</t>
  </si>
  <si>
    <t>Endenergie</t>
  </si>
  <si>
    <t>Hilfsenergie (%)</t>
  </si>
  <si>
    <t>Fachgeschäft</t>
  </si>
  <si>
    <t>Nutzung</t>
  </si>
  <si>
    <t>Personen</t>
  </si>
  <si>
    <t>SIA</t>
  </si>
  <si>
    <t>Bezeichnung</t>
  </si>
  <si>
    <t>Wertebereich</t>
  </si>
  <si>
    <t>Treppenhaus</t>
  </si>
  <si>
    <t>Zielwert</t>
  </si>
  <si>
    <t>Bestand</t>
  </si>
  <si>
    <t>4.4</t>
  </si>
  <si>
    <t>Selbstbedienungsrestaurant</t>
  </si>
  <si>
    <t>9.3</t>
  </si>
  <si>
    <t>Laborraum</t>
  </si>
  <si>
    <t>Verkehrsfläche 24 h</t>
  </si>
  <si>
    <t>Küche, Teeküche</t>
  </si>
  <si>
    <t>12.10</t>
  </si>
  <si>
    <t>12.11</t>
  </si>
  <si>
    <t>12.12</t>
  </si>
  <si>
    <t>Leistung</t>
  </si>
  <si>
    <t>Energie</t>
  </si>
  <si>
    <t>kW</t>
  </si>
  <si>
    <t>m3/h</t>
  </si>
  <si>
    <t>Volumenstrom</t>
  </si>
  <si>
    <t>MWh</t>
  </si>
  <si>
    <t>Anlage</t>
  </si>
  <si>
    <t>LA01</t>
  </si>
  <si>
    <t>LA02</t>
  </si>
  <si>
    <t>LA03</t>
  </si>
  <si>
    <t>LA04</t>
  </si>
  <si>
    <t>LA05</t>
  </si>
  <si>
    <t>LA06</t>
  </si>
  <si>
    <t>LA07</t>
  </si>
  <si>
    <t>LA08</t>
  </si>
  <si>
    <t>EBF</t>
  </si>
  <si>
    <r>
      <t>m</t>
    </r>
    <r>
      <rPr>
        <vertAlign val="superscript"/>
        <sz val="10"/>
        <rFont val="Arial"/>
        <family val="2"/>
      </rPr>
      <t>2</t>
    </r>
  </si>
  <si>
    <t>Lüftungsanlagen</t>
  </si>
  <si>
    <t>Anteil Konstruktionsfläche</t>
  </si>
  <si>
    <t>%</t>
  </si>
  <si>
    <t>Geschossfläche (GF)</t>
  </si>
  <si>
    <t>WRG</t>
  </si>
  <si>
    <t>°C</t>
  </si>
  <si>
    <t>W/(m3/h)</t>
  </si>
  <si>
    <t>Regelung</t>
  </si>
  <si>
    <t>m²/P</t>
  </si>
  <si>
    <t>l/d</t>
  </si>
  <si>
    <t>W/m2</t>
  </si>
  <si>
    <t>Bedarf</t>
  </si>
  <si>
    <t>Fläche</t>
  </si>
  <si>
    <t>Anteil</t>
  </si>
  <si>
    <t>Sommer</t>
  </si>
  <si>
    <t>Winter</t>
  </si>
  <si>
    <t>SFP</t>
  </si>
  <si>
    <t>Ventilator</t>
  </si>
  <si>
    <t>h/a</t>
  </si>
  <si>
    <t>Total</t>
  </si>
  <si>
    <t>Klimakälte</t>
  </si>
  <si>
    <t>Heizwärme</t>
  </si>
  <si>
    <t>Entfeuchtung</t>
  </si>
  <si>
    <t>Nr.</t>
  </si>
  <si>
    <t>Räume</t>
  </si>
  <si>
    <t>Raumnutzung (SIA 2024)</t>
  </si>
  <si>
    <t>Luftkühlung</t>
  </si>
  <si>
    <t>Erzeugertyp</t>
  </si>
  <si>
    <t>KE01</t>
  </si>
  <si>
    <t>KE02</t>
  </si>
  <si>
    <t>KE03</t>
  </si>
  <si>
    <t>WE01</t>
  </si>
  <si>
    <t>WE02</t>
  </si>
  <si>
    <t>WE03</t>
  </si>
  <si>
    <t>Wärme (inkl. Verluste)</t>
  </si>
  <si>
    <t>Thermische Nutzenergie</t>
  </si>
  <si>
    <t>Stückholz</t>
  </si>
  <si>
    <t>Biogas</t>
  </si>
  <si>
    <t>Gewichtungsfaktoren</t>
  </si>
  <si>
    <t>THGE</t>
  </si>
  <si>
    <t>NEGF</t>
  </si>
  <si>
    <t>kg/kWh</t>
  </si>
  <si>
    <t>Fernwärme</t>
  </si>
  <si>
    <t>Gewichtete Energie</t>
  </si>
  <si>
    <t>gekühlt</t>
  </si>
  <si>
    <t>Auswahlfelder</t>
  </si>
  <si>
    <t>Eingabefelder</t>
  </si>
  <si>
    <t>Zuluftkonditionierung</t>
  </si>
  <si>
    <t>Raumheizung</t>
  </si>
  <si>
    <t>Raumkühlung</t>
  </si>
  <si>
    <t>Lufterwärmung</t>
  </si>
  <si>
    <t>belüftet</t>
  </si>
  <si>
    <t>Kälteerzeugung</t>
  </si>
  <si>
    <t>Wärmeerzeugung</t>
  </si>
  <si>
    <t>NGF</t>
  </si>
  <si>
    <t>Kälte (inkl. Verluste)</t>
  </si>
  <si>
    <t>Volllaststunden</t>
  </si>
  <si>
    <t>Primärenergie nicht ern.</t>
  </si>
  <si>
    <t>t</t>
  </si>
  <si>
    <t>PEne</t>
  </si>
  <si>
    <t>HEL</t>
  </si>
  <si>
    <t>Gas</t>
  </si>
  <si>
    <t>Pell</t>
  </si>
  <si>
    <t>StH</t>
  </si>
  <si>
    <t>Bio</t>
  </si>
  <si>
    <t>FW</t>
  </si>
  <si>
    <t>W01</t>
  </si>
  <si>
    <t>W02</t>
  </si>
  <si>
    <t>W03</t>
  </si>
  <si>
    <t>HSch</t>
  </si>
  <si>
    <t>El</t>
  </si>
  <si>
    <r>
      <t>W/m</t>
    </r>
    <r>
      <rPr>
        <vertAlign val="superscript"/>
        <sz val="10"/>
        <rFont val="Arial"/>
        <family val="2"/>
      </rPr>
      <t>2</t>
    </r>
  </si>
  <si>
    <t>h</t>
  </si>
  <si>
    <t>Nebenraum</t>
  </si>
  <si>
    <t>Verkauf Möbel, Bau, Garten</t>
  </si>
  <si>
    <t>Behandlungsraum</t>
  </si>
  <si>
    <t>Garderobe, Dusche</t>
  </si>
  <si>
    <t xml:space="preserve">Ölfeuerung kondensierend </t>
  </si>
  <si>
    <t xml:space="preserve">Gasfeuerung kondensierend </t>
  </si>
  <si>
    <t xml:space="preserve">Pelletfeuerung </t>
  </si>
  <si>
    <t xml:space="preserve">Elektrospeicher-Zentralheizung </t>
  </si>
  <si>
    <t xml:space="preserve">Elektro direkt </t>
  </si>
  <si>
    <t xml:space="preserve">Elekro-Wassererwärmer </t>
  </si>
  <si>
    <t xml:space="preserve">Gas-Wassererwärmer </t>
  </si>
  <si>
    <t>Solarenergie thermisch</t>
  </si>
  <si>
    <t>Volumenstr.</t>
  </si>
  <si>
    <t>Energiebezugsfläche (EBF)</t>
  </si>
  <si>
    <t>Bedarf pro Energiebezugsfläche</t>
  </si>
  <si>
    <r>
      <t>m</t>
    </r>
    <r>
      <rPr>
        <vertAlign val="superscript"/>
        <sz val="10"/>
        <rFont val="Arial"/>
        <family val="2"/>
      </rPr>
      <t>3</t>
    </r>
    <r>
      <rPr>
        <sz val="10"/>
        <rFont val="Arial"/>
        <family val="2"/>
      </rPr>
      <t>/h</t>
    </r>
  </si>
  <si>
    <r>
      <t>kWh/m</t>
    </r>
    <r>
      <rPr>
        <vertAlign val="superscript"/>
        <sz val="10"/>
        <rFont val="Arial"/>
        <family val="2"/>
      </rPr>
      <t>2</t>
    </r>
  </si>
  <si>
    <t>Projekt</t>
  </si>
  <si>
    <t>Energietr.</t>
  </si>
  <si>
    <t>Geräte</t>
  </si>
  <si>
    <t>Speicher - und Verteilverluste</t>
  </si>
  <si>
    <r>
      <t>kg/m</t>
    </r>
    <r>
      <rPr>
        <vertAlign val="superscript"/>
        <sz val="10"/>
        <rFont val="Arial"/>
        <family val="2"/>
      </rPr>
      <t>2</t>
    </r>
  </si>
  <si>
    <t>Stückholzfeuerung</t>
  </si>
  <si>
    <t xml:space="preserve">Hackschnitzelfeuerung </t>
  </si>
  <si>
    <t xml:space="preserve">Fernwärme (CH-Durchschnitt) </t>
  </si>
  <si>
    <t xml:space="preserve">WKK, thermischer Nutzungsgrad </t>
  </si>
  <si>
    <t>Elektrische Energie</t>
  </si>
  <si>
    <t>Standardwert</t>
  </si>
  <si>
    <t>Projektwert</t>
  </si>
  <si>
    <t>Energiekennzahlen für Standard, Zielwert und Bestand</t>
  </si>
  <si>
    <t>Leistungskennzahlen für Standard, Zielwert und Bestand</t>
  </si>
  <si>
    <t>Standardwerte</t>
  </si>
  <si>
    <t>Zielwerte</t>
  </si>
  <si>
    <t>Werte Bestand</t>
  </si>
  <si>
    <t>Wohnen MFH</t>
  </si>
  <si>
    <t>1.2</t>
  </si>
  <si>
    <t>Wohnen EFH</t>
  </si>
  <si>
    <t>Raumnutzung</t>
  </si>
  <si>
    <t>Raum</t>
  </si>
  <si>
    <t>Personenfläche</t>
  </si>
  <si>
    <t>Warmwasserbedarf pro Person</t>
  </si>
  <si>
    <r>
      <t>m</t>
    </r>
    <r>
      <rPr>
        <vertAlign val="superscript"/>
        <sz val="10"/>
        <color indexed="63"/>
        <rFont val="Arial"/>
        <family val="2"/>
      </rPr>
      <t>3</t>
    </r>
    <r>
      <rPr>
        <sz val="10"/>
        <color indexed="63"/>
        <rFont val="Arial"/>
        <family val="2"/>
      </rPr>
      <t>/(h</t>
    </r>
    <r>
      <rPr>
        <sz val="10"/>
        <color indexed="63"/>
        <rFont val="Symbol"/>
        <family val="1"/>
        <charset val="2"/>
      </rPr>
      <t>×</t>
    </r>
    <r>
      <rPr>
        <sz val="10"/>
        <color indexed="63"/>
        <rFont val="Arial"/>
        <family val="2"/>
      </rPr>
      <t>m</t>
    </r>
    <r>
      <rPr>
        <vertAlign val="superscript"/>
        <sz val="10"/>
        <color indexed="63"/>
        <rFont val="Arial"/>
        <family val="2"/>
      </rPr>
      <t>2</t>
    </r>
    <r>
      <rPr>
        <sz val="10"/>
        <color indexed="63"/>
        <rFont val="Arial"/>
        <family val="2"/>
      </rPr>
      <t>)</t>
    </r>
  </si>
  <si>
    <r>
      <t>l/(d</t>
    </r>
    <r>
      <rPr>
        <sz val="10"/>
        <color indexed="63"/>
        <rFont val="Symbol"/>
        <family val="1"/>
        <charset val="2"/>
      </rPr>
      <t>×</t>
    </r>
    <r>
      <rPr>
        <sz val="10"/>
        <color indexed="63"/>
        <rFont val="Arial"/>
        <family val="2"/>
      </rPr>
      <t>P)</t>
    </r>
  </si>
  <si>
    <t>Nr</t>
  </si>
  <si>
    <t>Anlagengyp</t>
  </si>
  <si>
    <t>PV-Anlage</t>
  </si>
  <si>
    <t>WKK-Biogas</t>
  </si>
  <si>
    <t>EE01</t>
  </si>
  <si>
    <t>EE02</t>
  </si>
  <si>
    <t>EE03</t>
  </si>
  <si>
    <t>EE04</t>
  </si>
  <si>
    <t>Generator Wirkungsgrad</t>
  </si>
  <si>
    <t>Azimut</t>
  </si>
  <si>
    <t>Einheit</t>
  </si>
  <si>
    <t>Anzahl</t>
  </si>
  <si>
    <t>Stk</t>
  </si>
  <si>
    <t>Anlagentyp</t>
  </si>
  <si>
    <t>Installierte Leistung</t>
  </si>
  <si>
    <t>Produzierte Energie</t>
  </si>
  <si>
    <t>elektr.</t>
  </si>
  <si>
    <t>therm.</t>
  </si>
  <si>
    <t>Eingaben Photovoltaik</t>
  </si>
  <si>
    <t>Orient.</t>
  </si>
  <si>
    <t>°deg</t>
  </si>
  <si>
    <t>Faktor</t>
  </si>
  <si>
    <t>Sys. Nutzungsgrad</t>
  </si>
  <si>
    <t>Sprache</t>
  </si>
  <si>
    <t>Deutsch</t>
  </si>
  <si>
    <t>Français</t>
  </si>
  <si>
    <t>Italiano</t>
  </si>
  <si>
    <t>Französisch</t>
  </si>
  <si>
    <t>Italienisch</t>
  </si>
  <si>
    <t>Habitat collectif</t>
  </si>
  <si>
    <t>Abitazione plurifamiliare</t>
  </si>
  <si>
    <t>Habitat individuel</t>
  </si>
  <si>
    <t>Abitazione monofamiliare</t>
  </si>
  <si>
    <t>Chambre d'hôtel</t>
  </si>
  <si>
    <t>Camera d'albergo</t>
  </si>
  <si>
    <t>Réception, zone d'accueil</t>
  </si>
  <si>
    <t>Bureau individuel, collectif</t>
  </si>
  <si>
    <t>Bureau paysagé</t>
  </si>
  <si>
    <t>Salle de réunion</t>
  </si>
  <si>
    <t>Sala riunioni</t>
  </si>
  <si>
    <t>Hall des guichets, zone clientèle</t>
  </si>
  <si>
    <t>Salle d'école</t>
  </si>
  <si>
    <t>Aula scolastica</t>
  </si>
  <si>
    <t>Salle des maîtres</t>
  </si>
  <si>
    <t>Bibliothèque</t>
  </si>
  <si>
    <t>Biblioteca</t>
  </si>
  <si>
    <t>Auditoire</t>
  </si>
  <si>
    <t>Auditorio</t>
  </si>
  <si>
    <t>Schulfachraum (Spezialraum)</t>
  </si>
  <si>
    <t>Magasin d'alimentation</t>
  </si>
  <si>
    <t>Magasin grande surface</t>
  </si>
  <si>
    <t>Ristorante</t>
  </si>
  <si>
    <t>Restaurant self-service</t>
  </si>
  <si>
    <t>Ristorante self-service</t>
  </si>
  <si>
    <t>Cuisine de restaurant</t>
  </si>
  <si>
    <t>Cuisine de restaurant self-service</t>
  </si>
  <si>
    <t>Halle d'exposition</t>
  </si>
  <si>
    <t>Chambre d'hôpital</t>
  </si>
  <si>
    <t>Production (travail lourd)</t>
  </si>
  <si>
    <t>Production (travail fin)</t>
  </si>
  <si>
    <t>Laboratorio</t>
  </si>
  <si>
    <t>Entrepôt</t>
  </si>
  <si>
    <t>Salle de gymnastique</t>
  </si>
  <si>
    <t>Palestra</t>
  </si>
  <si>
    <t>Salle de fitness</t>
  </si>
  <si>
    <t>Locale fitness</t>
  </si>
  <si>
    <t>Piscine couverte</t>
  </si>
  <si>
    <t>Piscina coperta</t>
  </si>
  <si>
    <t>Surface de dégagement</t>
  </si>
  <si>
    <t>Superficie di circolazione</t>
  </si>
  <si>
    <t>Surface de dégagement 24h</t>
  </si>
  <si>
    <t>Superficie di circolazione 24h</t>
  </si>
  <si>
    <t>Cage d'escalier</t>
  </si>
  <si>
    <t>WC, salle de bain, douche</t>
  </si>
  <si>
    <t>WC, bagno, doccia</t>
  </si>
  <si>
    <t>Vestiaire, douche</t>
  </si>
  <si>
    <t>Garage collectif</t>
  </si>
  <si>
    <t>Buanderie, séchoir</t>
  </si>
  <si>
    <t>Chambre froide</t>
  </si>
  <si>
    <t>Salle de serveurs</t>
  </si>
  <si>
    <t>Locale server</t>
  </si>
  <si>
    <t>Désignation</t>
  </si>
  <si>
    <t>Descrizione</t>
  </si>
  <si>
    <t>Utilisation du local</t>
  </si>
  <si>
    <t>Local</t>
  </si>
  <si>
    <t>Locale</t>
  </si>
  <si>
    <t>Personnes</t>
  </si>
  <si>
    <t>Persone</t>
  </si>
  <si>
    <t>Appareils</t>
  </si>
  <si>
    <t>Apparecchi</t>
  </si>
  <si>
    <t>Eclairage</t>
  </si>
  <si>
    <t>Illuminazione</t>
  </si>
  <si>
    <t>Ventilation</t>
  </si>
  <si>
    <t>Ventilazione</t>
  </si>
  <si>
    <t>Climatisation</t>
  </si>
  <si>
    <t>Climatizzazione</t>
  </si>
  <si>
    <t>Chauffage</t>
  </si>
  <si>
    <t>Riscaldamento</t>
  </si>
  <si>
    <t>Eau chaude</t>
  </si>
  <si>
    <t>Cible</t>
  </si>
  <si>
    <t>Mirato</t>
  </si>
  <si>
    <t>Existant</t>
  </si>
  <si>
    <t>Valeur projet</t>
  </si>
  <si>
    <t>Valore standard</t>
  </si>
  <si>
    <t>Kompaktkältemaschine 14°C</t>
  </si>
  <si>
    <t>Kompaktkältemaschine 7°C</t>
  </si>
  <si>
    <t>Kältemaschine 7°C</t>
  </si>
  <si>
    <t>Kältemaschine 14°C</t>
  </si>
  <si>
    <t>Direktkühlung Erdreich</t>
  </si>
  <si>
    <t>Direktkühlung Grundwasser</t>
  </si>
  <si>
    <t>Wärmepumpe Aussenluft 35°C</t>
  </si>
  <si>
    <t>Wärmepumpe Aussenluft 50°C</t>
  </si>
  <si>
    <t>Wärmepumpe Erdsonden 35°C</t>
  </si>
  <si>
    <t>Wärmepumpe Erdsonden 50°C</t>
  </si>
  <si>
    <t>Wärmepumpe Grundwasser 35°C</t>
  </si>
  <si>
    <t>Wärmepumpe Grundwasser 50°C</t>
  </si>
  <si>
    <t>Wärmepumpe Aussenluft</t>
  </si>
  <si>
    <t>Wärmepumpe Erdsonden</t>
  </si>
  <si>
    <t>Wärmepumpe Grundwasser</t>
  </si>
  <si>
    <t>Holz</t>
  </si>
  <si>
    <t>Production de froid</t>
  </si>
  <si>
    <t>Production de chaleur</t>
  </si>
  <si>
    <t>Production ECS</t>
  </si>
  <si>
    <t>Production d'électricité</t>
  </si>
  <si>
    <t>Locaux</t>
  </si>
  <si>
    <t>PAC air extérieur 35°C</t>
  </si>
  <si>
    <t>PAC air extérieur 50°C</t>
  </si>
  <si>
    <t>Emissions de gaz à effet de serre</t>
  </si>
  <si>
    <t>beheizt</t>
  </si>
  <si>
    <t>Débit vol.</t>
  </si>
  <si>
    <t>Puissance</t>
  </si>
  <si>
    <t>Besoin</t>
  </si>
  <si>
    <t>chauffé</t>
  </si>
  <si>
    <t>climatisé</t>
  </si>
  <si>
    <t>ventilé</t>
  </si>
  <si>
    <t>Surface</t>
  </si>
  <si>
    <t>SRE</t>
  </si>
  <si>
    <t>SN</t>
  </si>
  <si>
    <t>Energie auxiliaire</t>
  </si>
  <si>
    <t>Energie finale</t>
  </si>
  <si>
    <t>Taux de couverture</t>
  </si>
  <si>
    <t>Pertes de stockage et distribution</t>
  </si>
  <si>
    <t>Froid (pertes incl.)</t>
  </si>
  <si>
    <t>Type de production</t>
  </si>
  <si>
    <t>Projet</t>
  </si>
  <si>
    <t>Progetto</t>
  </si>
  <si>
    <t>Heures à pleine charge</t>
  </si>
  <si>
    <t>Ore a pieno carico</t>
  </si>
  <si>
    <t>Réseau de chaleur</t>
  </si>
  <si>
    <t>Biogaz</t>
  </si>
  <si>
    <t>Gaz naturel</t>
  </si>
  <si>
    <t>Electricité</t>
  </si>
  <si>
    <t>Copeaux de bois</t>
  </si>
  <si>
    <t>Energie pondérée</t>
  </si>
  <si>
    <t>Chaleur (pertes incl.)</t>
  </si>
  <si>
    <t>Agent énergétique</t>
  </si>
  <si>
    <t>Agent én.</t>
  </si>
  <si>
    <t>Energie primaire non renouvelable</t>
  </si>
  <si>
    <t>Chauffage à bûches</t>
  </si>
  <si>
    <t>Chauffage gaz à condensation</t>
  </si>
  <si>
    <t>Chauffage central électrique à accumulation</t>
  </si>
  <si>
    <t>Chauffage aux copeaux de bois</t>
  </si>
  <si>
    <t>Chauffage à distance (moyenne CH)</t>
  </si>
  <si>
    <t>Chauffage aux pellets</t>
  </si>
  <si>
    <t>Chauffe-eau électrique</t>
  </si>
  <si>
    <t>Chauffe-eau gaz</t>
  </si>
  <si>
    <t>Energie solaire thermique</t>
  </si>
  <si>
    <t>PAC sur nappe 35°C</t>
  </si>
  <si>
    <t>PAC sur nappe 50°C</t>
  </si>
  <si>
    <t>Chauffage mazout à condensation</t>
  </si>
  <si>
    <t>Chaudière à mazout à condensation</t>
  </si>
  <si>
    <t>Chaudière à gaz à condensation</t>
  </si>
  <si>
    <t>Refroidissement direct par le sol</t>
  </si>
  <si>
    <t>Refroidissement direct par la nappe</t>
  </si>
  <si>
    <t>Machine frigorifique 7°C</t>
  </si>
  <si>
    <t>Machine frigorifique 14°C</t>
  </si>
  <si>
    <t>Machine frigorifique compacte 7°C</t>
  </si>
  <si>
    <t>Taux de surface de construction</t>
  </si>
  <si>
    <t>Surface de référence énergétique (SRE)</t>
  </si>
  <si>
    <t>Taux</t>
  </si>
  <si>
    <t>Besoin par surface de référence énergétique</t>
  </si>
  <si>
    <t>Energie électrique</t>
  </si>
  <si>
    <t>Energie thermique</t>
  </si>
  <si>
    <t>Champs de valeurs</t>
  </si>
  <si>
    <t>Champs de saisie</t>
  </si>
  <si>
    <t>Fraction utile</t>
  </si>
  <si>
    <t>PAC sondes géothermiques 35°C</t>
  </si>
  <si>
    <t>PAC sondes géothermiques 50°C</t>
  </si>
  <si>
    <t>Surface de plancher (SP)</t>
  </si>
  <si>
    <t>Bûches de bois</t>
  </si>
  <si>
    <t>Mazout ultra léger</t>
  </si>
  <si>
    <t>Superficie di piano (SP)</t>
  </si>
  <si>
    <t>Superficie di riferimento energetico (SRE)</t>
  </si>
  <si>
    <t>Bois</t>
  </si>
  <si>
    <t>Chauffage électrique direct</t>
  </si>
  <si>
    <t>Couplage chaleur-force, fraction thermique utile</t>
  </si>
  <si>
    <t>Magazzino</t>
  </si>
  <si>
    <t>Esistente</t>
  </si>
  <si>
    <t>Valeur standard</t>
  </si>
  <si>
    <t>Totale</t>
  </si>
  <si>
    <t>Potenza</t>
  </si>
  <si>
    <t>Energia</t>
  </si>
  <si>
    <t>Fabbisogno</t>
  </si>
  <si>
    <t>Quota di superficie di costruzione</t>
  </si>
  <si>
    <t>Quota</t>
  </si>
  <si>
    <t>Vettore energetico</t>
  </si>
  <si>
    <t>Energia primaria non rinnovabile</t>
  </si>
  <si>
    <t>Emissioni di gas a effetto serra</t>
  </si>
  <si>
    <t>Grado di rendimento</t>
  </si>
  <si>
    <t>Energia ausiliaria</t>
  </si>
  <si>
    <t>Vettore en.</t>
  </si>
  <si>
    <t>Legna</t>
  </si>
  <si>
    <t>Gas naturale</t>
  </si>
  <si>
    <t>Olio combustibile</t>
  </si>
  <si>
    <t>Elettricità</t>
  </si>
  <si>
    <t>Energia finale</t>
  </si>
  <si>
    <t>Energia termica</t>
  </si>
  <si>
    <t>Energia elettrica</t>
  </si>
  <si>
    <t>Flusso d'aria</t>
  </si>
  <si>
    <t>Superficie</t>
  </si>
  <si>
    <t>Trucioli di legno</t>
  </si>
  <si>
    <t>Macchina frigorigena 14°C</t>
  </si>
  <si>
    <t>Grado di copertura</t>
  </si>
  <si>
    <t>Salle polyvalente</t>
  </si>
  <si>
    <t>Anteil der Raumnutzflächen</t>
  </si>
  <si>
    <t>Warmwassererzeugung</t>
  </si>
  <si>
    <t>Aufheizzeit Warmwasser pro Tag:</t>
  </si>
  <si>
    <t>h/d</t>
  </si>
  <si>
    <t>Rechenwert</t>
  </si>
  <si>
    <t>Elektrizitätserzeugung</t>
  </si>
  <si>
    <t>Energie auxiliaire (%)</t>
  </si>
  <si>
    <t>Sonne</t>
  </si>
  <si>
    <t>Soleil</t>
  </si>
  <si>
    <t>Sole</t>
  </si>
  <si>
    <t>Anleitung - SIA 2024 Gebäude-Tool</t>
  </si>
  <si>
    <t>Istruzioni - SIA 2024 Tool Edifici</t>
  </si>
  <si>
    <t>deutsch/français</t>
  </si>
  <si>
    <t>deutsch</t>
  </si>
  <si>
    <t>français</t>
  </si>
  <si>
    <t>Langue</t>
  </si>
  <si>
    <t>Lingua</t>
  </si>
  <si>
    <t>Werte aus anderen Quellen</t>
  </si>
  <si>
    <t>Abkürzung</t>
  </si>
  <si>
    <t>Sigle</t>
  </si>
  <si>
    <t>KE04</t>
  </si>
  <si>
    <t>KE05</t>
  </si>
  <si>
    <t>KE06</t>
  </si>
  <si>
    <t>WE04</t>
  </si>
  <si>
    <t>WE05</t>
  </si>
  <si>
    <t>WE06</t>
  </si>
  <si>
    <t>WE07</t>
  </si>
  <si>
    <t>WE08</t>
  </si>
  <si>
    <t>WE09</t>
  </si>
  <si>
    <t>WE10</t>
  </si>
  <si>
    <t>WE11</t>
  </si>
  <si>
    <t>WE12</t>
  </si>
  <si>
    <t>WE13</t>
  </si>
  <si>
    <t>WE14</t>
  </si>
  <si>
    <t>WE15</t>
  </si>
  <si>
    <t>WE16</t>
  </si>
  <si>
    <t>W04</t>
  </si>
  <si>
    <t>W05</t>
  </si>
  <si>
    <t>W06</t>
  </si>
  <si>
    <t>W07</t>
  </si>
  <si>
    <t>W08</t>
  </si>
  <si>
    <t>W09</t>
  </si>
  <si>
    <t>W10</t>
  </si>
  <si>
    <t>W11</t>
  </si>
  <si>
    <t>W12</t>
  </si>
  <si>
    <t>W13</t>
  </si>
  <si>
    <t>Valeur de calcule</t>
  </si>
  <si>
    <t>Valeurs d'autre source</t>
  </si>
  <si>
    <t>Status</t>
  </si>
  <si>
    <t>Lizenzierung</t>
  </si>
  <si>
    <t>Bevor Sie mit diesem Tool arbeiten können, müssen Sie eine Lizenz erwerben. Geben Sie Ihren Firmennamen ein und klicken Sie auf «Lizenz bestellen». Sie gelangen zum Bestellformular. Sobald Sie dieses ausgefüllt haben, erhalten Sie den Freigabeschlüssel per E-Mail. Bitte geben Sie diesen unten ein und klicken «Lizenzieren».</t>
  </si>
  <si>
    <t>Firmenname</t>
  </si>
  <si>
    <t>Bitte geben Sie den per E-Mail erhaltenen Freigabeschlüssel ein und klicken auf «Lizenzieren».</t>
  </si>
  <si>
    <t>Freigabeschlüssel</t>
  </si>
  <si>
    <t>Hinweis: Das Tool wird weiterentwickelt. Updates sind auf der Website www.energytools.ch erhältlich.</t>
  </si>
  <si>
    <r>
      <t>m</t>
    </r>
    <r>
      <rPr>
        <vertAlign val="superscript"/>
        <sz val="10"/>
        <rFont val="Arial"/>
        <family val="2"/>
      </rPr>
      <t>3</t>
    </r>
    <r>
      <rPr>
        <sz val="10"/>
        <rFont val="Arial"/>
        <family val="2"/>
      </rPr>
      <t>/(m</t>
    </r>
    <r>
      <rPr>
        <vertAlign val="superscript"/>
        <sz val="10"/>
        <rFont val="Arial"/>
        <family val="2"/>
      </rPr>
      <t>2</t>
    </r>
    <r>
      <rPr>
        <sz val="10"/>
        <rFont val="Arial"/>
        <family val="2"/>
      </rPr>
      <t>h)</t>
    </r>
  </si>
  <si>
    <t>italiano</t>
  </si>
  <si>
    <t>Locali</t>
  </si>
  <si>
    <t xml:space="preserve">Das Merkblatt SIA 2024 dient der Vereinheitlichung von Annahmen über die Raumnutzungen. Diese Annahmen sollen bei den Berechnungen und Nachweisen nach den Normen der Energie- und Gebäudeteechnik verwendet werden, solange keine genaueren Angaben vorliegen. </t>
  </si>
  <si>
    <t xml:space="preserve">Für die Anzeige und den Ausdruck der Raumdatenblätter gemäss SIA 2024 steht unter www.energytools.ch das Excel Tool "SIA 2024 Raumdatenblätter" zur Verfügung. </t>
  </si>
  <si>
    <t>Dieses Excel Tool ermöglicht die Abschätzung des Leistungs- und Energiebedarfs von Gebäuden in einer frühen Planungsphase. Bei der Anwendung sind zwingend die Festlegungen in SIA 2024 zu berücksichtigen.</t>
  </si>
  <si>
    <t>Cet outil Excel permet d'évaluer la demande en puissance et en énergie des bâtiments dans les premières phases d'étude. Il est impératif de tenir compte des spécifications du cahier technique SIA 2024 lors de l'utilisation de cet outil.</t>
  </si>
  <si>
    <t>Erste Schritte</t>
  </si>
  <si>
    <t>Premiers pas</t>
  </si>
  <si>
    <t>Projektname</t>
  </si>
  <si>
    <t>Autor</t>
  </si>
  <si>
    <t>Raumnutzungen - Verknüpft mit Auswahlfeldern</t>
  </si>
  <si>
    <t>Nom de projet</t>
  </si>
  <si>
    <t>Auteur</t>
  </si>
  <si>
    <t>Autore</t>
  </si>
  <si>
    <t>Nome del progetto</t>
  </si>
  <si>
    <t>Lizenzieren</t>
  </si>
  <si>
    <t>Anleitung</t>
  </si>
  <si>
    <t>Erzeugung</t>
  </si>
  <si>
    <t>Licence</t>
  </si>
  <si>
    <t>Licenza</t>
  </si>
  <si>
    <t>Instructions</t>
  </si>
  <si>
    <t>Istruzioni</t>
  </si>
  <si>
    <t>Eingabedaten, die Sie brauchen um ein Projekt zu berechnen:</t>
  </si>
  <si>
    <t>geplante Wärme- und Kälteerzeuger</t>
  </si>
  <si>
    <t>geplante Warmwassererzeuger</t>
  </si>
  <si>
    <t>Blattname</t>
  </si>
  <si>
    <t>Nom de feuille</t>
  </si>
  <si>
    <t>geplante Raumnutzungen nach SIA 2024</t>
  </si>
  <si>
    <t>1.</t>
  </si>
  <si>
    <t>2.</t>
  </si>
  <si>
    <t>3.</t>
  </si>
  <si>
    <t>Schauen Sie sich die Beispiele "Büro" und "Wohnen" an.</t>
  </si>
  <si>
    <t>Um ein neues Gebäude zu rechnen, erstellen Sie ein neues Eingabeblatt, indem Sie einen Blattnamen in die Eingabezeile unten eingeben und die "+" Schaltfläche drücken.</t>
  </si>
  <si>
    <t>Um bereits eingefügte Blätter zu löschen, geben Sie den Blattnamen erneut ein und drücken Sie die "-" Schaltfläche.</t>
  </si>
  <si>
    <t>dazugehörige Nettogeschossflächen</t>
  </si>
  <si>
    <t>Anteil der Konstruktionsfläche an EBF</t>
  </si>
  <si>
    <t>Max Muster</t>
  </si>
  <si>
    <t>Production</t>
  </si>
  <si>
    <t>Begriffe - Anleitung</t>
  </si>
  <si>
    <t>Begriffe- Gebäudetool</t>
  </si>
  <si>
    <t>Produzione</t>
  </si>
  <si>
    <t>Part de la surface utile</t>
  </si>
  <si>
    <t>Pezzi di legno</t>
  </si>
  <si>
    <t>Produzione di calore</t>
  </si>
  <si>
    <t>ventilato</t>
  </si>
  <si>
    <t>Pour calculer un nouveau bâtiment, créez une nouvelle feuille d'entrée en tapant un nom de feuille dans la ligne d'entrée ci-dessous et en appuyant sur le bouton "+".</t>
  </si>
  <si>
    <t>Pour supprimer les feuilles déjà insérées, entrez à nouveau le nom de la feuille et appuyez sur le bouton "-".</t>
  </si>
  <si>
    <t>Beispiel/exemple/esempio</t>
  </si>
  <si>
    <t>Part de la zone de construction à SRE</t>
  </si>
  <si>
    <t>Spätenstens im Bauprojekt müssen für die Dimensionierung der Anlagen die projektspezifischen Gebäudedaten, Nutzungsbedingungen und Bemessungskriterien festgelegt und festgehalten werden.</t>
  </si>
  <si>
    <t>Utilisation du local (SIA 2024)</t>
  </si>
  <si>
    <t>PAC air extérieur</t>
  </si>
  <si>
    <t>PAC sondes géothermiques</t>
  </si>
  <si>
    <t>PAC sur nappe souterraine</t>
  </si>
  <si>
    <t>geplanter Baustandard:</t>
  </si>
  <si>
    <t>Typische Planungswerte für Neubauten und Gesamterneuerungen, welche die SIA-Grenzwerte einhalten.</t>
  </si>
  <si>
    <t>Optimale Planungswerte für Neubauten und Gesamterneuerungen, welche die SIA-Zielwerte einhalten.</t>
  </si>
  <si>
    <t>SIA 2024 Gebäude-Tool</t>
  </si>
  <si>
    <t>SIA 2024 Logiciel Bâtiment</t>
  </si>
  <si>
    <t>SIA 2024 Tool Edifici</t>
  </si>
  <si>
    <t>Instruction - SIA 2024 Logiciel Bâtiment</t>
  </si>
  <si>
    <t>Valeurs de planification optimales pour les nouveaux bâtiments et rénovations totales conformes aux valeurs cibles SIA.</t>
  </si>
  <si>
    <t>Valeurs de planification typiques pour les nouveaux bâtiments et rénovations totales conformes aux valeurs limites SIA.</t>
  </si>
  <si>
    <t>norme de construction planifiée:</t>
  </si>
  <si>
    <t>standard di costruzione pianificato:</t>
  </si>
  <si>
    <t>Typische Werte für bestehende, energetisch nicht erneuerte Gebäude mit Baujahr vor 1980</t>
  </si>
  <si>
    <t>Valeurs typiques des bâtiments existants non rénovés construits avant 1980</t>
  </si>
  <si>
    <t xml:space="preserve">Hinweis: In Excel müssen die Makros aktiviert werden, weitere Informationen finden Sie in der Hilfe Ihres Office-Programms. </t>
  </si>
  <si>
    <t>Temps de chauffage d'eau chaude par jour</t>
  </si>
  <si>
    <t>L'outil Excel "SIA 2024 Fiches techniques des locaux" disponible sur www.energytools.ch permet d'afficher et d'imprimer les fiches techniques des locaux en conformité avec SIA 2024.</t>
  </si>
  <si>
    <t>Lo strumento Excel "Schede tecniche dei locali SIA 2024" disponibile sul sito www.energytools.ch permette la visualizzazione e la stampa di schede tecniche dei locali in conformità con SIA 2024.</t>
  </si>
  <si>
    <t>Primi passi</t>
  </si>
  <si>
    <t>Regardez les exemples "Bureau" et "Habitat".</t>
  </si>
  <si>
    <t>Per calcolare un nuovo edificio, creare un nuovo foglio di input digitando il nome di un foglio nella riga di inserimento sottostante e premendo il pulsante "+".</t>
  </si>
  <si>
    <t>Nome del foglio</t>
  </si>
  <si>
    <t>Données dont vous avez besoin pour calculer un projet:</t>
  </si>
  <si>
    <t>Dati necessari per calcolare un progetto:</t>
  </si>
  <si>
    <t>Locaux types planifiés selon SIA 2024</t>
  </si>
  <si>
    <t>surface nette de plancher associée</t>
  </si>
  <si>
    <t>Prozessanlagen</t>
  </si>
  <si>
    <t>Elektroverbraucher nach kWh/m²</t>
  </si>
  <si>
    <t>tief</t>
  </si>
  <si>
    <t>mittel</t>
  </si>
  <si>
    <t>hoch</t>
  </si>
  <si>
    <t>Notlichtanlage mit Bereitschaft</t>
  </si>
  <si>
    <t>Notlichtanlage mit Dauerlicht</t>
  </si>
  <si>
    <t>Beschattungsanlage (manuell)</t>
  </si>
  <si>
    <t>Beschattungsanlage (automatisch)</t>
  </si>
  <si>
    <t>Beschattungsanlage (auto. + HLK)</t>
  </si>
  <si>
    <t>Gebäudeautomation</t>
  </si>
  <si>
    <t>Einbruchmeldeanlage</t>
  </si>
  <si>
    <t>Kleinstverbraucher</t>
  </si>
  <si>
    <t>Schrankenanlage</t>
  </si>
  <si>
    <t>Zentrale Parkuhr</t>
  </si>
  <si>
    <t>Drehtüre on/off</t>
  </si>
  <si>
    <t>Drehtüre schleichend</t>
  </si>
  <si>
    <t>Schiebetüre</t>
  </si>
  <si>
    <t>Drehkreuz</t>
  </si>
  <si>
    <t>Zutrittskontrolle</t>
  </si>
  <si>
    <t>Aufzug</t>
  </si>
  <si>
    <t>Allgemeine Gebäudetechnik</t>
  </si>
  <si>
    <t>AG01</t>
  </si>
  <si>
    <t>AG02</t>
  </si>
  <si>
    <t>AG03</t>
  </si>
  <si>
    <t>AG04</t>
  </si>
  <si>
    <t>AG05</t>
  </si>
  <si>
    <t>kWh</t>
  </si>
  <si>
    <t>AG06</t>
  </si>
  <si>
    <t>AG07</t>
  </si>
  <si>
    <t>AG08</t>
  </si>
  <si>
    <t>AG09</t>
  </si>
  <si>
    <t>Wert</t>
  </si>
  <si>
    <t>Intensität</t>
  </si>
  <si>
    <t>AG10</t>
  </si>
  <si>
    <t>Nettofläche</t>
  </si>
  <si>
    <t>Volllaststd.</t>
  </si>
  <si>
    <t>* Vorschlag, zur Diskussion mit SIA 20256</t>
  </si>
  <si>
    <t>Werte Allgemeine Gebäudetechnik gemäss Minergie Strommodell, Bericht Stefan Gasser 2018</t>
  </si>
  <si>
    <t>Datum</t>
  </si>
  <si>
    <t>Allg. Gebäudetechnik</t>
  </si>
  <si>
    <r>
      <t>W/m</t>
    </r>
    <r>
      <rPr>
        <vertAlign val="superscript"/>
        <sz val="10"/>
        <color theme="0" tint="-0.249977111117893"/>
        <rFont val="Arial"/>
        <family val="2"/>
      </rPr>
      <t>2</t>
    </r>
  </si>
  <si>
    <r>
      <t>kWh/m</t>
    </r>
    <r>
      <rPr>
        <vertAlign val="superscript"/>
        <sz val="10"/>
        <color theme="0" tint="-0.249977111117893"/>
        <rFont val="Arial"/>
        <family val="2"/>
      </rPr>
      <t>2</t>
    </r>
  </si>
  <si>
    <t>Wirkungsgrad</t>
  </si>
  <si>
    <t>Aussenluft</t>
  </si>
  <si>
    <t>Abluft</t>
  </si>
  <si>
    <t>einstufig</t>
  </si>
  <si>
    <t>zweistufig</t>
  </si>
  <si>
    <t>stufenlos</t>
  </si>
  <si>
    <r>
      <t>l/(d</t>
    </r>
    <r>
      <rPr>
        <sz val="10"/>
        <color indexed="63"/>
        <rFont val="Symbol"/>
        <family val="1"/>
        <charset val="2"/>
      </rPr>
      <t>×</t>
    </r>
    <r>
      <rPr>
        <sz val="10"/>
        <color indexed="63"/>
        <rFont val="Arial"/>
        <family val="2"/>
      </rPr>
      <t>m</t>
    </r>
    <r>
      <rPr>
        <vertAlign val="superscript"/>
        <sz val="10"/>
        <color indexed="63"/>
        <rFont val="Arial"/>
        <family val="2"/>
      </rPr>
      <t>2</t>
    </r>
    <r>
      <rPr>
        <sz val="10"/>
        <color indexed="63"/>
        <rFont val="Arial"/>
        <family val="2"/>
      </rPr>
      <t>)</t>
    </r>
  </si>
  <si>
    <t>Deckungsgrad</t>
  </si>
  <si>
    <t>% r.F.</t>
  </si>
  <si>
    <t>Zu- und Abluft-Ventilator</t>
  </si>
  <si>
    <r>
      <t>EP</t>
    </r>
    <r>
      <rPr>
        <i/>
        <vertAlign val="subscript"/>
        <sz val="10"/>
        <rFont val="Arial"/>
        <family val="2"/>
      </rPr>
      <t>CH</t>
    </r>
  </si>
  <si>
    <r>
      <t>EP</t>
    </r>
    <r>
      <rPr>
        <i/>
        <vertAlign val="subscript"/>
        <sz val="10"/>
        <rFont val="Arial"/>
        <family val="2"/>
      </rPr>
      <t>Pnr</t>
    </r>
  </si>
  <si>
    <r>
      <t>EP</t>
    </r>
    <r>
      <rPr>
        <i/>
        <vertAlign val="subscript"/>
        <sz val="10"/>
        <rFont val="Arial"/>
        <family val="2"/>
      </rPr>
      <t>GHG</t>
    </r>
  </si>
  <si>
    <t>Nationale Energie-Kennzahl</t>
  </si>
  <si>
    <t>Berechnung LU</t>
  </si>
  <si>
    <t>Eingabe</t>
  </si>
  <si>
    <t>Grundlagen</t>
  </si>
  <si>
    <t>Beschriftung</t>
  </si>
  <si>
    <t>IST - Zustand</t>
  </si>
  <si>
    <t>IST-Zustand</t>
  </si>
  <si>
    <t>SOLL - Zustand</t>
  </si>
  <si>
    <t>L01</t>
  </si>
  <si>
    <t>Ist</t>
  </si>
  <si>
    <t>Soll</t>
  </si>
  <si>
    <t>bis 1.1 kW</t>
  </si>
  <si>
    <t>1.1-2.2 kW</t>
  </si>
  <si>
    <t>2.2 - 11 kW</t>
  </si>
  <si>
    <t xml:space="preserve">11 - 110 kW </t>
  </si>
  <si>
    <t>ab 110 kW</t>
  </si>
  <si>
    <t>Quellluft</t>
  </si>
  <si>
    <t>Luftwechsel</t>
  </si>
  <si>
    <t>Klimatsierte Fläche</t>
  </si>
  <si>
    <t>nein</t>
  </si>
  <si>
    <t>IE5</t>
  </si>
  <si>
    <t>Mischluft</t>
  </si>
  <si>
    <t>Durchschnittliche Raumhöhe</t>
  </si>
  <si>
    <t>ja</t>
  </si>
  <si>
    <t>IE4 (&gt; 2016)</t>
  </si>
  <si>
    <t>Art der Lufteinbringung</t>
  </si>
  <si>
    <t>IE3 (&lt; 2016)</t>
  </si>
  <si>
    <t>Enthalpie</t>
  </si>
  <si>
    <t>Luftfilterklasse</t>
  </si>
  <si>
    <t>Vorfilter</t>
  </si>
  <si>
    <t>0 keinen</t>
  </si>
  <si>
    <t>Stufe 1: ZUL-Ventilatorleistung</t>
  </si>
  <si>
    <t>IE2 (&lt; 2012)</t>
  </si>
  <si>
    <t>Temperatur</t>
  </si>
  <si>
    <t>Nachfilter</t>
  </si>
  <si>
    <t>Stufe 2: ZUL-Ventilatorleistung</t>
  </si>
  <si>
    <t>IE1 (&lt; 2008)</t>
  </si>
  <si>
    <t>ZUL-Ventilator</t>
  </si>
  <si>
    <t>Leistung des ZUL-Ventilators auf Stufe 1</t>
  </si>
  <si>
    <t>Stufe 3: ZUL-Ventilatorleistung</t>
  </si>
  <si>
    <t>Eff3 (&lt;1999)</t>
  </si>
  <si>
    <t>keine</t>
  </si>
  <si>
    <t xml:space="preserve">Motor: Energieeffizienzklasse / SFP-Wert </t>
  </si>
  <si>
    <t>Stufe 1: ABL-Ventilatorleistung</t>
  </si>
  <si>
    <t>Konstanten</t>
  </si>
  <si>
    <t>Adiabatisch Bef.</t>
  </si>
  <si>
    <t>Stufe 1: Volumenstrom /Ventilatorleistung</t>
  </si>
  <si>
    <t>Stufe 2: ABL-Ventilatorleistung</t>
  </si>
  <si>
    <t>Bei Quellluft</t>
  </si>
  <si>
    <t>K</t>
  </si>
  <si>
    <t>Abluft wärmer als Raumluft</t>
  </si>
  <si>
    <t>Dampfbef.</t>
  </si>
  <si>
    <t>Stufe 2: Volumenstrom /Ventilatorleistung</t>
  </si>
  <si>
    <t>Stufe 3: ABL-Ventilatorleistung</t>
  </si>
  <si>
    <t>Luftdruck</t>
  </si>
  <si>
    <t>mbar</t>
  </si>
  <si>
    <t>Stufe 3: Volumenstrom /Ventilatorleistung</t>
  </si>
  <si>
    <t>Feuchtelast</t>
  </si>
  <si>
    <t>Wärmekapazität Luft</t>
  </si>
  <si>
    <t>kJ/kgK</t>
  </si>
  <si>
    <t>cpl</t>
  </si>
  <si>
    <t>ABL-Ventilator</t>
  </si>
  <si>
    <t>Leistung des ABL-Ventilators auf Stufe 1</t>
  </si>
  <si>
    <t>Muss Leer sein</t>
  </si>
  <si>
    <t>Wärmekapazität Wasserdampf</t>
  </si>
  <si>
    <t>cpw</t>
  </si>
  <si>
    <t>Wärmekapazität Wasser</t>
  </si>
  <si>
    <t>cw</t>
  </si>
  <si>
    <t>Dichte Luft</t>
  </si>
  <si>
    <t>kg/m3</t>
  </si>
  <si>
    <t>r</t>
  </si>
  <si>
    <t>vorhanden</t>
  </si>
  <si>
    <t>Verdampfungswärme</t>
  </si>
  <si>
    <t>kJ/kg</t>
  </si>
  <si>
    <t>r0</t>
  </si>
  <si>
    <t>bei 0°C</t>
  </si>
  <si>
    <t>nicht vorhanden</t>
  </si>
  <si>
    <t>spez. Energiepreise</t>
  </si>
  <si>
    <t>Bestehend</t>
  </si>
  <si>
    <t>Optimiert</t>
  </si>
  <si>
    <t>r100</t>
  </si>
  <si>
    <t>bei 100°C</t>
  </si>
  <si>
    <t>Saisonaler Volumenstrom</t>
  </si>
  <si>
    <t>Sommerbetrieb ab einer Aussentemperatur von</t>
  </si>
  <si>
    <t>Rp. / kWh</t>
  </si>
  <si>
    <t>Volumenstromerhöhung (dV)</t>
  </si>
  <si>
    <t>Wärme</t>
  </si>
  <si>
    <t>Filterklassen</t>
  </si>
  <si>
    <t>ist</t>
  </si>
  <si>
    <t>WRG/KRG</t>
  </si>
  <si>
    <t>Wärmerückgewinnung</t>
  </si>
  <si>
    <t>Thermisch</t>
  </si>
  <si>
    <t>Kälte</t>
  </si>
  <si>
    <t>in Pa</t>
  </si>
  <si>
    <t>Feuchterückgewinnung</t>
  </si>
  <si>
    <t>Feuchte</t>
  </si>
  <si>
    <t>Rp. / m3</t>
  </si>
  <si>
    <t>F5</t>
  </si>
  <si>
    <t>Bypass für Regulierung KRG/WRG</t>
  </si>
  <si>
    <t>F6</t>
  </si>
  <si>
    <t>Kälterückgewinnung</t>
  </si>
  <si>
    <t>F7</t>
  </si>
  <si>
    <t xml:space="preserve">Vereisungsschutz </t>
  </si>
  <si>
    <t>F8</t>
  </si>
  <si>
    <t>Grenztemp. Vereisungsschutz.</t>
  </si>
  <si>
    <t>F9</t>
  </si>
  <si>
    <t>Umluft</t>
  </si>
  <si>
    <t>Frischluftanteil (für Umluftregulierung, f(Zulufttemperatur))</t>
  </si>
  <si>
    <t>Minimal</t>
  </si>
  <si>
    <t>G1</t>
  </si>
  <si>
    <t xml:space="preserve">Maximal </t>
  </si>
  <si>
    <t>G2</t>
  </si>
  <si>
    <t>Umluftregulierung anhand von</t>
  </si>
  <si>
    <t>G3</t>
  </si>
  <si>
    <t>Frischluftquelle</t>
  </si>
  <si>
    <t>Vorkonditionierte Luft von LXX, Aussenluft</t>
  </si>
  <si>
    <t>G4</t>
  </si>
  <si>
    <t>Art der Vorkonditionierten Luft</t>
  </si>
  <si>
    <t>Reglungsart des Volumenstroms</t>
  </si>
  <si>
    <t>H10</t>
  </si>
  <si>
    <t>PSFP</t>
  </si>
  <si>
    <t>Heizregister</t>
  </si>
  <si>
    <t>Register ist installiert</t>
  </si>
  <si>
    <t>H11</t>
  </si>
  <si>
    <t xml:space="preserve">SFP1+ </t>
  </si>
  <si>
    <t>&lt; 0.083</t>
  </si>
  <si>
    <t>Leistungsberechnung bei  °C</t>
  </si>
  <si>
    <t>H12</t>
  </si>
  <si>
    <t>SFP1</t>
  </si>
  <si>
    <t xml:space="preserve"> 0.083 – 0.14</t>
  </si>
  <si>
    <t xml:space="preserve">Installierte Leistung </t>
  </si>
  <si>
    <t>H13</t>
  </si>
  <si>
    <t>SFP2</t>
  </si>
  <si>
    <t xml:space="preserve"> 0.14 – 0.20</t>
  </si>
  <si>
    <t>Kälteregister</t>
  </si>
  <si>
    <t>Kühlung installiert</t>
  </si>
  <si>
    <t>H14</t>
  </si>
  <si>
    <t>SFP3</t>
  </si>
  <si>
    <t xml:space="preserve"> 0.20 – 0.35</t>
  </si>
  <si>
    <t>U15</t>
  </si>
  <si>
    <t>SFP4</t>
  </si>
  <si>
    <t xml:space="preserve"> 0.35 – 0.56</t>
  </si>
  <si>
    <t>U16</t>
  </si>
  <si>
    <t>SFP5</t>
  </si>
  <si>
    <t xml:space="preserve"> &gt;0.56</t>
  </si>
  <si>
    <t>LK-Register Wassertemperaturen</t>
  </si>
  <si>
    <t xml:space="preserve">VL </t>
  </si>
  <si>
    <t xml:space="preserve">RL </t>
  </si>
  <si>
    <t>Entfeuchtung installiert</t>
  </si>
  <si>
    <t>Max. zulässige rel. Raumfeuchtigkeit / berechnete Zuluftfeuchtigkeit Sommer</t>
  </si>
  <si>
    <t>Art der Befeuchtung</t>
  </si>
  <si>
    <t>Min. zulässige rel. Raumfeuchtigkeit / berechnete Zuluftfeuchtigkeit Winter</t>
  </si>
  <si>
    <t>Kaltwassertemperatur</t>
  </si>
  <si>
    <t>Raumlast</t>
  </si>
  <si>
    <t>Feuchtigkeitslast im Raum</t>
  </si>
  <si>
    <t>Nutzungszone</t>
  </si>
  <si>
    <t>Benutzerdefiniert</t>
  </si>
  <si>
    <t>Betriebszeiten:</t>
  </si>
  <si>
    <t>Tag 1. bis 5.</t>
  </si>
  <si>
    <t>Tag 6.</t>
  </si>
  <si>
    <t>Tag 7.</t>
  </si>
  <si>
    <t>Betriebszeiten</t>
  </si>
  <si>
    <t>von</t>
  </si>
  <si>
    <t>bis</t>
  </si>
  <si>
    <t>IST</t>
  </si>
  <si>
    <t>Mo - Fr</t>
  </si>
  <si>
    <t>Sa</t>
  </si>
  <si>
    <t>So</t>
  </si>
  <si>
    <t>Mo - So</t>
  </si>
  <si>
    <t>Stufe 1</t>
  </si>
  <si>
    <t>Stufe 1, FU</t>
  </si>
  <si>
    <t>Stufe 2</t>
  </si>
  <si>
    <t>Stufe 3</t>
  </si>
  <si>
    <t>Sommerbetrieb</t>
  </si>
  <si>
    <t>Durchschn. m3/h</t>
  </si>
  <si>
    <t xml:space="preserve">Durchschn.  kW </t>
  </si>
  <si>
    <t xml:space="preserve">Stufe 1 </t>
  </si>
  <si>
    <t>Durchschnittlicher Volumenstrom (ZUL)</t>
  </si>
  <si>
    <t>Plausibilitätstest</t>
  </si>
  <si>
    <t>SOLL-Zustand</t>
  </si>
  <si>
    <t>SOLL</t>
  </si>
  <si>
    <t>Temperaturkurve</t>
  </si>
  <si>
    <t>Zuluft</t>
  </si>
  <si>
    <t>Raumkonditionen</t>
  </si>
  <si>
    <t>Temperaturkurve Steigung</t>
  </si>
  <si>
    <t xml:space="preserve">tA </t>
  </si>
  <si>
    <t>tZUL</t>
  </si>
  <si>
    <t xml:space="preserve">tRaum </t>
  </si>
  <si>
    <t>A-B</t>
  </si>
  <si>
    <t>B-C</t>
  </si>
  <si>
    <t>C-D</t>
  </si>
  <si>
    <t>Ventilatorleistung anhand Effizienzklasse</t>
  </si>
  <si>
    <t>ZUL</t>
  </si>
  <si>
    <t>ABL</t>
  </si>
  <si>
    <t>Filterstufen</t>
  </si>
  <si>
    <t>Pa</t>
  </si>
  <si>
    <t>Vereisungsschutz</t>
  </si>
  <si>
    <t>Differenz</t>
  </si>
  <si>
    <t>Pw (Ventilatorwelle)</t>
  </si>
  <si>
    <t>Pm (Antriebsmotor)</t>
  </si>
  <si>
    <t xml:space="preserve"> </t>
  </si>
  <si>
    <t>Aussenluft (AUL)</t>
  </si>
  <si>
    <t>Aussenluft nach der Wärmerückgewinnung (AUL nWRG)</t>
  </si>
  <si>
    <t>Mischluft nach Umluftklappe (MIL) über Enthalpie geregelt</t>
  </si>
  <si>
    <t>Mischluft nach Umluftklappe (MIL) über Temperatur geregelt</t>
  </si>
  <si>
    <t xml:space="preserve">Taupunkt Kälteregister (A) </t>
  </si>
  <si>
    <t xml:space="preserve"> Kälteregister (C) </t>
  </si>
  <si>
    <t>Lineare Kühlkurve</t>
  </si>
  <si>
    <t xml:space="preserve">Mischluft nach Kühlregister (D1) </t>
  </si>
  <si>
    <t xml:space="preserve">Mischluft nach Kühlregister (D2) </t>
  </si>
  <si>
    <t xml:space="preserve">Erwärmung vor Befeuchtung (E) </t>
  </si>
  <si>
    <t xml:space="preserve">ZUL Taupunkt bei Entfeuchtung (F) </t>
  </si>
  <si>
    <t xml:space="preserve">Erwärmung ohne Befeuchtung (G) </t>
  </si>
  <si>
    <t>Fall-</t>
  </si>
  <si>
    <t>Funktionen der Lüftung</t>
  </si>
  <si>
    <t>Heizen &amp; Befeuchten</t>
  </si>
  <si>
    <t>Entfeuchten &amp; Heizen</t>
  </si>
  <si>
    <t>Kühlen &amp; (Entf.) Heizen</t>
  </si>
  <si>
    <t>Kühlen &amp; (Befeuchten)</t>
  </si>
  <si>
    <t>Fall 3 + 4</t>
  </si>
  <si>
    <t>Fall 2+3</t>
  </si>
  <si>
    <t>Fall 1</t>
  </si>
  <si>
    <t>Meteodaten</t>
  </si>
  <si>
    <t>bei AUL-Temp</t>
  </si>
  <si>
    <t>bei RaumTemp</t>
  </si>
  <si>
    <t>KRG</t>
  </si>
  <si>
    <t xml:space="preserve">Heizen </t>
  </si>
  <si>
    <t>nach WRG</t>
  </si>
  <si>
    <t>regulierter</t>
  </si>
  <si>
    <t>minimal</t>
  </si>
  <si>
    <t>maximal</t>
  </si>
  <si>
    <t>nach UML</t>
  </si>
  <si>
    <t>reguliert auf ZUL Vorgaben</t>
  </si>
  <si>
    <t>reguliert auf ZUL Feuchte</t>
  </si>
  <si>
    <t>reguliert auf ZUL Temperatur</t>
  </si>
  <si>
    <t>unterschei-</t>
  </si>
  <si>
    <t>/Klimatisierung</t>
  </si>
  <si>
    <t>Zuluft Fall 1</t>
  </si>
  <si>
    <t>Zuluft Fall 2</t>
  </si>
  <si>
    <t>Zuluft Fall 3</t>
  </si>
  <si>
    <t>Zuluft Fall 4</t>
  </si>
  <si>
    <t>Zuluft soll</t>
  </si>
  <si>
    <t>Zuluft ist</t>
  </si>
  <si>
    <t>Kühlen</t>
  </si>
  <si>
    <t>Heizen</t>
  </si>
  <si>
    <t>Kühlen Entf.</t>
  </si>
  <si>
    <t>Heizen Entf.</t>
  </si>
  <si>
    <t>Heizen Bef.</t>
  </si>
  <si>
    <t>Befeuchtung Adiabatisch</t>
  </si>
  <si>
    <t>Wasser</t>
  </si>
  <si>
    <t>Temperaturaufbereitung</t>
  </si>
  <si>
    <t>Befe</t>
  </si>
  <si>
    <t>ZUL - Feuchten</t>
  </si>
  <si>
    <t>MIL</t>
  </si>
  <si>
    <t>Enthalpie+</t>
  </si>
  <si>
    <t>Enthalpie-</t>
  </si>
  <si>
    <t>Ventilator-</t>
  </si>
  <si>
    <t>ZUL-Temp</t>
  </si>
  <si>
    <t>Diagramm</t>
  </si>
  <si>
    <t xml:space="preserve">Wasser </t>
  </si>
  <si>
    <t>starre</t>
  </si>
  <si>
    <t>Temp.</t>
  </si>
  <si>
    <t>Häufigkeit</t>
  </si>
  <si>
    <t>Abs. Feuchte</t>
  </si>
  <si>
    <t>Rel. Feuchte</t>
  </si>
  <si>
    <t>ja=1</t>
  </si>
  <si>
    <t>ΔT</t>
  </si>
  <si>
    <t>ohne Reg.</t>
  </si>
  <si>
    <t>soll möglich</t>
  </si>
  <si>
    <t xml:space="preserve">Temp </t>
  </si>
  <si>
    <t>Enthalpie mögl.</t>
  </si>
  <si>
    <t xml:space="preserve">Enthalpie mögl. </t>
  </si>
  <si>
    <t>UML  Anteil</t>
  </si>
  <si>
    <t>Temp mögl.</t>
  </si>
  <si>
    <t xml:space="preserve">Temp mögl. </t>
  </si>
  <si>
    <t>Offset (a)</t>
  </si>
  <si>
    <t>Steigung (b)</t>
  </si>
  <si>
    <t>dung</t>
  </si>
  <si>
    <t>Heiz</t>
  </si>
  <si>
    <t>Bef</t>
  </si>
  <si>
    <t xml:space="preserve">Kühl </t>
  </si>
  <si>
    <t>Entf</t>
  </si>
  <si>
    <t>Abs. Feucht.</t>
  </si>
  <si>
    <t>Raum temp</t>
  </si>
  <si>
    <t>Temp</t>
  </si>
  <si>
    <t>Enthalpie -</t>
  </si>
  <si>
    <t>Enthalpie +</t>
  </si>
  <si>
    <t>(MIL-D2)</t>
  </si>
  <si>
    <t>(D2 (A) -D1)</t>
  </si>
  <si>
    <t>(ZUL-(A) D1)</t>
  </si>
  <si>
    <t>(G-MIL)</t>
  </si>
  <si>
    <t>(ZUL-G)</t>
  </si>
  <si>
    <t>Entf/Kühl</t>
  </si>
  <si>
    <t>Entf/Heiz</t>
  </si>
  <si>
    <t>Bef/Heiz</t>
  </si>
  <si>
    <t>Kühlenergie</t>
  </si>
  <si>
    <t>Heizenergie</t>
  </si>
  <si>
    <t>Enft</t>
  </si>
  <si>
    <t>für Anzeige</t>
  </si>
  <si>
    <t>für Auslegung</t>
  </si>
  <si>
    <t>energie</t>
  </si>
  <si>
    <t>Skalierung</t>
  </si>
  <si>
    <t xml:space="preserve">Aussentemperatur </t>
  </si>
  <si>
    <t>elektrisch (ein/aus)</t>
  </si>
  <si>
    <t>elektrisch (variabel)</t>
  </si>
  <si>
    <t>g/kg</t>
  </si>
  <si>
    <t>nein=0</t>
  </si>
  <si>
    <t>[°C]</t>
  </si>
  <si>
    <t>[°C/(g/kg)]</t>
  </si>
  <si>
    <t>[g/kg]</t>
  </si>
  <si>
    <t>[Liter]</t>
  </si>
  <si>
    <t>soll</t>
  </si>
  <si>
    <t>min</t>
  </si>
  <si>
    <t>max</t>
  </si>
  <si>
    <t xml:space="preserve">Summe </t>
  </si>
  <si>
    <t>Liter</t>
  </si>
  <si>
    <t>Formel:WENN($M$43=$AN$62;LUET($M$42;Auswertung!T6;' Lüftung (1)'!BT231;' Lüftung (2)'!BT231;' Lüftung (3)'!BT231;' Lüftung (4)'!BT231;' Lüftung (5)'!BT231;' Lüftung (6)'!BT231;' Lüftung (7)'!BT231;' Lüftung (8)'!BT231;' Lüftung (9)'!BT231;' Lüftung (10)'!BT231;' Lüftung (11)'!BT231;' Lüftung (12)'!BT231;' Lüftung (13)'!BT231;' Lüftung (14)'!BT231;' Lüftung (15)'!BT231;' Lüftung (16)'!BT231;' Lüftung (17)'!BT231;' Lüftung (18)'!BT231;' Lüftung (19)'!BT231;' Lüftung (20)'!BT231);LUEAB($M$42;Auswertung!T6;' Lüftung (1)'!BM231;' Lüftung (2)'!BM231;' Lüftung (3)'!BM231;' Lüftung (4)'!BM231;' Lüftung (5)'!BM231;' Lüftung (6)'!BM231;' Lüftung (7)'!BM231;' Lüftung (8)'!BM231;' Lüftung (9)'!BM231;' Lüftung (10)'!BM231;' Lüftung (11)'!BM231;' Lüftung (12)'!BM231;' Lüftung (13)'!BM231;' Lüftung (14)'!BM231;' Lüftung (15)'!BM231;' Lüftung (16)'!BM231;' Lüftung (17)'!BM231;' Lüftung (18)'!BM231;' Lüftung (19)'!BM231;' Lüftung (20)'!BM231))</t>
  </si>
  <si>
    <t>Formel:WENN($M$43=$AN$62;LUET($M$42;Auswertung!W6/100;' Lüftung (1)'!BU231;' Lüftung (2)'!BU231;' Lüftung (3)'!BU231;' Lüftung (4)'!BU231;' Lüftung (5)'!BU231;' Lüftung (6)'!BU231;' Lüftung (7)'!BU231;' Lüftung (8)'!BU231;' Lüftung (9)'!BU231;' Lüftung (10)'!BU231;' Lüftung (11)'!BU231;' Lüftung (12)'!BU231;' Lüftung (13)'!BU231;' Lüftung (14)'!BU231;' Lüftung (15)'!BU231;' Lüftung (16)'!BU231;' Lüftung (17)'!BU231;' Lüftung (18)'!BU231;' Lüftung (19)'!BU231;' Lüftung (20)'!BU231);LUEAB($M$42;Auswertung!W6/100;' Lüftung (1)'!BN231;' Lüftung (2)'!BN231;' Lüftung (3)'!BN231;' Lüftung (4)'!BN231;' Lüftung (5)'!BN231;' Lüftung (6)'!BN231;' Lüftung (7)'!BN231;' Lüftung (8)'!BN231;' Lüftung (9)'!BN231;' Lüftung (10)'!BN231;' Lüftung (11)'!BN231;' Lüftung (12)'!BN231;' Lüftung (13)'!BN231;' Lüftung (14)'!BN231;' Lüftung (15)'!BN231;' Lüftung (16)'!BN231;' Lüftung (17)'!BN231;' Lüftung (18)'!BN231;' Lüftung (19)'!BN231;' Lüftung (20)'!BN231))</t>
  </si>
  <si>
    <t>Mischluft nach Umluftklappe (MIL)</t>
  </si>
  <si>
    <t>Fall 2,3 + 4</t>
  </si>
  <si>
    <t>ZULsoll</t>
  </si>
  <si>
    <t xml:space="preserve">Energieverbrauch </t>
  </si>
  <si>
    <t>Raumluft</t>
  </si>
  <si>
    <t>Nutzenergie</t>
  </si>
  <si>
    <t>Kosten</t>
  </si>
  <si>
    <t xml:space="preserve">tABL </t>
  </si>
  <si>
    <t xml:space="preserve">rFRaum </t>
  </si>
  <si>
    <t xml:space="preserve">xRaum </t>
  </si>
  <si>
    <t>Energiebedarf pro Aussentemp., kWh</t>
  </si>
  <si>
    <t>[kWh]</t>
  </si>
  <si>
    <t>[CHF/a]</t>
  </si>
  <si>
    <t>Erwärmung Bef.</t>
  </si>
  <si>
    <t>Kühlung Entf.</t>
  </si>
  <si>
    <t>Erwärmung Entf.</t>
  </si>
  <si>
    <t>Luftumwälzung</t>
  </si>
  <si>
    <t>Liter/a</t>
  </si>
  <si>
    <t>Wasser Bef.</t>
  </si>
  <si>
    <t>Daten für HG</t>
  </si>
  <si>
    <t>Leistung kW</t>
  </si>
  <si>
    <t>Daten für KG</t>
  </si>
  <si>
    <t>Tab</t>
  </si>
  <si>
    <t>Aussentemperatur</t>
  </si>
  <si>
    <t>Luftförderung</t>
  </si>
  <si>
    <t>Erwärmung Befeuchtung</t>
  </si>
  <si>
    <t>Kühlung Entfeuchtung</t>
  </si>
  <si>
    <t>Erwärmung Entfeuchtung</t>
  </si>
  <si>
    <t>Auslegetemp.</t>
  </si>
  <si>
    <t>Adelboden</t>
  </si>
  <si>
    <t>Aigle</t>
  </si>
  <si>
    <t>Altdorf</t>
  </si>
  <si>
    <t>Basel-Binningen</t>
  </si>
  <si>
    <t>Bern-Liebefeld</t>
  </si>
  <si>
    <t>Buchs-Aarau</t>
  </si>
  <si>
    <t>La Chaux-de-Fonds</t>
  </si>
  <si>
    <t>Chur</t>
  </si>
  <si>
    <t>Davos</t>
  </si>
  <si>
    <t>Disentis</t>
  </si>
  <si>
    <t>Engelberg</t>
  </si>
  <si>
    <t>La Fretaz</t>
  </si>
  <si>
    <t>Glarus</t>
  </si>
  <si>
    <t>Güttingen</t>
  </si>
  <si>
    <t>Genllve.-Cointrin</t>
  </si>
  <si>
    <t>lnterlaken</t>
  </si>
  <si>
    <t>Zürich-Kloten</t>
  </si>
  <si>
    <t>Lugano</t>
  </si>
  <si>
    <t>Luzern</t>
  </si>
  <si>
    <t>Magadino</t>
  </si>
  <si>
    <t>Montana</t>
  </si>
  <si>
    <t>Neuchatel</t>
  </si>
  <si>
    <t>Locamo-Monti</t>
  </si>
  <si>
    <t xml:space="preserve">Payerne </t>
  </si>
  <si>
    <t>Piotta</t>
  </si>
  <si>
    <t>Pully</t>
  </si>
  <si>
    <t>Robbia</t>
  </si>
  <si>
    <t>Rünenberg</t>
  </si>
  <si>
    <t>Samedan</t>
  </si>
  <si>
    <t>San Bernardino</t>
  </si>
  <si>
    <t>Scuol</t>
  </si>
  <si>
    <t>Schaffhausen</t>
  </si>
  <si>
    <t>Sion</t>
  </si>
  <si>
    <t>St. Gallen</t>
  </si>
  <si>
    <t>Ulrichen</t>
  </si>
  <si>
    <t>Vaduz</t>
  </si>
  <si>
    <t>Wynau</t>
  </si>
  <si>
    <t>Zermatt</t>
  </si>
  <si>
    <t>Station</t>
  </si>
  <si>
    <t>Kanton</t>
  </si>
  <si>
    <t>Höhe m ü.M.</t>
  </si>
  <si>
    <t>Luftdruck mbar</t>
  </si>
  <si>
    <t>Heizgradtage</t>
  </si>
  <si>
    <t>Feuchtigkeit</t>
  </si>
  <si>
    <t>Anzahl Stunden Tac</t>
  </si>
  <si>
    <t>BE</t>
  </si>
  <si>
    <t>[%]</t>
  </si>
  <si>
    <t>[h]</t>
  </si>
  <si>
    <t>VD</t>
  </si>
  <si>
    <t>UR</t>
  </si>
  <si>
    <t>BL</t>
  </si>
  <si>
    <t>AG</t>
  </si>
  <si>
    <t>GR</t>
  </si>
  <si>
    <t>OW</t>
  </si>
  <si>
    <t>GE</t>
  </si>
  <si>
    <t>GL</t>
  </si>
  <si>
    <t>VS</t>
  </si>
  <si>
    <t>TG</t>
  </si>
  <si>
    <t>NE</t>
  </si>
  <si>
    <t>TI</t>
  </si>
  <si>
    <t>LU</t>
  </si>
  <si>
    <t>SG</t>
  </si>
  <si>
    <t>SH</t>
  </si>
  <si>
    <t>BS</t>
  </si>
  <si>
    <t>FL</t>
  </si>
  <si>
    <t>ZH</t>
  </si>
  <si>
    <t>Wert für Berechnung</t>
  </si>
  <si>
    <t>Resultate</t>
  </si>
  <si>
    <t>Entfeuchtung Kühlung</t>
  </si>
  <si>
    <t>Befeuchtung Erwärmung</t>
  </si>
  <si>
    <t>Entfeuchtung Erwärmung</t>
  </si>
  <si>
    <t>[kW]</t>
  </si>
  <si>
    <t>Entf. Kühlung</t>
  </si>
  <si>
    <t>Entf. Erwärmung</t>
  </si>
  <si>
    <t>Klimastation</t>
  </si>
  <si>
    <t>LA09</t>
  </si>
  <si>
    <t>LA10</t>
  </si>
  <si>
    <t>LA11</t>
  </si>
  <si>
    <t>LA12</t>
  </si>
  <si>
    <t>LA13</t>
  </si>
  <si>
    <t>LA14</t>
  </si>
  <si>
    <t>LA15</t>
  </si>
  <si>
    <t>LA16</t>
  </si>
  <si>
    <r>
      <t xml:space="preserve">IE5 - </t>
    </r>
    <r>
      <rPr>
        <sz val="8"/>
        <color rgb="FFFF0000"/>
        <rFont val="Arial"/>
        <family val="2"/>
      </rPr>
      <t>gefaked</t>
    </r>
  </si>
  <si>
    <t>IE5 - gefaked</t>
  </si>
  <si>
    <t>Hygiene</t>
  </si>
  <si>
    <t>Prozess</t>
  </si>
  <si>
    <t>Zulufttemperatur</t>
  </si>
  <si>
    <t>Zuluftfeuchte</t>
  </si>
  <si>
    <t>Volumenstrom reduzieren</t>
  </si>
  <si>
    <t>Bypass (ein/aus)</t>
  </si>
  <si>
    <t>Bypass (variabel)</t>
  </si>
  <si>
    <t>Einstufig, zeitgesteuert</t>
  </si>
  <si>
    <t>Zweistufig, zeitgesteuert</t>
  </si>
  <si>
    <t>Dreistufig, zeitgesteuert</t>
  </si>
  <si>
    <t>VAV (Temperaturregler)</t>
  </si>
  <si>
    <t>VAV (CO2-/Temp.Zonenregler)</t>
  </si>
  <si>
    <t>VAV (CO2-/Temp.Einzelraumregler)</t>
  </si>
  <si>
    <t>VAV (CO2-Zonenregler)</t>
  </si>
  <si>
    <t>VAV (CO2-Einzelraumregler)</t>
  </si>
  <si>
    <t>Kühlfall</t>
  </si>
  <si>
    <t>Heizfall</t>
  </si>
  <si>
    <t>Begriffe - Blattnamen (Makro!)</t>
  </si>
  <si>
    <t>Gebäude</t>
  </si>
  <si>
    <t>SIA 2056</t>
  </si>
  <si>
    <t>Vollast.</t>
  </si>
  <si>
    <t>Ergebnisse pro Lüftungsanlage</t>
  </si>
  <si>
    <t>Generatorwirkungsgrad</t>
  </si>
  <si>
    <t>Syst. Nutzungsggrad</t>
  </si>
  <si>
    <t>WKK-Erdgas</t>
  </si>
  <si>
    <t>Date</t>
  </si>
  <si>
    <t>Data</t>
  </si>
  <si>
    <t>Volllaststd *</t>
  </si>
  <si>
    <t>Locaux d'enseignement spéciaux</t>
  </si>
  <si>
    <t>Magasin de meubles, bricolage et jardin</t>
  </si>
  <si>
    <t>Salle de spectacle</t>
  </si>
  <si>
    <t>Salle d'infirmerie</t>
  </si>
  <si>
    <t>Salle de soins</t>
  </si>
  <si>
    <t>Laboratoire</t>
  </si>
  <si>
    <t>Local annexe</t>
  </si>
  <si>
    <t>Cuisine, kitchenette</t>
  </si>
  <si>
    <t>Station météorologique</t>
  </si>
  <si>
    <t>Installations de process</t>
  </si>
  <si>
    <t>Installation</t>
  </si>
  <si>
    <t>Installation générale du bâtiment</t>
  </si>
  <si>
    <t>n°</t>
  </si>
  <si>
    <t>Type d'installation</t>
  </si>
  <si>
    <t>Intensité</t>
  </si>
  <si>
    <t>Valeur</t>
  </si>
  <si>
    <t>Unité</t>
  </si>
  <si>
    <t>Surface nette</t>
  </si>
  <si>
    <t>Nombre</t>
  </si>
  <si>
    <t>U</t>
  </si>
  <si>
    <t>Consommateur d'électricité, en kWh par m2</t>
  </si>
  <si>
    <t>Eclairage de secours mode veille</t>
  </si>
  <si>
    <t>Eclairage de secours mode d'éclairage continu</t>
  </si>
  <si>
    <t>Dispositif de protection solaire (manuel)</t>
  </si>
  <si>
    <t>Automatisme du bâtiment</t>
  </si>
  <si>
    <t>Installation de détection d'effraction</t>
  </si>
  <si>
    <t>Très petit consommateur</t>
  </si>
  <si>
    <t>Barrière</t>
  </si>
  <si>
    <t>Parcmètre collectif</t>
  </si>
  <si>
    <t>Porte à tambour on/off</t>
  </si>
  <si>
    <t>Porte à tambour vitesse lente</t>
  </si>
  <si>
    <t xml:space="preserve">Porte coulissante </t>
  </si>
  <si>
    <t>Tourniquet</t>
  </si>
  <si>
    <t>Installation de contrôle d'accès</t>
  </si>
  <si>
    <t>Ascenseur</t>
  </si>
  <si>
    <t>Installations de ventilation</t>
  </si>
  <si>
    <t>Débit d’air</t>
  </si>
  <si>
    <t>Ventilateur d’air fourni et ventilateur d’air repris</t>
  </si>
  <si>
    <t>Conditionnement d'air fourni</t>
  </si>
  <si>
    <t>Utilisation</t>
  </si>
  <si>
    <t>Hygiène</t>
  </si>
  <si>
    <t>Process</t>
  </si>
  <si>
    <t>Régulation</t>
  </si>
  <si>
    <t xml:space="preserve">Pleine charge </t>
  </si>
  <si>
    <t>Mode froid</t>
  </si>
  <si>
    <t xml:space="preserve">Mode chaud  </t>
  </si>
  <si>
    <t>Résultats par installation de ventilation</t>
  </si>
  <si>
    <t>Besoin d’énergie pour le transport et le conditionnement d'air</t>
  </si>
  <si>
    <t xml:space="preserve">Besoin d’énergie par temp. extérieure, kWh </t>
  </si>
  <si>
    <t>Température extérieure</t>
  </si>
  <si>
    <t>Machine frigorifique compacte 14°C</t>
  </si>
  <si>
    <t>Puissance installée</t>
  </si>
  <si>
    <t>Rendement du générateur</t>
  </si>
  <si>
    <t>Fraction utile du système</t>
  </si>
  <si>
    <t>Saisie photovoltaïque</t>
  </si>
  <si>
    <t>Energie produite</t>
  </si>
  <si>
    <t>Electrique</t>
  </si>
  <si>
    <t>Thermique</t>
  </si>
  <si>
    <t>Orientation</t>
  </si>
  <si>
    <t xml:space="preserve">Facteur </t>
  </si>
  <si>
    <t>Installation PV</t>
  </si>
  <si>
    <t>CCF - gaz naturel</t>
  </si>
  <si>
    <t>CCF - biogaz</t>
  </si>
  <si>
    <t>Indice énergétique national</t>
  </si>
  <si>
    <t>Champs de sélection</t>
  </si>
  <si>
    <t>SIA 2024 définit les hypothèses de calcul correspondant aux différents locaux types. Ces hypothèses entrent dans les calculs et les justificatifs selon les normes de l'énergie et des installations techniques du bâtiment tant que l'on ne dispose pas de données plus précises.</t>
  </si>
  <si>
    <t xml:space="preserve">Les données du bâtiment spécifiques au projet, les conditions d'utilisation et les paramètres de dimensionnement doivent être définis et formulés au plus tard au moment du projet de l'ouvrage pour le dimensionnement des installations. </t>
  </si>
  <si>
    <t>Remarque: Les macros doivent être activées, vous trouverez d'autres informations dans l'Aide du programme Office.</t>
  </si>
  <si>
    <t>Bâtiment</t>
  </si>
  <si>
    <t>Edificio</t>
  </si>
  <si>
    <t>Résultats</t>
  </si>
  <si>
    <t>Risultati</t>
  </si>
  <si>
    <t>Dispositif de protection solaire (auto.)</t>
  </si>
  <si>
    <t>Dispositif de protection sol. (auto. + CVC)</t>
  </si>
  <si>
    <t>Agent énerg.</t>
  </si>
  <si>
    <t>Vettore energ.</t>
  </si>
  <si>
    <t>Réc. Chal.</t>
  </si>
  <si>
    <t>1 vitesse</t>
  </si>
  <si>
    <t>1 velocità</t>
  </si>
  <si>
    <t>2 vitesses</t>
  </si>
  <si>
    <t>2 velocità</t>
  </si>
  <si>
    <t>variable vitesse</t>
  </si>
  <si>
    <t>a velocità variabile</t>
  </si>
  <si>
    <t>Refroidiss. de l'air</t>
  </si>
  <si>
    <t>Réchauff. de l'air</t>
  </si>
  <si>
    <t>Inst. général du bâtim.</t>
  </si>
  <si>
    <t>Install. de process</t>
  </si>
  <si>
    <t>Hygienebedingter Aussenluft-Volumenstrom</t>
  </si>
  <si>
    <t>Prozessbedingter Aussenluft-Volumenstrom</t>
  </si>
  <si>
    <t>Aussenluft-Volumenstrom durch Infiltration - Standard, Zielwert</t>
  </si>
  <si>
    <t>Aussenluft-Volumenstrom durch Infiltration - Bestand</t>
  </si>
  <si>
    <r>
      <t>Warmwasserbedarf pro m</t>
    </r>
    <r>
      <rPr>
        <vertAlign val="superscript"/>
        <sz val="10"/>
        <rFont val="Arial"/>
        <family val="2"/>
      </rPr>
      <t>2</t>
    </r>
  </si>
  <si>
    <t>Kühlung (Raum, Luft)</t>
  </si>
  <si>
    <t>Heizung (Raum, Luft)</t>
  </si>
  <si>
    <t>Climatisation (locaux, air)</t>
  </si>
  <si>
    <t>Chauffage (locaux, air)</t>
  </si>
  <si>
    <t>Energiebilanz pro Verwendungszweck</t>
  </si>
  <si>
    <t>Bilan énergétique par types d'emploi</t>
  </si>
  <si>
    <t>Bilancio energetico per categoire di utilizzazione</t>
  </si>
  <si>
    <t>geplante Lüftungsanlagen</t>
  </si>
  <si>
    <t>production de chaleur et de froid prévus</t>
  </si>
  <si>
    <t>production d'eau chaude prévu</t>
  </si>
  <si>
    <t>installations de ventilation prévus</t>
  </si>
  <si>
    <t>impianti di ventilazione previsti</t>
  </si>
  <si>
    <t>Energiebedarf Luftförderung und Luftkonditionierung</t>
  </si>
  <si>
    <t>Réchauffement pour la humidification</t>
  </si>
  <si>
    <t>Refroidissement pour la déshumidification</t>
  </si>
  <si>
    <t>Ventilateur</t>
  </si>
  <si>
    <t>Réchauffement</t>
  </si>
  <si>
    <t>Refroidissement</t>
  </si>
  <si>
    <t>Réchauffement aprés la déshumidification</t>
  </si>
  <si>
    <t>Aussenluft-Volumenstrom</t>
  </si>
  <si>
    <t>Spez. Ventilatorleistung (SIA 2024:2015)</t>
  </si>
  <si>
    <t>Ventilatorregelung  Standard</t>
  </si>
  <si>
    <t>Volllaststunden elektrische Energie</t>
  </si>
  <si>
    <t>Elektrischer Energieedarf</t>
  </si>
  <si>
    <t>m3/(hm2)</t>
  </si>
  <si>
    <t>Wh/m3</t>
  </si>
  <si>
    <t/>
  </si>
  <si>
    <t>Quelle: SIA2024_Raumdatenblätter &gt; tblVoll_Lüft</t>
  </si>
  <si>
    <t xml:space="preserve">1-stufig </t>
  </si>
  <si>
    <t>Volllaststunden Volumenstrom</t>
  </si>
  <si>
    <t xml:space="preserve">2-stufig </t>
  </si>
  <si>
    <t>Volllaststunden Volumenstrom SIA 2024</t>
  </si>
  <si>
    <t>Ventistufe</t>
  </si>
  <si>
    <t>Volllaststunden Elektrizität SIA 2024</t>
  </si>
  <si>
    <t>Volllast Vol.</t>
  </si>
  <si>
    <r>
      <t xml:space="preserve">Ricezione, </t>
    </r>
    <r>
      <rPr>
        <sz val="10"/>
        <color rgb="FFFF0000"/>
        <rFont val="Arial"/>
        <family val="2"/>
      </rPr>
      <t>lobby</t>
    </r>
  </si>
  <si>
    <t>Ufficio individuale, collettivo</t>
  </si>
  <si>
    <t>Open space</t>
  </si>
  <si>
    <t>Sala sportelli, accoglienza</t>
  </si>
  <si>
    <t>Sala docenti</t>
  </si>
  <si>
    <t>Aula speciale</t>
  </si>
  <si>
    <t>Negozio alimentare</t>
  </si>
  <si>
    <t>Negozio specializzato</t>
  </si>
  <si>
    <t>Vendita mobili, materiali da costruzione e giardinaggio</t>
  </si>
  <si>
    <t>Cucina da ristorante</t>
  </si>
  <si>
    <t>Cucina da ristorante self-service</t>
  </si>
  <si>
    <t>Sala spettacoli</t>
  </si>
  <si>
    <t>Sala multiuso</t>
  </si>
  <si>
    <t>Padiglione d’esposizione</t>
  </si>
  <si>
    <t>Camera d'ospedale</t>
  </si>
  <si>
    <t>Camera di reparto</t>
  </si>
  <si>
    <t>Ambulatorio</t>
  </si>
  <si>
    <t>Produzione (lavoro pesante)</t>
  </si>
  <si>
    <t>Produzione (lavoro fine)</t>
  </si>
  <si>
    <t>Vano scala</t>
  </si>
  <si>
    <t>Locale secondario</t>
  </si>
  <si>
    <t>Cucina, piano cottura</t>
  </si>
  <si>
    <t>Vestiario, doccia</t>
  </si>
  <si>
    <t>Autorimessa</t>
  </si>
  <si>
    <t>Lavanderia e stenditoio</t>
  </si>
  <si>
    <t>Cella frigorifera</t>
  </si>
  <si>
    <t>Stazione climatica</t>
  </si>
  <si>
    <t>Tipologia di utilizzo</t>
  </si>
  <si>
    <t>Impianti di processo</t>
  </si>
  <si>
    <t>Raffreddamento</t>
  </si>
  <si>
    <t>Acqua calda</t>
  </si>
  <si>
    <r>
      <t xml:space="preserve">Valore </t>
    </r>
    <r>
      <rPr>
        <sz val="10"/>
        <color rgb="FFFF0000"/>
        <rFont val="Arial"/>
        <family val="2"/>
      </rPr>
      <t xml:space="preserve">di </t>
    </r>
    <r>
      <rPr>
        <sz val="10"/>
        <color theme="1"/>
        <rFont val="Arial"/>
        <family val="2"/>
      </rPr>
      <t>progetto</t>
    </r>
  </si>
  <si>
    <r>
      <t>Valor</t>
    </r>
    <r>
      <rPr>
        <sz val="10"/>
        <color rgb="FFFF0000"/>
        <rFont val="Arial"/>
        <family val="2"/>
      </rPr>
      <t>e</t>
    </r>
    <r>
      <rPr>
        <sz val="10"/>
        <color theme="1"/>
        <rFont val="Arial"/>
        <family val="2"/>
      </rPr>
      <t xml:space="preserve"> di calc</t>
    </r>
    <r>
      <rPr>
        <sz val="10"/>
        <color rgb="FFFF0000"/>
        <rFont val="Arial"/>
        <family val="2"/>
      </rPr>
      <t>o</t>
    </r>
    <r>
      <rPr>
        <sz val="10"/>
        <color theme="1"/>
        <rFont val="Arial"/>
        <family val="2"/>
      </rPr>
      <t>lo</t>
    </r>
  </si>
  <si>
    <r>
      <t>Valori da altr</t>
    </r>
    <r>
      <rPr>
        <sz val="10"/>
        <color rgb="FFFF0000"/>
        <rFont val="Arial"/>
        <family val="2"/>
      </rPr>
      <t>e</t>
    </r>
    <r>
      <rPr>
        <sz val="10"/>
        <color theme="1"/>
        <rFont val="Arial"/>
        <family val="2"/>
      </rPr>
      <t xml:space="preserve"> fonti</t>
    </r>
  </si>
  <si>
    <r>
      <rPr>
        <sz val="10"/>
        <color rgb="FFFF0000"/>
        <rFont val="Arial"/>
        <family val="2"/>
      </rPr>
      <t xml:space="preserve">Tipologia di utilizzo </t>
    </r>
    <r>
      <rPr>
        <sz val="10"/>
        <color theme="1"/>
        <rFont val="Arial"/>
        <family val="2"/>
      </rPr>
      <t>(SIA 2024)</t>
    </r>
  </si>
  <si>
    <r>
      <t xml:space="preserve">Fabbisogno </t>
    </r>
    <r>
      <rPr>
        <sz val="10"/>
        <color rgb="FFFF0000"/>
        <rFont val="Arial"/>
        <family val="2"/>
      </rPr>
      <t>per</t>
    </r>
    <r>
      <rPr>
        <sz val="10"/>
        <color theme="1"/>
        <rFont val="Arial"/>
        <family val="2"/>
      </rPr>
      <t xml:space="preserve"> superficie di riferimento energetico</t>
    </r>
  </si>
  <si>
    <t>Impianto</t>
  </si>
  <si>
    <t>Impiantistica degli edifici generale</t>
  </si>
  <si>
    <t>No</t>
  </si>
  <si>
    <t>Tipo d'impianto</t>
  </si>
  <si>
    <t>Intensità</t>
  </si>
  <si>
    <t>Valore</t>
  </si>
  <si>
    <t>Unità</t>
  </si>
  <si>
    <t>Numero</t>
  </si>
  <si>
    <t>Quantità</t>
  </si>
  <si>
    <t>Consumatori elettrici secondo in funzione dei kWh/m²</t>
  </si>
  <si>
    <t>Impianto di ombreggiamento (automatico)</t>
  </si>
  <si>
    <t>Impianto di ombreggiamento (autom. + RVC)</t>
  </si>
  <si>
    <t>Automazione dell'edificio</t>
  </si>
  <si>
    <t>Impianto d’allarme antifurto</t>
  </si>
  <si>
    <t>Consumatori minimi</t>
  </si>
  <si>
    <t>Impianto barriera</t>
  </si>
  <si>
    <t>Parchimetro</t>
  </si>
  <si>
    <t>Porta girevole on/off</t>
  </si>
  <si>
    <t>Porta girevole a velocità di scorrimento</t>
  </si>
  <si>
    <t>Porta scorrevole</t>
  </si>
  <si>
    <t>Tornello</t>
  </si>
  <si>
    <t>Controllo di accesso</t>
  </si>
  <si>
    <t>Ascensore</t>
  </si>
  <si>
    <t>Impianto di ventilazione</t>
  </si>
  <si>
    <t>Ventilatore dell'aria immessa e dell'aria aspirata</t>
  </si>
  <si>
    <t>Condizionamento dell'aria immessa</t>
  </si>
  <si>
    <t>Raffreddamento dell'aria</t>
  </si>
  <si>
    <t>Riscaldamento dell'aria</t>
  </si>
  <si>
    <t>Utilizzo</t>
  </si>
  <si>
    <t>Igiene</t>
  </si>
  <si>
    <t>Processo</t>
  </si>
  <si>
    <t>Regolazione</t>
  </si>
  <si>
    <t>Pieno carico</t>
  </si>
  <si>
    <t>Risultati per impianto di ventilazione</t>
  </si>
  <si>
    <t>Fabbisogno energetico per il convogliamento e il condizionamento dell'aria</t>
  </si>
  <si>
    <t>Fabbisogno energetico per temperatura esterna, kWh</t>
  </si>
  <si>
    <t>Temperatura esterna</t>
  </si>
  <si>
    <t>Convogliamento dell'aria</t>
  </si>
  <si>
    <t>Riscaldamento, umidificazione</t>
  </si>
  <si>
    <t>Raffreddamento, deumidificazione</t>
  </si>
  <si>
    <t>Riscaldamento, deumidificazione</t>
  </si>
  <si>
    <t>Abbreviazione</t>
  </si>
  <si>
    <r>
      <t xml:space="preserve">Produzione di </t>
    </r>
    <r>
      <rPr>
        <sz val="10"/>
        <color rgb="FFFF0000"/>
        <rFont val="Arial"/>
        <family val="2"/>
      </rPr>
      <t>freddo</t>
    </r>
  </si>
  <si>
    <r>
      <t>Macchina frigorigena</t>
    </r>
    <r>
      <rPr>
        <sz val="10"/>
        <color rgb="FFFF0000"/>
        <rFont val="Arial"/>
        <family val="2"/>
      </rPr>
      <t xml:space="preserve"> compatta 7°C</t>
    </r>
  </si>
  <si>
    <r>
      <t>Macchina frigorigena</t>
    </r>
    <r>
      <rPr>
        <sz val="10"/>
        <color rgb="FFFF0000"/>
        <rFont val="Arial"/>
        <family val="2"/>
      </rPr>
      <t xml:space="preserve"> compatta 14°C</t>
    </r>
  </si>
  <si>
    <t xml:space="preserve">Macchina frigorigena 7°C </t>
  </si>
  <si>
    <r>
      <t xml:space="preserve">Raffreddamento diretto </t>
    </r>
    <r>
      <rPr>
        <sz val="10"/>
        <color rgb="FFFF0000"/>
        <rFont val="Arial"/>
        <family val="2"/>
      </rPr>
      <t>nel terreno</t>
    </r>
  </si>
  <si>
    <t>Raffreddamento diretto acqua sotterranea</t>
  </si>
  <si>
    <t>Caldaia ad olio combustibile a condensazione</t>
  </si>
  <si>
    <t>Caldaia a gas a condensazione</t>
  </si>
  <si>
    <t>Caldaia a pezzi di legno</t>
  </si>
  <si>
    <t>Caldaia a trucioli di legno</t>
  </si>
  <si>
    <t>Caldaia a pellet</t>
  </si>
  <si>
    <t>Teleriscaldamento (media CH)</t>
  </si>
  <si>
    <t>Riscaldamento elettrico centralizzato ad accumulo</t>
  </si>
  <si>
    <r>
      <t>Riscaldamento elettric</t>
    </r>
    <r>
      <rPr>
        <sz val="10"/>
        <color rgb="FFFF0000"/>
        <rFont val="Arial"/>
        <family val="2"/>
      </rPr>
      <t>o</t>
    </r>
    <r>
      <rPr>
        <sz val="10"/>
        <color theme="1"/>
        <rFont val="Arial"/>
        <family val="2"/>
      </rPr>
      <t xml:space="preserve"> diretto</t>
    </r>
  </si>
  <si>
    <r>
      <t>Energia solare termic</t>
    </r>
    <r>
      <rPr>
        <sz val="10"/>
        <color rgb="FFFF0000"/>
        <rFont val="Arial"/>
        <family val="2"/>
      </rPr>
      <t>a</t>
    </r>
  </si>
  <si>
    <r>
      <t xml:space="preserve">Pompa di calore </t>
    </r>
    <r>
      <rPr>
        <sz val="10"/>
        <color rgb="FFFF0000"/>
        <rFont val="Arial"/>
        <family val="2"/>
      </rPr>
      <t xml:space="preserve">ad </t>
    </r>
    <r>
      <rPr>
        <sz val="10"/>
        <color theme="1"/>
        <rFont val="Arial"/>
        <family val="2"/>
      </rPr>
      <t>aria esterna 35°C</t>
    </r>
  </si>
  <si>
    <r>
      <t xml:space="preserve">Pompa di calore </t>
    </r>
    <r>
      <rPr>
        <sz val="10"/>
        <color rgb="FFFF0000"/>
        <rFont val="Arial"/>
        <family val="2"/>
      </rPr>
      <t xml:space="preserve">ad </t>
    </r>
    <r>
      <rPr>
        <sz val="10"/>
        <color theme="1"/>
        <rFont val="Arial"/>
        <family val="2"/>
      </rPr>
      <t>aria esterna 50°C</t>
    </r>
  </si>
  <si>
    <r>
      <t xml:space="preserve">Pompa di calore </t>
    </r>
    <r>
      <rPr>
        <sz val="10"/>
        <color rgb="FFFF0000"/>
        <rFont val="Arial"/>
        <family val="2"/>
      </rPr>
      <t>con</t>
    </r>
    <r>
      <rPr>
        <sz val="10"/>
        <color theme="1"/>
        <rFont val="Arial"/>
        <family val="2"/>
      </rPr>
      <t xml:space="preserve"> sonde geotermiche 35°C</t>
    </r>
  </si>
  <si>
    <r>
      <t xml:space="preserve">Pompa di calore </t>
    </r>
    <r>
      <rPr>
        <sz val="10"/>
        <color rgb="FFFF0000"/>
        <rFont val="Arial"/>
        <family val="2"/>
      </rPr>
      <t xml:space="preserve">con </t>
    </r>
    <r>
      <rPr>
        <sz val="10"/>
        <color theme="1"/>
        <rFont val="Arial"/>
        <family val="2"/>
      </rPr>
      <t>sonde geotermiche 50°C</t>
    </r>
  </si>
  <si>
    <r>
      <t xml:space="preserve">Pompa di calore </t>
    </r>
    <r>
      <rPr>
        <sz val="10"/>
        <color rgb="FFFF0000"/>
        <rFont val="Arial"/>
        <family val="2"/>
      </rPr>
      <t xml:space="preserve">ad </t>
    </r>
    <r>
      <rPr>
        <sz val="10"/>
        <color theme="1"/>
        <rFont val="Arial"/>
        <family val="2"/>
      </rPr>
      <t>acqua sotterranea 35°C</t>
    </r>
  </si>
  <si>
    <r>
      <t xml:space="preserve">Pompa di calore </t>
    </r>
    <r>
      <rPr>
        <sz val="10"/>
        <color rgb="FFFF0000"/>
        <rFont val="Arial"/>
        <family val="2"/>
      </rPr>
      <t xml:space="preserve">ad </t>
    </r>
    <r>
      <rPr>
        <sz val="10"/>
        <color theme="1"/>
        <rFont val="Arial"/>
        <family val="2"/>
      </rPr>
      <t>acqua sotterranea 50°C</t>
    </r>
  </si>
  <si>
    <t>Produzione d'acqua calda</t>
  </si>
  <si>
    <t>Scaldaacqua elettrico</t>
  </si>
  <si>
    <t>Scaldaacqua a gas</t>
  </si>
  <si>
    <r>
      <t xml:space="preserve">Pompa di calore </t>
    </r>
    <r>
      <rPr>
        <sz val="10"/>
        <color rgb="FFFF0000"/>
        <rFont val="Arial"/>
        <family val="2"/>
      </rPr>
      <t xml:space="preserve">ad </t>
    </r>
    <r>
      <rPr>
        <sz val="10"/>
        <color theme="1"/>
        <rFont val="Arial"/>
        <family val="2"/>
      </rPr>
      <t>aria esterna</t>
    </r>
  </si>
  <si>
    <r>
      <t xml:space="preserve">Pompa di calore </t>
    </r>
    <r>
      <rPr>
        <sz val="10"/>
        <color rgb="FFFF0000"/>
        <rFont val="Arial"/>
        <family val="2"/>
      </rPr>
      <t>con</t>
    </r>
    <r>
      <rPr>
        <sz val="10"/>
        <color theme="1"/>
        <rFont val="Arial"/>
        <family val="2"/>
      </rPr>
      <t xml:space="preserve"> sonde geotermiche</t>
    </r>
  </si>
  <si>
    <r>
      <t xml:space="preserve">Pompa di calore </t>
    </r>
    <r>
      <rPr>
        <sz val="10"/>
        <color rgb="FFFF0000"/>
        <rFont val="Arial"/>
        <family val="2"/>
      </rPr>
      <t xml:space="preserve">ad </t>
    </r>
    <r>
      <rPr>
        <sz val="10"/>
        <color theme="1"/>
        <rFont val="Arial"/>
        <family val="2"/>
      </rPr>
      <t>acqua sotterranea</t>
    </r>
  </si>
  <si>
    <r>
      <t xml:space="preserve">Produzione </t>
    </r>
    <r>
      <rPr>
        <sz val="10"/>
        <color rgb="FFFF0000"/>
        <rFont val="Arial"/>
        <family val="2"/>
      </rPr>
      <t>di</t>
    </r>
    <r>
      <rPr>
        <sz val="10"/>
        <color theme="1"/>
        <rFont val="Arial"/>
        <family val="2"/>
      </rPr>
      <t xml:space="preserve"> energia </t>
    </r>
    <r>
      <rPr>
        <sz val="10"/>
        <color rgb="FFFF0000"/>
        <rFont val="Arial"/>
        <family val="2"/>
      </rPr>
      <t>elettrica</t>
    </r>
  </si>
  <si>
    <t>Potenza installata</t>
  </si>
  <si>
    <t>Rendimento del generatore</t>
  </si>
  <si>
    <t>Grado di rendimento del sistema</t>
  </si>
  <si>
    <t>Input fotovoltaico</t>
  </si>
  <si>
    <t>Energia prodotta</t>
  </si>
  <si>
    <t>elettr.</t>
  </si>
  <si>
    <t>term.</t>
  </si>
  <si>
    <t>Orientam.</t>
  </si>
  <si>
    <t>Fattore</t>
  </si>
  <si>
    <t>Impianto fotovoltaico</t>
  </si>
  <si>
    <t>Indice energetico nazionale</t>
  </si>
  <si>
    <t>Gamma di valori</t>
  </si>
  <si>
    <r>
      <rPr>
        <sz val="10"/>
        <color rgb="FFFF0000"/>
        <rFont val="Arial"/>
        <family val="2"/>
      </rPr>
      <t>Caselle</t>
    </r>
    <r>
      <rPr>
        <sz val="10"/>
        <color theme="1"/>
        <rFont val="Arial"/>
        <family val="2"/>
      </rPr>
      <t xml:space="preserve"> di selezione</t>
    </r>
  </si>
  <si>
    <r>
      <rPr>
        <sz val="10"/>
        <color rgb="FFFF0000"/>
        <rFont val="Arial"/>
        <family val="2"/>
      </rPr>
      <t>Caselle</t>
    </r>
    <r>
      <rPr>
        <sz val="10"/>
        <color theme="1"/>
        <rFont val="Arial"/>
        <family val="2"/>
      </rPr>
      <t xml:space="preserve"> d'ingresso</t>
    </r>
  </si>
  <si>
    <r>
      <t>Energia au</t>
    </r>
    <r>
      <rPr>
        <sz val="10"/>
        <color rgb="FFFF0000"/>
        <rFont val="Arial"/>
        <family val="2"/>
      </rPr>
      <t>s</t>
    </r>
    <r>
      <rPr>
        <sz val="10"/>
        <color theme="1"/>
        <rFont val="Arial"/>
        <family val="2"/>
      </rPr>
      <t>iliaria (%)</t>
    </r>
  </si>
  <si>
    <t>Tipo di generatore</t>
  </si>
  <si>
    <r>
      <t>Freddo (perdit</t>
    </r>
    <r>
      <rPr>
        <sz val="10"/>
        <color rgb="FFFF0000"/>
        <rFont val="Arial"/>
        <family val="2"/>
      </rPr>
      <t>e</t>
    </r>
    <r>
      <rPr>
        <sz val="10"/>
        <color theme="1"/>
        <rFont val="Arial"/>
        <family val="2"/>
      </rPr>
      <t xml:space="preserve"> incl.)</t>
    </r>
  </si>
  <si>
    <r>
      <t>Calore (perdit</t>
    </r>
    <r>
      <rPr>
        <sz val="10"/>
        <color rgb="FFFF0000"/>
        <rFont val="Arial"/>
        <family val="2"/>
      </rPr>
      <t>e</t>
    </r>
    <r>
      <rPr>
        <sz val="10"/>
        <color theme="1"/>
        <rFont val="Arial"/>
        <family val="2"/>
      </rPr>
      <t xml:space="preserve"> incl.)</t>
    </r>
  </si>
  <si>
    <r>
      <t>Energi</t>
    </r>
    <r>
      <rPr>
        <sz val="10"/>
        <color rgb="FFFF0000"/>
        <rFont val="Arial"/>
        <family val="2"/>
      </rPr>
      <t>a ponderata</t>
    </r>
  </si>
  <si>
    <r>
      <rPr>
        <sz val="10"/>
        <color rgb="FFFF0000"/>
        <rFont val="Arial"/>
        <family val="2"/>
      </rPr>
      <t xml:space="preserve">Quota di </t>
    </r>
    <r>
      <rPr>
        <sz val="10"/>
        <color theme="1"/>
        <rFont val="Arial"/>
        <family val="2"/>
      </rPr>
      <t>superficie utile</t>
    </r>
  </si>
  <si>
    <t>Teleriscaldamento</t>
  </si>
  <si>
    <r>
      <t xml:space="preserve">Questo strumento Excel consente di stimare il fabbisogno di potenza e di energia degli edifici in una fase di </t>
    </r>
    <r>
      <rPr>
        <sz val="10"/>
        <color rgb="FFFF0000"/>
        <rFont val="Arial"/>
        <family val="2"/>
      </rPr>
      <t>progettazione</t>
    </r>
    <r>
      <rPr>
        <sz val="10"/>
        <rFont val="Arial"/>
        <family val="2"/>
      </rPr>
      <t xml:space="preserve"> iniziale.</t>
    </r>
    <r>
      <rPr>
        <sz val="10"/>
        <color rgb="FFFF0000"/>
        <rFont val="Arial"/>
        <family val="2"/>
      </rPr>
      <t xml:space="preserve"> Al momento dell'applicazione, le specificazioni contenute nella</t>
    </r>
    <r>
      <rPr>
        <sz val="10"/>
        <rFont val="Arial"/>
        <family val="2"/>
      </rPr>
      <t xml:space="preserve"> SIA 2024 devono essere prese in considerazione.</t>
    </r>
  </si>
  <si>
    <r>
      <t xml:space="preserve">SIA 2024 serve </t>
    </r>
    <r>
      <rPr>
        <sz val="10"/>
        <color rgb="FFFF0000"/>
        <rFont val="Arial"/>
        <family val="2"/>
      </rPr>
      <t>ad armoniizzare</t>
    </r>
    <r>
      <rPr>
        <sz val="10"/>
        <color theme="1"/>
        <rFont val="Arial"/>
        <family val="2"/>
      </rPr>
      <t xml:space="preserve"> le ipotesi sulle tipologie di utilizzo. Queste ipotesi </t>
    </r>
    <r>
      <rPr>
        <sz val="10"/>
        <color rgb="FFFF0000"/>
        <rFont val="Arial"/>
        <family val="2"/>
      </rPr>
      <t xml:space="preserve">sono da utilizzare per i </t>
    </r>
    <r>
      <rPr>
        <sz val="10"/>
        <color theme="1"/>
        <rFont val="Arial"/>
        <family val="2"/>
      </rPr>
      <t xml:space="preserve">calcoli </t>
    </r>
    <r>
      <rPr>
        <sz val="10"/>
        <color rgb="FFFF0000"/>
        <rFont val="Arial"/>
        <family val="2"/>
      </rPr>
      <t xml:space="preserve">e le </t>
    </r>
    <r>
      <rPr>
        <sz val="10"/>
        <color theme="1"/>
        <rFont val="Arial"/>
        <family val="2"/>
      </rPr>
      <t xml:space="preserve">verifiche secondo </t>
    </r>
    <r>
      <rPr>
        <sz val="10"/>
        <color rgb="FFFF0000"/>
        <rFont val="Arial"/>
        <family val="2"/>
      </rPr>
      <t>le norme sull'</t>
    </r>
    <r>
      <rPr>
        <sz val="10"/>
        <color theme="1"/>
        <rFont val="Arial"/>
        <family val="2"/>
      </rPr>
      <t>energia e</t>
    </r>
    <r>
      <rPr>
        <sz val="10"/>
        <color rgb="FFFF0000"/>
        <rFont val="Arial"/>
        <family val="2"/>
      </rPr>
      <t xml:space="preserve"> l'impiantistica</t>
    </r>
    <r>
      <rPr>
        <sz val="10"/>
        <color theme="1"/>
        <rFont val="Arial"/>
        <family val="2"/>
      </rPr>
      <t xml:space="preserve">, </t>
    </r>
    <r>
      <rPr>
        <sz val="10"/>
        <color rgb="FFFF0000"/>
        <rFont val="Arial"/>
        <family val="2"/>
      </rPr>
      <t xml:space="preserve">fino a </t>
    </r>
    <r>
      <rPr>
        <sz val="10"/>
        <color theme="1"/>
        <rFont val="Arial"/>
        <family val="2"/>
      </rPr>
      <t>quando non sono disponibili informazioni più dettagliate.</t>
    </r>
  </si>
  <si>
    <r>
      <t xml:space="preserve">Al più tardi nel progetto </t>
    </r>
    <r>
      <rPr>
        <sz val="10"/>
        <color rgb="FFFF0000"/>
        <rFont val="Arial"/>
        <family val="2"/>
      </rPr>
      <t>definitivo</t>
    </r>
    <r>
      <rPr>
        <sz val="10"/>
        <color theme="1"/>
        <rFont val="Arial"/>
        <family val="2"/>
      </rPr>
      <t>, per il dimensionamento degli impianti, i dati</t>
    </r>
    <r>
      <rPr>
        <sz val="10"/>
        <color rgb="FFFF0000"/>
        <rFont val="Arial"/>
        <family val="2"/>
      </rPr>
      <t xml:space="preserve"> dell'edificio </t>
    </r>
    <r>
      <rPr>
        <sz val="10"/>
        <color theme="1"/>
        <rFont val="Arial"/>
        <family val="2"/>
      </rPr>
      <t xml:space="preserve">specifici del progetto, le condizioni di utilizzo e i criteri di </t>
    </r>
    <r>
      <rPr>
        <sz val="10"/>
        <color rgb="FFFF0000"/>
        <rFont val="Arial"/>
        <family val="2"/>
      </rPr>
      <t>dimensionamento</t>
    </r>
    <r>
      <rPr>
        <sz val="10"/>
        <color theme="1"/>
        <rFont val="Arial"/>
        <family val="2"/>
      </rPr>
      <t xml:space="preserve"> devono essere definiti e </t>
    </r>
    <r>
      <rPr>
        <sz val="10"/>
        <color rgb="FFFF0000"/>
        <rFont val="Arial"/>
        <family val="2"/>
      </rPr>
      <t>documentati</t>
    </r>
    <r>
      <rPr>
        <sz val="10"/>
        <color theme="1"/>
        <rFont val="Arial"/>
        <family val="2"/>
      </rPr>
      <t>.</t>
    </r>
  </si>
  <si>
    <t>Nota: in Excel, le macro devono essere attivate. Per ulteriori informazioni consultare la guida del programma Office.</t>
  </si>
  <si>
    <r>
      <rPr>
        <sz val="10"/>
        <color rgb="FFFF0000"/>
        <rFont val="Arial"/>
        <family val="2"/>
      </rPr>
      <t>Vedere</t>
    </r>
    <r>
      <rPr>
        <sz val="10"/>
        <color theme="1"/>
        <rFont val="Arial"/>
        <family val="2"/>
      </rPr>
      <t xml:space="preserve"> gli esempi "Ufficio" e "Abitazione".</t>
    </r>
  </si>
  <si>
    <r>
      <t xml:space="preserve">Per eliminare fogli già inseriti, </t>
    </r>
    <r>
      <rPr>
        <sz val="10"/>
        <color rgb="FFFF0000"/>
        <rFont val="Arial"/>
        <family val="2"/>
      </rPr>
      <t>digitare</t>
    </r>
    <r>
      <rPr>
        <sz val="10"/>
        <color theme="1"/>
        <rFont val="Arial"/>
        <family val="2"/>
      </rPr>
      <t xml:space="preserve"> di nuovo il nome del foglio e premere il pulsante "-".</t>
    </r>
  </si>
  <si>
    <r>
      <t xml:space="preserve">Tipologie </t>
    </r>
    <r>
      <rPr>
        <sz val="10"/>
        <color rgb="FFFF0000"/>
        <rFont val="Arial"/>
        <family val="2"/>
      </rPr>
      <t>di</t>
    </r>
    <r>
      <rPr>
        <sz val="10"/>
        <color theme="1"/>
        <rFont val="Arial"/>
        <family val="2"/>
      </rPr>
      <t xml:space="preserve"> utilizzo </t>
    </r>
    <r>
      <rPr>
        <sz val="10"/>
        <color rgb="FFFF0000"/>
        <rFont val="Arial"/>
        <family val="2"/>
      </rPr>
      <t>previste</t>
    </r>
    <r>
      <rPr>
        <sz val="10"/>
        <color theme="1"/>
        <rFont val="Arial"/>
        <family val="2"/>
      </rPr>
      <t xml:space="preserve"> secondo SIA 2024</t>
    </r>
  </si>
  <si>
    <r>
      <t xml:space="preserve">superficie </t>
    </r>
    <r>
      <rPr>
        <sz val="10"/>
        <color rgb="FFFF0000"/>
        <rFont val="Arial"/>
        <family val="2"/>
      </rPr>
      <t>netta</t>
    </r>
    <r>
      <rPr>
        <sz val="10"/>
        <color theme="1"/>
        <rFont val="Arial"/>
        <family val="2"/>
      </rPr>
      <t xml:space="preserve"> </t>
    </r>
    <r>
      <rPr>
        <sz val="10"/>
        <color rgb="FFFF0000"/>
        <rFont val="Arial"/>
        <family val="2"/>
      </rPr>
      <t>corrispondente</t>
    </r>
  </si>
  <si>
    <r>
      <t xml:space="preserve">Quota della </t>
    </r>
    <r>
      <rPr>
        <sz val="10"/>
        <color rgb="FFFF0000"/>
        <rFont val="Arial"/>
        <family val="2"/>
      </rPr>
      <t>superficie di costruzione alla</t>
    </r>
    <r>
      <rPr>
        <sz val="10"/>
        <color theme="1"/>
        <rFont val="Arial"/>
        <family val="2"/>
      </rPr>
      <t xml:space="preserve"> SRE</t>
    </r>
  </si>
  <si>
    <r>
      <t xml:space="preserve">Valori di </t>
    </r>
    <r>
      <rPr>
        <sz val="10"/>
        <color rgb="FFFF0000"/>
        <rFont val="Arial"/>
        <family val="2"/>
      </rPr>
      <t>progettazione</t>
    </r>
    <r>
      <rPr>
        <sz val="10"/>
        <color theme="1"/>
        <rFont val="Arial"/>
        <family val="2"/>
      </rPr>
      <t xml:space="preserve"> tipici per nuovi edifici e ristrutturazioni totali conformi ai valori limite SIA.</t>
    </r>
  </si>
  <si>
    <r>
      <t xml:space="preserve">Valori di </t>
    </r>
    <r>
      <rPr>
        <sz val="10"/>
        <color rgb="FFFF0000"/>
        <rFont val="Arial"/>
        <family val="2"/>
      </rPr>
      <t xml:space="preserve">progettazione </t>
    </r>
    <r>
      <rPr>
        <sz val="10"/>
        <color theme="1"/>
        <rFont val="Arial"/>
        <family val="2"/>
      </rPr>
      <t>ottimali per nuovi edifici e ristrutturazioni totali conformi ai valori mirati SIA.</t>
    </r>
  </si>
  <si>
    <r>
      <t xml:space="preserve">Valori tipici per edifici esistenti non </t>
    </r>
    <r>
      <rPr>
        <sz val="10"/>
        <color rgb="FFFF0000"/>
        <rFont val="Arial"/>
        <family val="2"/>
      </rPr>
      <t xml:space="preserve">ristrutturati energeticamente, </t>
    </r>
    <r>
      <rPr>
        <sz val="10"/>
        <color theme="1"/>
        <rFont val="Arial"/>
        <family val="2"/>
      </rPr>
      <t>costruiti prima del 1980</t>
    </r>
  </si>
  <si>
    <r>
      <t xml:space="preserve">produzione di calore e freddo </t>
    </r>
    <r>
      <rPr>
        <sz val="10"/>
        <color rgb="FFFF0000"/>
        <rFont val="Arial"/>
        <family val="2"/>
      </rPr>
      <t>prevista</t>
    </r>
  </si>
  <si>
    <r>
      <t xml:space="preserve">produzione di acqua calda </t>
    </r>
    <r>
      <rPr>
        <sz val="10"/>
        <color rgb="FFFF0000"/>
        <rFont val="Arial"/>
        <family val="2"/>
      </rPr>
      <t>prevista</t>
    </r>
  </si>
  <si>
    <t>raffredd.</t>
  </si>
  <si>
    <t>riscald.</t>
  </si>
  <si>
    <t>Raffredd. dell'aria</t>
  </si>
  <si>
    <t>Riscald. dell'aria</t>
  </si>
  <si>
    <t>Valeur utilisé</t>
  </si>
  <si>
    <t>Valore utilizz.</t>
  </si>
  <si>
    <t>Rec. di calore</t>
  </si>
  <si>
    <t>Caso di raff.</t>
  </si>
  <si>
    <t>Caso di risc.</t>
  </si>
  <si>
    <r>
      <t>W/(m</t>
    </r>
    <r>
      <rPr>
        <vertAlign val="superscript"/>
        <sz val="10"/>
        <rFont val="Arial"/>
        <family val="2"/>
      </rPr>
      <t>3</t>
    </r>
    <r>
      <rPr>
        <sz val="10"/>
        <rFont val="Arial"/>
        <family val="2"/>
      </rPr>
      <t>/h)</t>
    </r>
  </si>
  <si>
    <r>
      <t>Perdite di accumula</t>
    </r>
    <r>
      <rPr>
        <sz val="10"/>
        <color rgb="FFFF0000"/>
        <rFont val="Arial"/>
        <family val="2"/>
      </rPr>
      <t>zione</t>
    </r>
    <r>
      <rPr>
        <sz val="10"/>
        <color theme="1"/>
        <rFont val="Arial"/>
        <family val="2"/>
      </rPr>
      <t xml:space="preserve"> e di distribuz.</t>
    </r>
  </si>
  <si>
    <r>
      <t xml:space="preserve">Tempo di riscald. dell'acqua calda </t>
    </r>
    <r>
      <rPr>
        <sz val="10"/>
        <color rgb="FFFF0000"/>
        <rFont val="Arial"/>
        <family val="2"/>
      </rPr>
      <t>per</t>
    </r>
    <r>
      <rPr>
        <sz val="10"/>
        <color theme="1"/>
        <rFont val="Arial"/>
        <family val="2"/>
      </rPr>
      <t xml:space="preserve"> giorno</t>
    </r>
  </si>
  <si>
    <t>Impianto di cogen. forza-lavoro a gas</t>
  </si>
  <si>
    <t>Impianto di cogen. forza-lavoro a biogas</t>
  </si>
  <si>
    <t>Imp. degli edifici generale</t>
  </si>
  <si>
    <t>Imp. di processo</t>
  </si>
  <si>
    <t>Climatizz. (locali, aria)</t>
  </si>
  <si>
    <t>Riscald. (locali, aria)</t>
  </si>
  <si>
    <t>Energia primaria non rinnov.</t>
  </si>
  <si>
    <t>Energie primaire non renouv.</t>
  </si>
  <si>
    <t>Impianto di illum. di emergenza con modalità sospensione</t>
  </si>
  <si>
    <t>Impianto di illum. di emergenza con luce permanente</t>
  </si>
  <si>
    <t>Impianto di ombreggiamento (manuale)</t>
  </si>
  <si>
    <t>Superf. netta</t>
  </si>
  <si>
    <t>Impianto di cogen. forza-lavoro, grado di rendimento termico</t>
  </si>
  <si>
    <t>20CCFMMP</t>
  </si>
  <si>
    <t>Das Tool wurde erfolgreich lizenziert.</t>
  </si>
  <si>
    <t>Die verbleibende Lizenzdauer beträgt noch 366 Tage.</t>
  </si>
  <si>
    <t>SIA 2024 - Eingabedaten</t>
  </si>
  <si>
    <t>SIA 2024 - Resultate - Raumheizung und Raumkühlen je Klimastation</t>
  </si>
  <si>
    <t>Klimakälteleistungsbedarf</t>
  </si>
  <si>
    <t>Jährlicher Klimakältebedarf</t>
  </si>
  <si>
    <t>Norm-Heizlast</t>
  </si>
  <si>
    <t xml:space="preserve">Jährlicher Heizwärmebedarf </t>
  </si>
  <si>
    <r>
      <t>W/m</t>
    </r>
    <r>
      <rPr>
        <vertAlign val="superscript"/>
        <sz val="10"/>
        <color indexed="63"/>
        <rFont val="Arial"/>
        <family val="2"/>
      </rPr>
      <t>2</t>
    </r>
  </si>
  <si>
    <t>Genève-Cointrin</t>
  </si>
  <si>
    <t>Grand-St-Bernard</t>
  </si>
  <si>
    <t>Interlaken</t>
  </si>
  <si>
    <t>La Frétaz</t>
  </si>
  <si>
    <t>Locarno-Monti</t>
  </si>
  <si>
    <t>Neuchâtel</t>
  </si>
  <si>
    <t>Payerne</t>
  </si>
  <si>
    <t>Zürich-MeteoSchweiz</t>
  </si>
  <si>
    <t>prSIA 2024-C1:2024 (29 m3/h pro Person)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</si>
</sst>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5">
    <numFmt numFmtId="164" formatCode="_(* #,##0.00_);_(* \(#,##0.00\);_(* &quot;-&quot;??_);_(@_)"/>
    <numFmt numFmtId="165" formatCode="0.0"/>
    <numFmt numFmtId="166" formatCode="#,##0.0"/>
    <numFmt numFmtId="167" formatCode="0.0%"/>
    <numFmt numFmtId="168" formatCode="_ [$€-2]\ * #,##0.00_ ;_ [$€-2]\ * \-#,##0.00_ ;_ [$€-2]\ * &quot;-&quot;??_ "/>
    <numFmt numFmtId="169" formatCode="_-* #,##0.00\ &quot;€&quot;_-;\-* #,##0.00\ &quot;€&quot;_-;_-* &quot;-&quot;??\ &quot;€&quot;_-;_-@_-"/>
    <numFmt numFmtId="170" formatCode="_-* #,##0.00\ _€_-;\-* #,##0.00\ _€_-;_-* &quot;-&quot;??\ _€_-;_-@_-"/>
    <numFmt numFmtId="171" formatCode="0.00E+0;[=0]&quot;-&quot;;0.00E+0"/>
    <numFmt numFmtId="172" formatCode="[=0]&quot;&quot;;General"/>
    <numFmt numFmtId="173" formatCode="0.0E+0;[=0]&quot;-&quot;;0.0E+0"/>
    <numFmt numFmtId="174" formatCode="0.00E+0;[=0]&quot;0&quot;;General"/>
    <numFmt numFmtId="175" formatCode="0.00%;[=0]&quot;0&quot;;General"/>
    <numFmt numFmtId="176" formatCode="0.0%;[=0]&quot;0%&quot;;0.0%"/>
    <numFmt numFmtId="177" formatCode="#,##0.0&quot; dt&quot;;[Red]#,##0.0&quot; dt&quot;"/>
    <numFmt numFmtId="178" formatCode="#,##0&quot; kg&quot;;[Red]#,##0&quot; kg&quot;"/>
    <numFmt numFmtId="179" formatCode="#,##0.0&quot; m3&quot;;[Red]#,##0.0&quot; m3&quot;"/>
    <numFmt numFmtId="180" formatCode="#,##0&quot; m2a&quot;;[Red]#,##0&quot; m2a&quot;"/>
    <numFmt numFmtId="181" formatCode="#,##0.0&quot; ZKh&quot;;[Red]#,##0.0&quot; ZKh&quot;"/>
    <numFmt numFmtId="182" formatCode="#,##0&quot; m2&quot;;[Red]#,##0&quot; m2&quot;"/>
    <numFmt numFmtId="183" formatCode="#,##0&quot; Liter&quot;;[Red]#,##0&quot; Liter&quot;"/>
    <numFmt numFmtId="184" formatCode="_(&quot;$&quot;* #,##0_);_(&quot;$&quot;* \(#,##0\);_(&quot;$&quot;* &quot;-&quot;_);_(@_)"/>
    <numFmt numFmtId="185" formatCode="_(* #,##0_);_(* \(#,##0\);_(* &quot;-&quot;_);_(@_)"/>
    <numFmt numFmtId="186" formatCode="_(&quot;$&quot;* #,##0.00_);_(&quot;$&quot;* \(#,##0.00\);_(&quot;$&quot;* &quot;-&quot;??_);_(@_)"/>
    <numFmt numFmtId="187" formatCode="_-* #,##0.00_-;\-* #,##0.00_-;_-* &quot;-&quot;??_-;_-@_-"/>
    <numFmt numFmtId="188" formatCode="#,##0\ &quot;m²&quot;"/>
    <numFmt numFmtId="189" formatCode="#,##0.0\ &quot;m&quot;"/>
    <numFmt numFmtId="190" formatCode="0.00\ \ &quot;1/h&quot;"/>
    <numFmt numFmtId="191" formatCode="#,##0.0\ &quot;m³/m²h&quot;"/>
    <numFmt numFmtId="192" formatCode="0.0\ &quot;kW&quot;"/>
    <numFmt numFmtId="193" formatCode="#,##0.0\ &quot;kW&quot;"/>
    <numFmt numFmtId="194" formatCode="#,##0\ &quot;m³/h&quot;"/>
    <numFmt numFmtId="195" formatCode="&quot;&gt;&quot;\ 0&quot;°C&quot;"/>
    <numFmt numFmtId="196" formatCode="0&quot;°C&quot;"/>
    <numFmt numFmtId="197" formatCode="0.000"/>
    <numFmt numFmtId="198" formatCode="#,##0.0&quot;°C&quot;"/>
    <numFmt numFmtId="199" formatCode="0.00\ &quot;kg/h&quot;"/>
    <numFmt numFmtId="200" formatCode="#,##0.00\ &quot;kg/h&quot;"/>
    <numFmt numFmtId="201" formatCode="0\ &quot;kW&quot;"/>
    <numFmt numFmtId="202" formatCode="0.0\ &quot;°C&quot;"/>
    <numFmt numFmtId="203" formatCode="0.0_)"/>
    <numFmt numFmtId="204" formatCode="0\ &quot;g/kg&quot;"/>
    <numFmt numFmtId="205" formatCode="0.000000%"/>
    <numFmt numFmtId="206" formatCode="###0;###0"/>
    <numFmt numFmtId="207" formatCode="#,##0_ ;\-#,##0\ "/>
    <numFmt numFmtId="208" formatCode="_(* #,##0_);_(* \(#,##0\);_(* &quot;-&quot;??_);_(@_)"/>
  </numFmts>
  <fonts count="109">
    <font>
      <sz val="1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i/>
      <sz val="10"/>
      <name val="Arial"/>
      <family val="2"/>
    </font>
    <font>
      <sz val="8"/>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vertAlign val="superscript"/>
      <sz val="10"/>
      <name val="Arial"/>
      <family val="2"/>
    </font>
    <font>
      <b/>
      <i/>
      <sz val="10"/>
      <name val="Arial"/>
      <family val="2"/>
    </font>
    <font>
      <b/>
      <sz val="10"/>
      <color indexed="10"/>
      <name val="Arial"/>
      <family val="2"/>
    </font>
    <font>
      <sz val="9"/>
      <name val="Arial"/>
      <family val="2"/>
    </font>
    <font>
      <sz val="9"/>
      <name val="Times New Roman"/>
      <family val="1"/>
    </font>
    <font>
      <sz val="9"/>
      <name val="Helvetica"/>
      <family val="2"/>
    </font>
    <font>
      <b/>
      <sz val="9"/>
      <name val="Times New Roman"/>
      <family val="1"/>
    </font>
    <font>
      <sz val="10"/>
      <color indexed="8"/>
      <name val="MS Sans Serif"/>
      <family val="2"/>
    </font>
    <font>
      <sz val="7"/>
      <name val="Helvetica"/>
      <family val="2"/>
    </font>
    <font>
      <sz val="9"/>
      <name val="Helv"/>
    </font>
    <font>
      <b/>
      <sz val="12"/>
      <name val="Times New Roman"/>
      <family val="1"/>
    </font>
    <font>
      <sz val="10"/>
      <name val="Helv"/>
    </font>
    <font>
      <sz val="9"/>
      <name val="Helv"/>
      <family val="2"/>
    </font>
    <font>
      <sz val="10"/>
      <name val="Trebuchet MS"/>
      <family val="2"/>
    </font>
    <font>
      <sz val="8"/>
      <name val="Helvetica"/>
      <family val="2"/>
    </font>
    <font>
      <sz val="10"/>
      <name val="Helv"/>
      <family val="2"/>
    </font>
    <font>
      <b/>
      <sz val="12"/>
      <name val="Arial"/>
      <family val="2"/>
    </font>
    <font>
      <sz val="10"/>
      <color indexed="63"/>
      <name val="Arial"/>
      <family val="2"/>
    </font>
    <font>
      <sz val="10"/>
      <color theme="1"/>
      <name val="Arial"/>
      <family val="2"/>
    </font>
    <font>
      <sz val="11"/>
      <color theme="1"/>
      <name val="Calibri"/>
      <family val="2"/>
      <scheme val="minor"/>
    </font>
    <font>
      <sz val="10"/>
      <color theme="0" tint="-0.499984740745262"/>
      <name val="Arial"/>
      <family val="2"/>
    </font>
    <font>
      <b/>
      <sz val="10"/>
      <color theme="0"/>
      <name val="Arial"/>
      <family val="2"/>
    </font>
    <font>
      <sz val="10"/>
      <color theme="0"/>
      <name val="Arial"/>
      <family val="2"/>
    </font>
    <font>
      <b/>
      <sz val="14"/>
      <name val="Arial"/>
      <family val="2"/>
    </font>
    <font>
      <u/>
      <sz val="10"/>
      <color indexed="12"/>
      <name val="Arial"/>
      <family val="2"/>
    </font>
    <font>
      <sz val="10"/>
      <name val="Verdana"/>
      <family val="2"/>
    </font>
    <font>
      <vertAlign val="superscript"/>
      <sz val="10"/>
      <color indexed="63"/>
      <name val="Arial"/>
      <family val="2"/>
    </font>
    <font>
      <sz val="10"/>
      <color indexed="63"/>
      <name val="Symbol"/>
      <family val="1"/>
      <charset val="2"/>
    </font>
    <font>
      <b/>
      <sz val="14"/>
      <color indexed="9"/>
      <name val="Arial"/>
      <family val="2"/>
    </font>
    <font>
      <b/>
      <sz val="14"/>
      <color theme="0" tint="-0.499984740745262"/>
      <name val="Arial"/>
      <family val="2"/>
    </font>
    <font>
      <b/>
      <sz val="14"/>
      <color theme="0" tint="-0.34998626667073579"/>
      <name val="Arial"/>
      <family val="2"/>
    </font>
    <font>
      <sz val="10"/>
      <color theme="0" tint="-0.34998626667073579"/>
      <name val="Arial"/>
      <family val="2"/>
    </font>
    <font>
      <b/>
      <sz val="11"/>
      <color theme="1"/>
      <name val="Arial"/>
      <family val="2"/>
    </font>
    <font>
      <b/>
      <sz val="10"/>
      <color theme="1"/>
      <name val="Arial"/>
      <family val="2"/>
    </font>
    <font>
      <b/>
      <sz val="10"/>
      <color rgb="FF000000"/>
      <name val="Arial"/>
      <family val="2"/>
    </font>
    <font>
      <sz val="10"/>
      <name val="Wingdings"/>
      <charset val="2"/>
    </font>
    <font>
      <sz val="10"/>
      <name val="Wingdings 2"/>
      <family val="1"/>
      <charset val="2"/>
    </font>
    <font>
      <sz val="10"/>
      <color rgb="FFFFFFCC"/>
      <name val="Arial"/>
      <family val="2"/>
    </font>
    <font>
      <sz val="11"/>
      <color theme="0"/>
      <name val="Calibri"/>
      <family val="2"/>
      <scheme val="minor"/>
    </font>
    <font>
      <b/>
      <sz val="11"/>
      <color theme="1"/>
      <name val="Calibri"/>
      <family val="2"/>
      <scheme val="minor"/>
    </font>
    <font>
      <u/>
      <sz val="11"/>
      <color theme="10"/>
      <name val="Calibri"/>
      <family val="2"/>
      <scheme val="minor"/>
    </font>
    <font>
      <b/>
      <sz val="18"/>
      <color indexed="9"/>
      <name val="Arial"/>
      <family val="2"/>
    </font>
    <font>
      <sz val="10"/>
      <color rgb="FFFF0000"/>
      <name val="Arial"/>
      <family val="2"/>
    </font>
    <font>
      <sz val="10"/>
      <color theme="0" tint="-0.249977111117893"/>
      <name val="Arial"/>
      <family val="2"/>
    </font>
    <font>
      <b/>
      <sz val="10"/>
      <color theme="0" tint="-0.249977111117893"/>
      <name val="Arial"/>
      <family val="2"/>
    </font>
    <font>
      <i/>
      <sz val="10"/>
      <color theme="0" tint="-0.249977111117893"/>
      <name val="Arial"/>
      <family val="2"/>
    </font>
    <font>
      <vertAlign val="superscript"/>
      <sz val="10"/>
      <color theme="0" tint="-0.249977111117893"/>
      <name val="Arial"/>
      <family val="2"/>
    </font>
    <font>
      <i/>
      <vertAlign val="subscript"/>
      <sz val="10"/>
      <name val="Arial"/>
      <family val="2"/>
    </font>
    <font>
      <sz val="10"/>
      <name val="Arial"/>
      <family val="2"/>
    </font>
    <font>
      <sz val="16"/>
      <name val="Fedra Sans Alt Std"/>
    </font>
    <font>
      <b/>
      <sz val="11"/>
      <color rgb="FFFF0000"/>
      <name val="Arial"/>
      <family val="2"/>
    </font>
    <font>
      <sz val="8"/>
      <color rgb="FFFF0000"/>
      <name val="Arial"/>
      <family val="2"/>
    </font>
    <font>
      <b/>
      <sz val="8"/>
      <name val="Arial"/>
      <family val="2"/>
    </font>
    <font>
      <sz val="8"/>
      <color theme="2"/>
      <name val="Arial"/>
      <family val="2"/>
    </font>
    <font>
      <b/>
      <sz val="8"/>
      <color theme="1"/>
      <name val="Arial"/>
      <family val="2"/>
    </font>
    <font>
      <b/>
      <sz val="8"/>
      <color theme="6"/>
      <name val="Arial"/>
      <family val="2"/>
    </font>
    <font>
      <sz val="8"/>
      <color theme="3" tint="-0.499984740745262"/>
      <name val="Arial"/>
      <family val="2"/>
    </font>
    <font>
      <b/>
      <sz val="8"/>
      <color theme="3" tint="-0.499984740745262"/>
      <name val="Arial"/>
      <family val="2"/>
    </font>
    <font>
      <sz val="8"/>
      <name val="Fedra Sans Alt Std"/>
    </font>
    <font>
      <sz val="9"/>
      <name val="Fedra Sans Alt Std"/>
    </font>
    <font>
      <sz val="9"/>
      <color theme="3" tint="-0.499984740745262"/>
      <name val="Fedra Sans Alt Std"/>
    </font>
    <font>
      <sz val="8"/>
      <color theme="1"/>
      <name val="Arial"/>
      <family val="2"/>
    </font>
    <font>
      <sz val="8"/>
      <color rgb="FF000000"/>
      <name val="Arial"/>
      <family val="2"/>
    </font>
    <font>
      <b/>
      <sz val="8"/>
      <color theme="0"/>
      <name val="Arial"/>
      <family val="2"/>
    </font>
    <font>
      <sz val="8"/>
      <color theme="0"/>
      <name val="Arial"/>
      <family val="2"/>
    </font>
    <font>
      <sz val="8"/>
      <color theme="0" tint="-0.34998626667073579"/>
      <name val="Arial"/>
      <family val="2"/>
    </font>
    <font>
      <sz val="8"/>
      <color theme="4"/>
      <name val="Arial"/>
      <family val="2"/>
    </font>
    <font>
      <b/>
      <sz val="8"/>
      <color rgb="FFFF0000"/>
      <name val="Arial"/>
      <family val="2"/>
    </font>
    <font>
      <sz val="10"/>
      <color rgb="FF000000"/>
      <name val="Arial"/>
      <family val="2"/>
    </font>
    <font>
      <b/>
      <sz val="11"/>
      <color theme="9"/>
      <name val="Arial"/>
      <family val="2"/>
    </font>
    <font>
      <sz val="10"/>
      <color theme="5"/>
      <name val="Arial"/>
      <family val="2"/>
    </font>
    <font>
      <sz val="9"/>
      <color rgb="FFFF0000"/>
      <name val="Arial"/>
      <family val="2"/>
    </font>
    <font>
      <sz val="10"/>
      <color theme="9"/>
      <name val="Arial"/>
      <family val="2"/>
    </font>
    <font>
      <sz val="10"/>
      <color theme="0" tint="-4.9989318521683403E-2"/>
      <name val="Arial"/>
      <family val="2"/>
    </font>
    <font>
      <b/>
      <sz val="10"/>
      <color rgb="FFFF0000"/>
      <name val="Arial"/>
      <family val="2"/>
    </font>
    <font>
      <sz val="11"/>
      <color rgb="FFFF0000"/>
      <name val="Calibri"/>
      <family val="2"/>
      <scheme val="minor"/>
    </font>
  </fonts>
  <fills count="60">
    <fill>
      <patternFill patternType="none"/>
    </fill>
    <fill>
      <patternFill patternType="gray125"/>
    </fill>
    <fill>
      <patternFill patternType="solid">
        <fgColor indexed="31"/>
      </patternFill>
    </fill>
    <fill>
      <patternFill patternType="solid">
        <fgColor indexed="9"/>
      </patternFill>
    </fill>
    <fill>
      <patternFill patternType="solid">
        <fgColor indexed="45"/>
      </patternFill>
    </fill>
    <fill>
      <patternFill patternType="solid">
        <fgColor indexed="28"/>
      </patternFill>
    </fill>
    <fill>
      <patternFill patternType="solid">
        <fgColor indexed="42"/>
      </patternFill>
    </fill>
    <fill>
      <patternFill patternType="solid">
        <fgColor indexed="46"/>
      </patternFill>
    </fill>
    <fill>
      <patternFill patternType="solid">
        <fgColor indexed="27"/>
      </patternFill>
    </fill>
    <fill>
      <patternFill patternType="solid">
        <fgColor indexed="41"/>
      </patternFill>
    </fill>
    <fill>
      <patternFill patternType="solid">
        <fgColor indexed="4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49"/>
      </patternFill>
    </fill>
    <fill>
      <patternFill patternType="solid">
        <fgColor indexed="26"/>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7"/>
        <bgColor indexed="64"/>
      </patternFill>
    </fill>
    <fill>
      <patternFill patternType="solid">
        <fgColor indexed="45"/>
        <bgColor indexed="64"/>
      </patternFill>
    </fill>
    <fill>
      <patternFill patternType="solid">
        <fgColor indexed="43"/>
        <bgColor indexed="64"/>
      </patternFill>
    </fill>
    <fill>
      <patternFill patternType="solid">
        <fgColor indexed="43"/>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indexed="55"/>
      </patternFill>
    </fill>
    <fill>
      <patternFill patternType="solid">
        <fgColor rgb="FFFFFFCC"/>
        <bgColor indexed="64"/>
      </patternFill>
    </fill>
    <fill>
      <patternFill patternType="solid">
        <fgColor rgb="FFFFFF66"/>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6"/>
        <bgColor indexed="64"/>
      </patternFill>
    </fill>
    <fill>
      <patternFill patternType="solid">
        <fgColor theme="4"/>
        <bgColor indexed="64"/>
      </patternFill>
    </fill>
    <fill>
      <patternFill patternType="solid">
        <fgColor theme="7"/>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indexed="55"/>
        <bgColor indexed="64"/>
      </patternFill>
    </fill>
    <fill>
      <patternFill patternType="solid">
        <fgColor indexed="23"/>
        <bgColor indexed="64"/>
      </patternFill>
    </fill>
    <fill>
      <patternFill patternType="solid">
        <fgColor theme="6" tint="0.79998168889431442"/>
        <bgColor indexed="64"/>
      </patternFill>
    </fill>
    <fill>
      <patternFill patternType="solid">
        <fgColor rgb="FFFFFF00"/>
        <bgColor indexed="64"/>
      </patternFill>
    </fill>
    <fill>
      <patternFill patternType="solid">
        <fgColor theme="0"/>
        <bgColor indexed="64"/>
      </patternFill>
    </fill>
    <fill>
      <patternFill patternType="solid">
        <fgColor theme="0"/>
        <bgColor indexed="22"/>
      </patternFill>
    </fill>
    <fill>
      <patternFill patternType="solid">
        <fgColor theme="7" tint="0.79998168889431442"/>
        <bgColor indexed="64"/>
      </patternFill>
    </fill>
    <fill>
      <patternFill patternType="solid">
        <fgColor theme="4" tint="0.79998168889431442"/>
        <bgColor indexed="64"/>
      </patternFill>
    </fill>
    <fill>
      <patternFill patternType="solid">
        <fgColor theme="4" tint="0.79998168889431442"/>
        <bgColor indexed="9"/>
      </patternFill>
    </fill>
    <fill>
      <patternFill patternType="solid">
        <fgColor theme="0"/>
        <bgColor indexed="9"/>
      </patternFill>
    </fill>
    <fill>
      <patternFill patternType="solid">
        <fgColor theme="4" tint="0.79998168889431442"/>
        <bgColor theme="0"/>
      </patternFill>
    </fill>
    <fill>
      <patternFill patternType="solid">
        <fgColor theme="9"/>
        <bgColor indexed="64"/>
      </patternFill>
    </fill>
    <fill>
      <patternFill patternType="solid">
        <fgColor theme="9"/>
        <bgColor theme="0"/>
      </patternFill>
    </fill>
    <fill>
      <patternFill patternType="solid">
        <fgColor theme="0"/>
        <bgColor indexed="44"/>
      </patternFill>
    </fill>
    <fill>
      <patternFill patternType="solid">
        <fgColor theme="0"/>
        <bgColor theme="0"/>
      </patternFill>
    </fill>
  </fills>
  <borders count="8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bottom style="thin">
        <color indexed="64"/>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22"/>
      </right>
      <top style="thin">
        <color indexed="22"/>
      </top>
      <bottom style="thin">
        <color indexed="22"/>
      </bottom>
      <diagonal/>
    </border>
    <border>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style="thin">
        <color indexed="22"/>
      </right>
      <top/>
      <bottom/>
      <diagonal/>
    </border>
    <border>
      <left style="thin">
        <color indexed="64"/>
      </left>
      <right style="thin">
        <color indexed="22"/>
      </right>
      <top style="thin">
        <color indexed="64"/>
      </top>
      <bottom/>
      <diagonal/>
    </border>
    <border>
      <left style="thin">
        <color indexed="64"/>
      </left>
      <right style="thin">
        <color indexed="22"/>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thin">
        <color theme="0" tint="-0.34998626667073579"/>
      </right>
      <top/>
      <bottom/>
      <diagonal/>
    </border>
    <border>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34998626667073579"/>
      </left>
      <right style="thin">
        <color theme="0" tint="-0.34998626667073579"/>
      </right>
      <top/>
      <bottom/>
      <diagonal/>
    </border>
    <border>
      <left style="thin">
        <color theme="0" tint="-0.499984740745262"/>
      </left>
      <right style="thin">
        <color indexed="64"/>
      </right>
      <top style="thin">
        <color theme="0" tint="-0.499984740745262"/>
      </top>
      <bottom/>
      <diagonal/>
    </border>
    <border>
      <left style="thin">
        <color indexed="64"/>
      </left>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ck">
        <color theme="0"/>
      </left>
      <right style="thick">
        <color theme="0"/>
      </right>
      <top/>
      <bottom/>
      <diagonal/>
    </border>
    <border>
      <left/>
      <right style="thick">
        <color theme="0"/>
      </right>
      <top/>
      <bottom/>
      <diagonal/>
    </border>
    <border>
      <left style="thick">
        <color theme="0"/>
      </left>
      <right style="thick">
        <color theme="0"/>
      </right>
      <top/>
      <bottom style="thin">
        <color auto="1"/>
      </bottom>
      <diagonal/>
    </border>
    <border>
      <left style="thick">
        <color theme="0"/>
      </left>
      <right style="thick">
        <color theme="0"/>
      </right>
      <top style="thin">
        <color auto="1"/>
      </top>
      <bottom style="thin">
        <color auto="1"/>
      </bottom>
      <diagonal/>
    </border>
    <border>
      <left style="thick">
        <color theme="0"/>
      </left>
      <right/>
      <top style="thin">
        <color auto="1"/>
      </top>
      <bottom style="thin">
        <color auto="1"/>
      </bottom>
      <diagonal/>
    </border>
    <border>
      <left/>
      <right style="thick">
        <color theme="0"/>
      </right>
      <top/>
      <bottom style="thin">
        <color auto="1"/>
      </bottom>
      <diagonal/>
    </border>
    <border>
      <left style="thick">
        <color theme="0"/>
      </left>
      <right/>
      <top/>
      <bottom style="thin">
        <color auto="1"/>
      </bottom>
      <diagonal/>
    </border>
    <border>
      <left/>
      <right style="thick">
        <color theme="0"/>
      </right>
      <top style="thin">
        <color auto="1"/>
      </top>
      <bottom style="thin">
        <color auto="1"/>
      </bottom>
      <diagonal/>
    </border>
    <border>
      <left style="thick">
        <color theme="0"/>
      </left>
      <right style="thick">
        <color theme="0"/>
      </right>
      <top style="thin">
        <color auto="1"/>
      </top>
      <bottom/>
      <diagonal/>
    </border>
    <border>
      <left/>
      <right style="thick">
        <color theme="0"/>
      </right>
      <top style="thin">
        <color indexed="64"/>
      </top>
      <bottom/>
      <diagonal/>
    </border>
    <border>
      <left style="thin">
        <color theme="0" tint="-0.499984740745262"/>
      </left>
      <right style="thin">
        <color theme="0" tint="-0.499984740745262"/>
      </right>
      <top/>
      <bottom style="thin">
        <color theme="0" tint="-0.499984740745262"/>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22"/>
      </top>
      <bottom style="thin">
        <color indexed="22"/>
      </bottom>
      <diagonal/>
    </border>
    <border>
      <left/>
      <right/>
      <top style="thin">
        <color indexed="22"/>
      </top>
      <bottom style="thin">
        <color indexed="22"/>
      </bottom>
      <diagonal/>
    </border>
    <border>
      <left/>
      <right style="thin">
        <color indexed="64"/>
      </right>
      <top style="thin">
        <color indexed="22"/>
      </top>
      <bottom style="thin">
        <color indexed="22"/>
      </bottom>
      <diagonal/>
    </border>
    <border>
      <left style="thin">
        <color indexed="64"/>
      </left>
      <right/>
      <top style="thin">
        <color indexed="9"/>
      </top>
      <bottom style="thin">
        <color indexed="64"/>
      </bottom>
      <diagonal/>
    </border>
    <border>
      <left/>
      <right style="thin">
        <color indexed="64"/>
      </right>
      <top style="thin">
        <color indexed="9"/>
      </top>
      <bottom style="thin">
        <color indexed="64"/>
      </bottom>
      <diagonal/>
    </border>
    <border>
      <left style="thin">
        <color indexed="64"/>
      </left>
      <right/>
      <top style="thin">
        <color indexed="22"/>
      </top>
      <bottom style="thin">
        <color indexed="64"/>
      </bottom>
      <diagonal/>
    </border>
    <border>
      <left/>
      <right/>
      <top style="thin">
        <color indexed="22"/>
      </top>
      <bottom style="thin">
        <color indexed="64"/>
      </bottom>
      <diagonal/>
    </border>
    <border>
      <left/>
      <right style="thin">
        <color indexed="64"/>
      </right>
      <top style="thin">
        <color indexed="22"/>
      </top>
      <bottom style="thin">
        <color indexed="64"/>
      </bottom>
      <diagonal/>
    </border>
    <border>
      <left style="thin">
        <color indexed="64"/>
      </left>
      <right style="thin">
        <color indexed="22"/>
      </right>
      <top/>
      <bottom style="thin">
        <color indexed="22"/>
      </bottom>
      <diagonal/>
    </border>
    <border>
      <left/>
      <right/>
      <top/>
      <bottom style="thin">
        <color indexed="22"/>
      </bottom>
      <diagonal/>
    </border>
    <border>
      <left style="thin">
        <color indexed="22"/>
      </left>
      <right style="thin">
        <color indexed="22"/>
      </right>
      <top/>
      <bottom/>
      <diagonal/>
    </border>
    <border>
      <left style="thin">
        <color indexed="22"/>
      </left>
      <right style="thin">
        <color indexed="22"/>
      </right>
      <top/>
      <bottom style="thin">
        <color indexed="9"/>
      </bottom>
      <diagonal/>
    </border>
    <border>
      <left style="thin">
        <color indexed="22"/>
      </left>
      <right style="thin">
        <color indexed="64"/>
      </right>
      <top/>
      <bottom style="thin">
        <color indexed="9"/>
      </bottom>
      <diagonal/>
    </border>
    <border>
      <left style="thin">
        <color indexed="64"/>
      </left>
      <right style="thin">
        <color indexed="22"/>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122">
    <xf numFmtId="0" fontId="0" fillId="0" borderId="0"/>
    <xf numFmtId="0" fontId="16" fillId="3" borderId="0" applyNumberFormat="0" applyBorder="0" applyAlignment="0" applyProtection="0"/>
    <xf numFmtId="0" fontId="16" fillId="5" borderId="0" applyNumberFormat="0" applyBorder="0" applyAlignment="0" applyProtection="0"/>
    <xf numFmtId="0" fontId="16" fillId="5" borderId="0" applyNumberFormat="0" applyBorder="0" applyAlignment="0" applyProtection="0"/>
    <xf numFmtId="0" fontId="16" fillId="3" borderId="0" applyNumberFormat="0" applyBorder="0" applyAlignment="0" applyProtection="0"/>
    <xf numFmtId="0" fontId="16" fillId="9" borderId="0" applyNumberFormat="0" applyBorder="0" applyAlignment="0" applyProtection="0"/>
    <xf numFmtId="0" fontId="16" fillId="10" borderId="0" applyNumberFormat="0" applyBorder="0" applyAlignment="0" applyProtection="0"/>
    <xf numFmtId="0" fontId="16" fillId="2" borderId="0" applyNumberFormat="0" applyBorder="0" applyAlignment="0" applyProtection="0"/>
    <xf numFmtId="0" fontId="16" fillId="4" borderId="0" applyNumberFormat="0" applyBorder="0" applyAlignment="0" applyProtection="0"/>
    <xf numFmtId="0" fontId="16" fillId="6" borderId="0" applyNumberFormat="0" applyBorder="0" applyAlignment="0" applyProtection="0"/>
    <xf numFmtId="0" fontId="16" fillId="7" borderId="0" applyNumberFormat="0" applyBorder="0" applyAlignment="0" applyProtection="0"/>
    <xf numFmtId="0" fontId="16" fillId="8" borderId="0" applyNumberFormat="0" applyBorder="0" applyAlignment="0" applyProtection="0"/>
    <xf numFmtId="0" fontId="16" fillId="10" borderId="0" applyNumberFormat="0" applyBorder="0" applyAlignment="0" applyProtection="0"/>
    <xf numFmtId="49" fontId="37" fillId="0" borderId="1" applyNumberFormat="0" applyFont="0" applyFill="0" applyBorder="0" applyProtection="0">
      <alignment horizontal="left" vertical="center" indent="2"/>
    </xf>
    <xf numFmtId="0" fontId="16" fillId="12" borderId="0" applyNumberFormat="0" applyBorder="0" applyAlignment="0" applyProtection="0"/>
    <xf numFmtId="0" fontId="16" fillId="8" borderId="0" applyNumberFormat="0" applyBorder="0" applyAlignment="0" applyProtection="0"/>
    <xf numFmtId="0" fontId="16" fillId="8" borderId="0" applyNumberFormat="0" applyBorder="0" applyAlignment="0" applyProtection="0"/>
    <xf numFmtId="0" fontId="16" fillId="12" borderId="0" applyNumberFormat="0" applyBorder="0" applyAlignment="0" applyProtection="0"/>
    <xf numFmtId="0" fontId="16" fillId="11" borderId="0" applyNumberFormat="0" applyBorder="0" applyAlignment="0" applyProtection="0"/>
    <xf numFmtId="0" fontId="16" fillId="10" borderId="0" applyNumberFormat="0" applyBorder="0" applyAlignment="0" applyProtection="0"/>
    <xf numFmtId="0" fontId="16" fillId="11" borderId="0" applyNumberFormat="0" applyBorder="0" applyAlignment="0" applyProtection="0"/>
    <xf numFmtId="0" fontId="16" fillId="13" borderId="0" applyNumberFormat="0" applyBorder="0" applyAlignment="0" applyProtection="0"/>
    <xf numFmtId="0" fontId="16" fillId="14" borderId="0" applyNumberFormat="0" applyBorder="0" applyAlignment="0" applyProtection="0"/>
    <xf numFmtId="0" fontId="16" fillId="7" borderId="0" applyNumberFormat="0" applyBorder="0" applyAlignment="0" applyProtection="0"/>
    <xf numFmtId="0" fontId="16" fillId="11" borderId="0" applyNumberFormat="0" applyBorder="0" applyAlignment="0" applyProtection="0"/>
    <xf numFmtId="0" fontId="16" fillId="15" borderId="0" applyNumberFormat="0" applyBorder="0" applyAlignment="0" applyProtection="0"/>
    <xf numFmtId="49" fontId="37" fillId="0" borderId="2" applyNumberFormat="0" applyFont="0" applyFill="0" applyBorder="0" applyProtection="0">
      <alignment horizontal="left" vertical="center" indent="5"/>
    </xf>
    <xf numFmtId="0" fontId="17" fillId="17"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2" borderId="0" applyNumberFormat="0" applyBorder="0" applyAlignment="0" applyProtection="0"/>
    <xf numFmtId="0" fontId="17" fillId="17" borderId="0" applyNumberFormat="0" applyBorder="0" applyAlignment="0" applyProtection="0"/>
    <xf numFmtId="0" fontId="17" fillId="10" borderId="0" applyNumberFormat="0" applyBorder="0" applyAlignment="0" applyProtection="0"/>
    <xf numFmtId="0" fontId="17" fillId="16" borderId="0" applyNumberFormat="0" applyBorder="0" applyAlignment="0" applyProtection="0"/>
    <xf numFmtId="0" fontId="17" fillId="13" borderId="0" applyNumberFormat="0" applyBorder="0" applyAlignment="0" applyProtection="0"/>
    <xf numFmtId="0" fontId="17" fillId="14" borderId="0" applyNumberFormat="0" applyBorder="0" applyAlignment="0" applyProtection="0"/>
    <xf numFmtId="0" fontId="17" fillId="19" borderId="0" applyNumberFormat="0" applyBorder="0" applyAlignment="0" applyProtection="0"/>
    <xf numFmtId="0" fontId="17" fillId="17"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7" fillId="22" borderId="0" applyNumberFormat="0" applyBorder="0" applyAlignment="0" applyProtection="0"/>
    <xf numFmtId="0" fontId="17" fillId="23" borderId="0" applyNumberFormat="0" applyBorder="0" applyAlignment="0" applyProtection="0"/>
    <xf numFmtId="0" fontId="17" fillId="19" borderId="0" applyNumberFormat="0" applyBorder="0" applyAlignment="0" applyProtection="0"/>
    <xf numFmtId="0" fontId="17" fillId="17" borderId="0" applyNumberFormat="0" applyBorder="0" applyAlignment="0" applyProtection="0"/>
    <xf numFmtId="0" fontId="17" fillId="24" borderId="0" applyNumberFormat="0" applyBorder="0" applyAlignment="0" applyProtection="0"/>
    <xf numFmtId="0" fontId="18" fillId="12" borderId="3" applyNumberFormat="0" applyAlignment="0" applyProtection="0"/>
    <xf numFmtId="0" fontId="19" fillId="12" borderId="4" applyNumberFormat="0" applyAlignment="0" applyProtection="0"/>
    <xf numFmtId="0" fontId="38" fillId="25" borderId="0">
      <alignment horizontal="left" vertical="center"/>
    </xf>
    <xf numFmtId="4" fontId="39" fillId="0" borderId="5" applyFill="0" applyBorder="0" applyProtection="0">
      <alignment horizontal="right" vertical="center"/>
    </xf>
    <xf numFmtId="185" fontId="40" fillId="0" borderId="0" applyFont="0" applyFill="0" applyBorder="0" applyAlignment="0" applyProtection="0"/>
    <xf numFmtId="164" fontId="40" fillId="0" borderId="0" applyFont="0" applyFill="0" applyBorder="0" applyAlignment="0" applyProtection="0"/>
    <xf numFmtId="0" fontId="41" fillId="0" borderId="0">
      <alignment vertical="center"/>
    </xf>
    <xf numFmtId="184" fontId="40" fillId="0" borderId="0" applyFont="0" applyFill="0" applyBorder="0" applyAlignment="0" applyProtection="0"/>
    <xf numFmtId="186" fontId="40" fillId="0" borderId="0" applyFont="0" applyFill="0" applyBorder="0" applyAlignment="0" applyProtection="0"/>
    <xf numFmtId="177" fontId="42" fillId="0" borderId="0"/>
    <xf numFmtId="0" fontId="38" fillId="26" borderId="0">
      <alignment horizontal="center" vertical="center" wrapText="1"/>
    </xf>
    <xf numFmtId="0" fontId="20" fillId="10" borderId="4" applyNumberFormat="0" applyAlignment="0" applyProtection="0"/>
    <xf numFmtId="0" fontId="21" fillId="0" borderId="6" applyNumberFormat="0" applyFill="0" applyAlignment="0" applyProtection="0"/>
    <xf numFmtId="0" fontId="22" fillId="0" borderId="0" applyNumberFormat="0" applyFill="0" applyBorder="0" applyAlignment="0" applyProtection="0"/>
    <xf numFmtId="168" fontId="11" fillId="0" borderId="0" applyFont="0" applyFill="0" applyBorder="0" applyAlignment="0" applyProtection="0"/>
    <xf numFmtId="169" fontId="13" fillId="0" borderId="0" applyFont="0" applyFill="0" applyBorder="0" applyAlignment="0" applyProtection="0"/>
    <xf numFmtId="0" fontId="23" fillId="6" borderId="0" applyNumberFormat="0" applyBorder="0" applyAlignment="0" applyProtection="0"/>
    <xf numFmtId="0" fontId="43" fillId="0" borderId="0" applyNumberFormat="0" applyFill="0" applyBorder="0" applyAlignment="0" applyProtection="0"/>
    <xf numFmtId="178" fontId="42" fillId="0" borderId="0"/>
    <xf numFmtId="170" fontId="13" fillId="0" borderId="0" applyFont="0" applyFill="0" applyBorder="0" applyAlignment="0" applyProtection="0"/>
    <xf numFmtId="183" fontId="44" fillId="0" borderId="0"/>
    <xf numFmtId="0" fontId="38" fillId="27" borderId="0">
      <alignment horizontal="left" vertical="center"/>
    </xf>
    <xf numFmtId="182" fontId="44" fillId="0" borderId="0"/>
    <xf numFmtId="180" fontId="42" fillId="0" borderId="0"/>
    <xf numFmtId="179" fontId="44" fillId="0" borderId="0"/>
    <xf numFmtId="0" fontId="24" fillId="28" borderId="0" applyNumberFormat="0" applyBorder="0" applyAlignment="0" applyProtection="0"/>
    <xf numFmtId="174" fontId="42" fillId="0" borderId="0" applyAlignment="0">
      <alignment wrapText="1"/>
    </xf>
    <xf numFmtId="175" fontId="42" fillId="0" borderId="0"/>
    <xf numFmtId="174" fontId="42" fillId="0" borderId="0"/>
    <xf numFmtId="4" fontId="37" fillId="0" borderId="1" applyFill="0" applyBorder="0" applyProtection="0">
      <alignment horizontal="right" vertical="center"/>
    </xf>
    <xf numFmtId="49" fontId="39" fillId="0" borderId="1" applyNumberFormat="0" applyFill="0" applyBorder="0" applyProtection="0">
      <alignment horizontal="left" vertical="center"/>
    </xf>
    <xf numFmtId="0" fontId="37" fillId="0" borderId="1" applyNumberFormat="0" applyFill="0" applyAlignment="0" applyProtection="0"/>
    <xf numFmtId="0" fontId="40" fillId="0" borderId="0"/>
    <xf numFmtId="0" fontId="11" fillId="18" borderId="7" applyNumberFormat="0" applyFont="0" applyAlignment="0" applyProtection="0"/>
    <xf numFmtId="176" fontId="13" fillId="0" borderId="0"/>
    <xf numFmtId="167" fontId="13" fillId="29" borderId="0">
      <alignment horizontal="center" vertical="center"/>
    </xf>
    <xf numFmtId="0" fontId="25" fillId="4" borderId="0" applyNumberFormat="0" applyBorder="0" applyAlignment="0" applyProtection="0"/>
    <xf numFmtId="0" fontId="13" fillId="0" borderId="0"/>
    <xf numFmtId="0" fontId="52" fillId="0" borderId="0"/>
    <xf numFmtId="172" fontId="45" fillId="0" borderId="0">
      <alignment horizontal="center" vertical="center"/>
    </xf>
    <xf numFmtId="0" fontId="46" fillId="30" borderId="0">
      <alignment vertical="center" wrapText="1"/>
    </xf>
    <xf numFmtId="0" fontId="26" fillId="0" borderId="0" applyNumberFormat="0" applyFill="0" applyBorder="0" applyAlignment="0" applyProtection="0"/>
    <xf numFmtId="0" fontId="27" fillId="0" borderId="8" applyNumberFormat="0" applyFill="0" applyAlignment="0" applyProtection="0"/>
    <xf numFmtId="0" fontId="28" fillId="0" borderId="9" applyNumberFormat="0" applyFill="0" applyAlignment="0" applyProtection="0"/>
    <xf numFmtId="0" fontId="29" fillId="0" borderId="10" applyNumberFormat="0" applyFill="0" applyAlignment="0" applyProtection="0"/>
    <xf numFmtId="0" fontId="29" fillId="0" borderId="0" applyNumberFormat="0" applyFill="0" applyBorder="0" applyAlignment="0" applyProtection="0"/>
    <xf numFmtId="172" fontId="47" fillId="0" borderId="0">
      <alignment horizontal="center" vertical="center"/>
    </xf>
    <xf numFmtId="0" fontId="30" fillId="0" borderId="11" applyNumberFormat="0" applyFill="0" applyAlignment="0" applyProtection="0"/>
    <xf numFmtId="0" fontId="31" fillId="0" borderId="0" applyNumberFormat="0" applyFill="0" applyBorder="0" applyAlignment="0" applyProtection="0"/>
    <xf numFmtId="0" fontId="38" fillId="31" borderId="0">
      <alignment horizontal="left" vertical="center"/>
    </xf>
    <xf numFmtId="11" fontId="42" fillId="0" borderId="0"/>
    <xf numFmtId="11" fontId="36" fillId="0" borderId="0">
      <alignment horizontal="center" vertical="center" wrapText="1"/>
    </xf>
    <xf numFmtId="173" fontId="48" fillId="0" borderId="0">
      <alignment horizontal="center" vertical="center"/>
    </xf>
    <xf numFmtId="171" fontId="13" fillId="0" borderId="0">
      <alignment horizontal="center" vertical="center"/>
    </xf>
    <xf numFmtId="0" fontId="32" fillId="32" borderId="12" applyNumberFormat="0" applyAlignment="0" applyProtection="0"/>
    <xf numFmtId="181" fontId="44" fillId="0" borderId="0"/>
    <xf numFmtId="0" fontId="11" fillId="0" borderId="0"/>
    <xf numFmtId="0" fontId="10" fillId="0" borderId="0"/>
    <xf numFmtId="0" fontId="57" fillId="0" borderId="0" applyNumberFormat="0" applyFill="0" applyBorder="0" applyAlignment="0" applyProtection="0">
      <alignment vertical="top"/>
      <protection locked="0"/>
    </xf>
    <xf numFmtId="187" fontId="58" fillId="0" borderId="0" applyFont="0" applyFill="0" applyBorder="0" applyAlignment="0" applyProtection="0"/>
    <xf numFmtId="0" fontId="11" fillId="18" borderId="7" applyNumberFormat="0" applyFont="0" applyAlignment="0" applyProtection="0"/>
    <xf numFmtId="9" fontId="11" fillId="0" borderId="0" applyFont="0" applyFill="0" applyBorder="0" applyAlignment="0" applyProtection="0"/>
    <xf numFmtId="9" fontId="58" fillId="0" borderId="0" applyFont="0" applyFill="0" applyBorder="0" applyAlignment="0" applyProtection="0"/>
    <xf numFmtId="0" fontId="10" fillId="0" borderId="0"/>
    <xf numFmtId="0" fontId="10" fillId="0" borderId="0"/>
    <xf numFmtId="0" fontId="10" fillId="0" borderId="0"/>
    <xf numFmtId="0" fontId="9" fillId="0" borderId="0"/>
    <xf numFmtId="0" fontId="8" fillId="0" borderId="0"/>
    <xf numFmtId="0" fontId="7" fillId="0" borderId="0"/>
    <xf numFmtId="0" fontId="73" fillId="0" borderId="0" applyNumberFormat="0" applyFill="0" applyBorder="0" applyAlignment="0" applyProtection="0"/>
    <xf numFmtId="0" fontId="6" fillId="0" borderId="0"/>
    <xf numFmtId="164" fontId="81" fillId="0" borderId="0" applyFont="0" applyFill="0" applyBorder="0" applyAlignment="0" applyProtection="0"/>
    <xf numFmtId="0" fontId="3" fillId="0" borderId="0"/>
    <xf numFmtId="0" fontId="3" fillId="0" borderId="0"/>
    <xf numFmtId="9" fontId="3" fillId="0" borderId="0" applyFont="0" applyFill="0" applyBorder="0" applyAlignment="0" applyProtection="0"/>
    <xf numFmtId="164" fontId="11" fillId="0" borderId="0" applyFont="0" applyFill="0" applyBorder="0" applyAlignment="0" applyProtection="0"/>
    <xf numFmtId="0" fontId="1" fillId="0" borderId="0"/>
  </cellStyleXfs>
  <cellXfs count="1054">
    <xf numFmtId="0" fontId="0" fillId="0" borderId="0" xfId="0"/>
    <xf numFmtId="0" fontId="13" fillId="0" borderId="0" xfId="0" applyFont="1"/>
    <xf numFmtId="0" fontId="0" fillId="0" borderId="0" xfId="0" applyAlignment="1">
      <alignment horizontal="center"/>
    </xf>
    <xf numFmtId="0" fontId="34" fillId="30" borderId="17" xfId="0" applyFont="1" applyFill="1" applyBorder="1"/>
    <xf numFmtId="1" fontId="0" fillId="0" borderId="0" xfId="0" applyNumberFormat="1"/>
    <xf numFmtId="0" fontId="13" fillId="30" borderId="0" xfId="0" applyFont="1" applyFill="1" applyAlignment="1">
      <alignment horizontal="center"/>
    </xf>
    <xf numFmtId="1" fontId="13" fillId="0" borderId="0" xfId="0" applyNumberFormat="1" applyFont="1" applyAlignment="1">
      <alignment horizontal="center"/>
    </xf>
    <xf numFmtId="1" fontId="12" fillId="30" borderId="0" xfId="0" applyNumberFormat="1" applyFont="1" applyFill="1"/>
    <xf numFmtId="0" fontId="11" fillId="30" borderId="14" xfId="0" applyFont="1" applyFill="1" applyBorder="1" applyAlignment="1">
      <alignment horizontal="center"/>
    </xf>
    <xf numFmtId="0" fontId="49" fillId="0" borderId="0" xfId="0" applyFont="1"/>
    <xf numFmtId="0" fontId="12" fillId="0" borderId="21" xfId="0" applyFont="1" applyBorder="1" applyAlignment="1">
      <alignment vertical="top"/>
    </xf>
    <xf numFmtId="0" fontId="12" fillId="0" borderId="21" xfId="0" applyFont="1" applyBorder="1" applyAlignment="1">
      <alignment vertical="center"/>
    </xf>
    <xf numFmtId="0" fontId="12" fillId="0" borderId="0" xfId="0" applyFont="1"/>
    <xf numFmtId="0" fontId="13" fillId="30" borderId="0" xfId="0" applyFont="1" applyFill="1" applyAlignment="1">
      <alignment horizontal="right"/>
    </xf>
    <xf numFmtId="0" fontId="13" fillId="0" borderId="0" xfId="0" applyFont="1" applyAlignment="1">
      <alignment horizontal="center" vertical="center"/>
    </xf>
    <xf numFmtId="1" fontId="13" fillId="0" borderId="0" xfId="0" applyNumberFormat="1" applyFont="1"/>
    <xf numFmtId="3" fontId="0" fillId="0" borderId="0" xfId="0" applyNumberFormat="1"/>
    <xf numFmtId="3" fontId="12" fillId="30" borderId="0" xfId="0" applyNumberFormat="1" applyFont="1" applyFill="1"/>
    <xf numFmtId="9" fontId="12" fillId="30" borderId="0" xfId="0" applyNumberFormat="1" applyFont="1" applyFill="1"/>
    <xf numFmtId="1" fontId="12" fillId="0" borderId="0" xfId="0" applyNumberFormat="1" applyFont="1"/>
    <xf numFmtId="0" fontId="12" fillId="0" borderId="0" xfId="0" applyFont="1" applyAlignment="1">
      <alignment horizontal="left"/>
    </xf>
    <xf numFmtId="0" fontId="13" fillId="0" borderId="0" xfId="0" applyFont="1" applyAlignment="1">
      <alignment horizontal="left"/>
    </xf>
    <xf numFmtId="0" fontId="51" fillId="0" borderId="0" xfId="83" applyFont="1"/>
    <xf numFmtId="0" fontId="51" fillId="0" borderId="23" xfId="83" applyFont="1" applyBorder="1" applyAlignment="1">
      <alignment horizontal="center"/>
    </xf>
    <xf numFmtId="0" fontId="51" fillId="0" borderId="0" xfId="83" applyFont="1" applyAlignment="1">
      <alignment horizontal="center"/>
    </xf>
    <xf numFmtId="0" fontId="51" fillId="0" borderId="22" xfId="83" applyFont="1" applyBorder="1" applyAlignment="1">
      <alignment horizontal="center"/>
    </xf>
    <xf numFmtId="0" fontId="11" fillId="0" borderId="26" xfId="0" applyFont="1" applyBorder="1" applyAlignment="1">
      <alignment horizontal="center" textRotation="90" wrapText="1"/>
    </xf>
    <xf numFmtId="0" fontId="11" fillId="0" borderId="28" xfId="0" applyFont="1" applyBorder="1" applyAlignment="1">
      <alignment horizontal="center" textRotation="90" wrapText="1"/>
    </xf>
    <xf numFmtId="0" fontId="11" fillId="0" borderId="31" xfId="0" applyFont="1" applyBorder="1" applyAlignment="1">
      <alignment horizontal="center" textRotation="90" wrapText="1"/>
    </xf>
    <xf numFmtId="165" fontId="11" fillId="0" borderId="29" xfId="0" quotePrefix="1" applyNumberFormat="1" applyFont="1" applyBorder="1" applyAlignment="1">
      <alignment horizontal="center" vertical="top" wrapText="1"/>
    </xf>
    <xf numFmtId="165" fontId="11" fillId="0" borderId="30" xfId="0" quotePrefix="1" applyNumberFormat="1" applyFont="1" applyBorder="1" applyAlignment="1">
      <alignment horizontal="center" vertical="top" wrapText="1"/>
    </xf>
    <xf numFmtId="165" fontId="11" fillId="0" borderId="31" xfId="0" quotePrefix="1" applyNumberFormat="1" applyFont="1" applyBorder="1" applyAlignment="1">
      <alignment horizontal="center" vertical="top" wrapText="1"/>
    </xf>
    <xf numFmtId="165" fontId="11" fillId="0" borderId="29" xfId="0" quotePrefix="1" applyNumberFormat="1" applyFont="1" applyBorder="1" applyAlignment="1">
      <alignment horizontal="center"/>
    </xf>
    <xf numFmtId="0" fontId="11" fillId="0" borderId="0" xfId="0" applyFont="1"/>
    <xf numFmtId="165" fontId="11" fillId="0" borderId="30" xfId="0" quotePrefix="1" applyNumberFormat="1" applyFont="1" applyBorder="1" applyAlignment="1">
      <alignment horizontal="center"/>
    </xf>
    <xf numFmtId="165" fontId="11" fillId="0" borderId="31" xfId="0" quotePrefix="1" applyNumberFormat="1" applyFont="1" applyBorder="1" applyAlignment="1">
      <alignment horizontal="center"/>
    </xf>
    <xf numFmtId="165" fontId="11" fillId="0" borderId="21" xfId="0" quotePrefix="1" applyNumberFormat="1" applyFont="1" applyBorder="1" applyAlignment="1">
      <alignment horizontal="center"/>
    </xf>
    <xf numFmtId="0" fontId="11" fillId="0" borderId="25" xfId="0" applyFont="1" applyBorder="1"/>
    <xf numFmtId="165" fontId="11" fillId="0" borderId="29" xfId="0" applyNumberFormat="1" applyFont="1" applyBorder="1" applyAlignment="1">
      <alignment horizontal="center"/>
    </xf>
    <xf numFmtId="165" fontId="11" fillId="0" borderId="30" xfId="0" applyNumberFormat="1" applyFont="1" applyBorder="1" applyAlignment="1">
      <alignment horizontal="center"/>
    </xf>
    <xf numFmtId="165" fontId="11" fillId="0" borderId="31" xfId="0" applyNumberFormat="1" applyFont="1" applyBorder="1" applyAlignment="1">
      <alignment horizontal="center"/>
    </xf>
    <xf numFmtId="0" fontId="11" fillId="0" borderId="0" xfId="0" applyFont="1" applyAlignment="1">
      <alignment horizontal="center"/>
    </xf>
    <xf numFmtId="0" fontId="12" fillId="30" borderId="17" xfId="0" applyFont="1" applyFill="1" applyBorder="1"/>
    <xf numFmtId="1" fontId="11" fillId="0" borderId="0" xfId="0" applyNumberFormat="1" applyFont="1"/>
    <xf numFmtId="0" fontId="11" fillId="30" borderId="0" xfId="0" applyFont="1" applyFill="1"/>
    <xf numFmtId="0" fontId="11" fillId="30" borderId="15" xfId="0" applyFont="1" applyFill="1" applyBorder="1"/>
    <xf numFmtId="0" fontId="11" fillId="30" borderId="18" xfId="0" applyFont="1" applyFill="1" applyBorder="1"/>
    <xf numFmtId="1" fontId="11" fillId="0" borderId="14" xfId="0" applyNumberFormat="1" applyFont="1" applyBorder="1" applyAlignment="1">
      <alignment horizontal="center"/>
    </xf>
    <xf numFmtId="1" fontId="11" fillId="30" borderId="14" xfId="0" applyNumberFormat="1" applyFont="1" applyFill="1" applyBorder="1" applyAlignment="1">
      <alignment horizontal="left"/>
    </xf>
    <xf numFmtId="0" fontId="11" fillId="30" borderId="16" xfId="0" applyFont="1" applyFill="1" applyBorder="1"/>
    <xf numFmtId="0" fontId="11" fillId="30" borderId="19" xfId="0" applyFont="1" applyFill="1" applyBorder="1"/>
    <xf numFmtId="0" fontId="12" fillId="30" borderId="13" xfId="0" applyFont="1" applyFill="1" applyBorder="1"/>
    <xf numFmtId="1" fontId="11" fillId="0" borderId="1" xfId="0" applyNumberFormat="1" applyFont="1" applyBorder="1"/>
    <xf numFmtId="1" fontId="11" fillId="0" borderId="24" xfId="0" applyNumberFormat="1" applyFont="1" applyBorder="1" applyAlignment="1">
      <alignment horizontal="center"/>
    </xf>
    <xf numFmtId="165" fontId="11" fillId="30" borderId="14" xfId="0" applyNumberFormat="1" applyFont="1" applyFill="1" applyBorder="1" applyAlignment="1">
      <alignment horizontal="center"/>
    </xf>
    <xf numFmtId="2" fontId="11" fillId="30" borderId="14" xfId="0" applyNumberFormat="1" applyFont="1" applyFill="1" applyBorder="1" applyAlignment="1">
      <alignment horizontal="center"/>
    </xf>
    <xf numFmtId="1" fontId="13" fillId="30" borderId="0" xfId="0" applyNumberFormat="1" applyFont="1" applyFill="1" applyAlignment="1">
      <alignment horizontal="center"/>
    </xf>
    <xf numFmtId="0" fontId="53" fillId="0" borderId="0" xfId="0" applyFont="1" applyAlignment="1">
      <alignment horizontal="center"/>
    </xf>
    <xf numFmtId="1" fontId="11" fillId="30" borderId="0" xfId="0" applyNumberFormat="1" applyFont="1" applyFill="1" applyAlignment="1">
      <alignment horizontal="center"/>
    </xf>
    <xf numFmtId="1" fontId="0" fillId="0" borderId="33" xfId="0" applyNumberFormat="1" applyBorder="1" applyAlignment="1">
      <alignment horizontal="center"/>
    </xf>
    <xf numFmtId="166" fontId="13" fillId="30" borderId="35" xfId="0" applyNumberFormat="1" applyFont="1" applyFill="1" applyBorder="1" applyAlignment="1">
      <alignment horizontal="center"/>
    </xf>
    <xf numFmtId="3" fontId="13" fillId="30" borderId="35" xfId="0" applyNumberFormat="1" applyFont="1" applyFill="1" applyBorder="1" applyAlignment="1">
      <alignment horizontal="center"/>
    </xf>
    <xf numFmtId="1" fontId="13" fillId="30" borderId="37" xfId="0" applyNumberFormat="1" applyFont="1" applyFill="1" applyBorder="1" applyAlignment="1">
      <alignment horizontal="center"/>
    </xf>
    <xf numFmtId="166" fontId="13" fillId="30" borderId="38" xfId="0" applyNumberFormat="1" applyFont="1" applyFill="1" applyBorder="1" applyAlignment="1">
      <alignment horizontal="center"/>
    </xf>
    <xf numFmtId="1" fontId="13" fillId="30" borderId="33" xfId="0" applyNumberFormat="1" applyFont="1" applyFill="1" applyBorder="1"/>
    <xf numFmtId="1" fontId="13" fillId="30" borderId="37" xfId="0" applyNumberFormat="1" applyFont="1" applyFill="1" applyBorder="1"/>
    <xf numFmtId="0" fontId="35" fillId="30" borderId="42" xfId="0" applyFont="1" applyFill="1" applyBorder="1"/>
    <xf numFmtId="0" fontId="13" fillId="30" borderId="39" xfId="0" applyFont="1" applyFill="1" applyBorder="1" applyAlignment="1">
      <alignment horizontal="center"/>
    </xf>
    <xf numFmtId="1" fontId="11" fillId="30" borderId="39" xfId="0" applyNumberFormat="1" applyFont="1" applyFill="1" applyBorder="1" applyAlignment="1">
      <alignment horizontal="center" vertical="center"/>
    </xf>
    <xf numFmtId="1" fontId="11" fillId="30" borderId="43" xfId="0" applyNumberFormat="1" applyFont="1" applyFill="1" applyBorder="1" applyAlignment="1">
      <alignment horizontal="center" vertical="center"/>
    </xf>
    <xf numFmtId="0" fontId="35" fillId="30" borderId="43" xfId="0" applyFont="1" applyFill="1" applyBorder="1"/>
    <xf numFmtId="0" fontId="13" fillId="33" borderId="38" xfId="0" applyFont="1" applyFill="1" applyBorder="1" applyAlignment="1">
      <alignment horizontal="left" wrapText="1"/>
    </xf>
    <xf numFmtId="1" fontId="12" fillId="30" borderId="38" xfId="0" applyNumberFormat="1" applyFont="1" applyFill="1" applyBorder="1"/>
    <xf numFmtId="0" fontId="13" fillId="30" borderId="37" xfId="0" applyFont="1" applyFill="1" applyBorder="1"/>
    <xf numFmtId="0" fontId="13" fillId="30" borderId="33" xfId="0" applyFont="1" applyFill="1" applyBorder="1" applyAlignment="1">
      <alignment horizontal="center"/>
    </xf>
    <xf numFmtId="0" fontId="13" fillId="30" borderId="42" xfId="0" applyFont="1" applyFill="1" applyBorder="1" applyAlignment="1">
      <alignment horizontal="center"/>
    </xf>
    <xf numFmtId="0" fontId="13" fillId="0" borderId="43" xfId="0" applyFont="1" applyBorder="1" applyAlignment="1">
      <alignment horizontal="center"/>
    </xf>
    <xf numFmtId="9" fontId="13" fillId="30" borderId="43" xfId="0" applyNumberFormat="1" applyFont="1" applyFill="1" applyBorder="1" applyAlignment="1">
      <alignment horizontal="center"/>
    </xf>
    <xf numFmtId="9" fontId="13" fillId="30" borderId="38" xfId="0" applyNumberFormat="1" applyFont="1" applyFill="1" applyBorder="1" applyAlignment="1">
      <alignment horizontal="center"/>
    </xf>
    <xf numFmtId="0" fontId="13" fillId="0" borderId="34" xfId="0" applyFont="1" applyBorder="1" applyAlignment="1">
      <alignment horizontal="center" vertical="center"/>
    </xf>
    <xf numFmtId="3" fontId="12" fillId="30" borderId="35" xfId="0" applyNumberFormat="1" applyFont="1" applyFill="1" applyBorder="1" applyAlignment="1">
      <alignment horizontal="center" vertical="center"/>
    </xf>
    <xf numFmtId="1" fontId="13" fillId="30" borderId="33" xfId="0" applyNumberFormat="1" applyFont="1" applyFill="1" applyBorder="1" applyAlignment="1">
      <alignment horizontal="center"/>
    </xf>
    <xf numFmtId="1" fontId="11" fillId="30" borderId="42" xfId="0" applyNumberFormat="1" applyFont="1" applyFill="1" applyBorder="1" applyAlignment="1">
      <alignment horizontal="center" vertical="center"/>
    </xf>
    <xf numFmtId="166" fontId="13" fillId="30" borderId="34" xfId="0" applyNumberFormat="1" applyFont="1" applyFill="1" applyBorder="1" applyAlignment="1">
      <alignment horizontal="center"/>
    </xf>
    <xf numFmtId="3" fontId="12" fillId="30" borderId="35" xfId="0" applyNumberFormat="1" applyFont="1" applyFill="1" applyBorder="1" applyAlignment="1">
      <alignment horizontal="center"/>
    </xf>
    <xf numFmtId="3" fontId="13" fillId="30" borderId="42" xfId="0" applyNumberFormat="1" applyFont="1" applyFill="1" applyBorder="1" applyAlignment="1">
      <alignment horizontal="center"/>
    </xf>
    <xf numFmtId="1" fontId="12" fillId="0" borderId="38" xfId="0" applyNumberFormat="1" applyFont="1" applyBorder="1" applyAlignment="1">
      <alignment horizontal="center"/>
    </xf>
    <xf numFmtId="0" fontId="0" fillId="0" borderId="32" xfId="0" applyBorder="1"/>
    <xf numFmtId="0" fontId="13" fillId="0" borderId="32" xfId="0" applyFont="1" applyBorder="1"/>
    <xf numFmtId="0" fontId="11" fillId="0" borderId="34" xfId="0" applyFont="1" applyBorder="1" applyAlignment="1">
      <alignment horizontal="center" vertical="center"/>
    </xf>
    <xf numFmtId="0" fontId="14" fillId="0" borderId="34" xfId="0" applyFont="1" applyBorder="1" applyAlignment="1">
      <alignment horizontal="left"/>
    </xf>
    <xf numFmtId="0" fontId="14" fillId="0" borderId="35" xfId="0" applyFont="1" applyBorder="1"/>
    <xf numFmtId="0" fontId="14" fillId="0" borderId="35" xfId="0" applyFont="1" applyBorder="1" applyAlignment="1">
      <alignment horizontal="left"/>
    </xf>
    <xf numFmtId="0" fontId="14" fillId="0" borderId="38" xfId="0" applyFont="1" applyBorder="1"/>
    <xf numFmtId="0" fontId="11" fillId="0" borderId="34" xfId="0" applyFont="1" applyBorder="1" applyAlignment="1">
      <alignment horizontal="center"/>
    </xf>
    <xf numFmtId="0" fontId="11" fillId="0" borderId="38" xfId="0" applyFont="1" applyBorder="1" applyAlignment="1">
      <alignment horizontal="center"/>
    </xf>
    <xf numFmtId="165" fontId="11" fillId="0" borderId="34" xfId="0" applyNumberFormat="1" applyFont="1" applyBorder="1" applyAlignment="1">
      <alignment horizontal="center"/>
    </xf>
    <xf numFmtId="165" fontId="11" fillId="0" borderId="38" xfId="0" applyNumberFormat="1" applyFont="1" applyBorder="1" applyAlignment="1">
      <alignment horizontal="center"/>
    </xf>
    <xf numFmtId="0" fontId="11" fillId="0" borderId="35" xfId="0" applyFont="1" applyBorder="1" applyAlignment="1">
      <alignment horizontal="center"/>
    </xf>
    <xf numFmtId="165" fontId="11" fillId="0" borderId="35" xfId="0" applyNumberFormat="1" applyFont="1" applyBorder="1" applyAlignment="1">
      <alignment horizontal="center"/>
    </xf>
    <xf numFmtId="0" fontId="0" fillId="0" borderId="33" xfId="0" applyBorder="1" applyAlignment="1">
      <alignment horizontal="center"/>
    </xf>
    <xf numFmtId="165" fontId="0" fillId="0" borderId="38" xfId="0" applyNumberFormat="1" applyBorder="1" applyAlignment="1">
      <alignment horizontal="center"/>
    </xf>
    <xf numFmtId="0" fontId="0" fillId="0" borderId="37" xfId="0" applyBorder="1"/>
    <xf numFmtId="1" fontId="11" fillId="0" borderId="33" xfId="0" applyNumberFormat="1" applyFont="1" applyBorder="1" applyAlignment="1">
      <alignment horizontal="center"/>
    </xf>
    <xf numFmtId="0" fontId="11" fillId="0" borderId="37" xfId="0" applyFont="1" applyBorder="1" applyAlignment="1">
      <alignment horizontal="center"/>
    </xf>
    <xf numFmtId="1" fontId="0" fillId="0" borderId="37" xfId="0" applyNumberFormat="1" applyBorder="1" applyAlignment="1">
      <alignment horizontal="center"/>
    </xf>
    <xf numFmtId="1" fontId="13" fillId="0" borderId="37" xfId="0" applyNumberFormat="1" applyFont="1" applyBorder="1" applyAlignment="1">
      <alignment horizontal="center"/>
    </xf>
    <xf numFmtId="1" fontId="0" fillId="0" borderId="38" xfId="0" applyNumberFormat="1" applyBorder="1" applyAlignment="1">
      <alignment horizontal="center"/>
    </xf>
    <xf numFmtId="0" fontId="0" fillId="0" borderId="42" xfId="0" applyBorder="1" applyAlignment="1">
      <alignment horizontal="center"/>
    </xf>
    <xf numFmtId="0" fontId="0" fillId="0" borderId="43" xfId="0" applyBorder="1"/>
    <xf numFmtId="1" fontId="13" fillId="0" borderId="42" xfId="0" applyNumberFormat="1" applyFont="1" applyBorder="1" applyAlignment="1">
      <alignment horizontal="center"/>
    </xf>
    <xf numFmtId="1" fontId="0" fillId="0" borderId="43" xfId="0" applyNumberFormat="1" applyBorder="1" applyAlignment="1">
      <alignment horizontal="center"/>
    </xf>
    <xf numFmtId="0" fontId="0" fillId="0" borderId="38" xfId="0" applyBorder="1"/>
    <xf numFmtId="1" fontId="0" fillId="0" borderId="34" xfId="0" applyNumberFormat="1" applyBorder="1" applyAlignment="1">
      <alignment horizontal="center"/>
    </xf>
    <xf numFmtId="0" fontId="0" fillId="0" borderId="38" xfId="0" applyBorder="1" applyAlignment="1">
      <alignment horizontal="center"/>
    </xf>
    <xf numFmtId="165" fontId="0" fillId="0" borderId="34" xfId="0" applyNumberFormat="1" applyBorder="1" applyAlignment="1">
      <alignment horizontal="center"/>
    </xf>
    <xf numFmtId="1" fontId="13" fillId="0" borderId="39" xfId="0" applyNumberFormat="1" applyFont="1" applyBorder="1" applyAlignment="1">
      <alignment horizontal="center"/>
    </xf>
    <xf numFmtId="3" fontId="0" fillId="0" borderId="34" xfId="0" applyNumberFormat="1" applyBorder="1" applyAlignment="1">
      <alignment horizontal="center"/>
    </xf>
    <xf numFmtId="3" fontId="0" fillId="0" borderId="35" xfId="0" applyNumberFormat="1" applyBorder="1" applyAlignment="1">
      <alignment horizontal="center"/>
    </xf>
    <xf numFmtId="3" fontId="12" fillId="0" borderId="34" xfId="0" applyNumberFormat="1" applyFont="1" applyBorder="1" applyAlignment="1">
      <alignment horizontal="center"/>
    </xf>
    <xf numFmtId="3" fontId="12" fillId="0" borderId="35" xfId="0" applyNumberFormat="1" applyFont="1" applyBorder="1" applyAlignment="1">
      <alignment horizontal="center"/>
    </xf>
    <xf numFmtId="1" fontId="0" fillId="0" borderId="35" xfId="0" applyNumberFormat="1" applyBorder="1" applyAlignment="1">
      <alignment horizontal="center"/>
    </xf>
    <xf numFmtId="165" fontId="0" fillId="0" borderId="38" xfId="0" applyNumberFormat="1" applyBorder="1" applyAlignment="1">
      <alignment horizontal="left"/>
    </xf>
    <xf numFmtId="1" fontId="54" fillId="35" borderId="40" xfId="0" applyNumberFormat="1" applyFont="1" applyFill="1" applyBorder="1"/>
    <xf numFmtId="1" fontId="54" fillId="35" borderId="41" xfId="0" applyNumberFormat="1" applyFont="1" applyFill="1" applyBorder="1"/>
    <xf numFmtId="0" fontId="55" fillId="35" borderId="41" xfId="0" applyFont="1" applyFill="1" applyBorder="1"/>
    <xf numFmtId="1" fontId="54" fillId="35" borderId="36" xfId="0" applyNumberFormat="1" applyFont="1" applyFill="1" applyBorder="1"/>
    <xf numFmtId="0" fontId="54" fillId="35" borderId="40" xfId="0" applyFont="1" applyFill="1" applyBorder="1" applyAlignment="1">
      <alignment horizontal="left"/>
    </xf>
    <xf numFmtId="0" fontId="55" fillId="35" borderId="36" xfId="0" applyFont="1" applyFill="1" applyBorder="1"/>
    <xf numFmtId="0" fontId="54" fillId="35" borderId="41" xfId="0" applyFont="1" applyFill="1" applyBorder="1"/>
    <xf numFmtId="0" fontId="54" fillId="35" borderId="40" xfId="0" applyFont="1" applyFill="1" applyBorder="1"/>
    <xf numFmtId="0" fontId="11" fillId="35" borderId="34" xfId="0" applyFont="1" applyFill="1" applyBorder="1" applyAlignment="1">
      <alignment horizontal="center"/>
    </xf>
    <xf numFmtId="165" fontId="11" fillId="35" borderId="34" xfId="0" applyNumberFormat="1" applyFont="1" applyFill="1" applyBorder="1" applyAlignment="1">
      <alignment horizontal="center"/>
    </xf>
    <xf numFmtId="1" fontId="12" fillId="35" borderId="38" xfId="0" applyNumberFormat="1" applyFont="1" applyFill="1" applyBorder="1" applyAlignment="1">
      <alignment horizontal="center"/>
    </xf>
    <xf numFmtId="0" fontId="0" fillId="0" borderId="43" xfId="0" applyBorder="1" applyAlignment="1">
      <alignment horizontal="center"/>
    </xf>
    <xf numFmtId="1" fontId="0" fillId="35" borderId="34" xfId="0" applyNumberFormat="1" applyFill="1" applyBorder="1" applyAlignment="1">
      <alignment horizontal="center"/>
    </xf>
    <xf numFmtId="1" fontId="0" fillId="35" borderId="38" xfId="0" applyNumberFormat="1" applyFill="1" applyBorder="1" applyAlignment="1">
      <alignment horizontal="center"/>
    </xf>
    <xf numFmtId="0" fontId="12" fillId="0" borderId="34" xfId="0" applyFont="1" applyBorder="1" applyAlignment="1">
      <alignment horizontal="center"/>
    </xf>
    <xf numFmtId="0" fontId="12" fillId="0" borderId="38" xfId="0" applyFont="1" applyBorder="1"/>
    <xf numFmtId="1" fontId="12" fillId="35" borderId="34" xfId="0" applyNumberFormat="1" applyFont="1" applyFill="1" applyBorder="1" applyAlignment="1">
      <alignment horizontal="center"/>
    </xf>
    <xf numFmtId="1" fontId="12" fillId="0" borderId="34" xfId="0" applyNumberFormat="1" applyFont="1" applyBorder="1" applyAlignment="1">
      <alignment horizontal="center"/>
    </xf>
    <xf numFmtId="0" fontId="54" fillId="35" borderId="36" xfId="0" applyFont="1" applyFill="1" applyBorder="1"/>
    <xf numFmtId="0" fontId="12" fillId="0" borderId="33" xfId="0" applyFont="1" applyBorder="1" applyAlignment="1">
      <alignment horizontal="left"/>
    </xf>
    <xf numFmtId="0" fontId="0" fillId="0" borderId="39" xfId="0" applyBorder="1"/>
    <xf numFmtId="1" fontId="12" fillId="30" borderId="33" xfId="0" applyNumberFormat="1" applyFont="1" applyFill="1" applyBorder="1"/>
    <xf numFmtId="1" fontId="12" fillId="30" borderId="37" xfId="0" applyNumberFormat="1" applyFont="1" applyFill="1" applyBorder="1"/>
    <xf numFmtId="0" fontId="13" fillId="0" borderId="33" xfId="0" applyFont="1" applyBorder="1" applyAlignment="1">
      <alignment horizontal="left"/>
    </xf>
    <xf numFmtId="0" fontId="13" fillId="0" borderId="35" xfId="0" applyFont="1" applyBorder="1" applyAlignment="1">
      <alignment horizontal="left"/>
    </xf>
    <xf numFmtId="1" fontId="12" fillId="0" borderId="33" xfId="0" applyNumberFormat="1" applyFont="1" applyBorder="1" applyAlignment="1">
      <alignment horizontal="center"/>
    </xf>
    <xf numFmtId="1" fontId="12" fillId="0" borderId="37" xfId="0" applyNumberFormat="1" applyFont="1" applyBorder="1" applyAlignment="1">
      <alignment horizontal="center"/>
    </xf>
    <xf numFmtId="0" fontId="11" fillId="0" borderId="42" xfId="0" applyFont="1" applyBorder="1" applyAlignment="1">
      <alignment horizontal="center"/>
    </xf>
    <xf numFmtId="0" fontId="11" fillId="0" borderId="35" xfId="0" applyFont="1" applyBorder="1" applyAlignment="1">
      <alignment horizontal="left"/>
    </xf>
    <xf numFmtId="1" fontId="55" fillId="0" borderId="0" xfId="0" applyNumberFormat="1" applyFont="1"/>
    <xf numFmtId="0" fontId="54" fillId="35" borderId="0" xfId="0" applyFont="1" applyFill="1" applyAlignment="1">
      <alignment horizontal="left"/>
    </xf>
    <xf numFmtId="0" fontId="54" fillId="35" borderId="0" xfId="0" applyFont="1" applyFill="1"/>
    <xf numFmtId="1" fontId="54" fillId="35" borderId="0" xfId="0" applyNumberFormat="1" applyFont="1" applyFill="1"/>
    <xf numFmtId="0" fontId="54" fillId="0" borderId="0" xfId="0" applyFont="1" applyAlignment="1">
      <alignment horizontal="left"/>
    </xf>
    <xf numFmtId="0" fontId="54" fillId="0" borderId="0" xfId="0" applyFont="1"/>
    <xf numFmtId="1" fontId="54" fillId="0" borderId="0" xfId="0" applyNumberFormat="1" applyFont="1"/>
    <xf numFmtId="0" fontId="11" fillId="0" borderId="38" xfId="0" applyFont="1" applyBorder="1" applyAlignment="1">
      <alignment horizontal="left"/>
    </xf>
    <xf numFmtId="0" fontId="13" fillId="0" borderId="38" xfId="0" applyFont="1" applyBorder="1" applyAlignment="1">
      <alignment horizontal="left"/>
    </xf>
    <xf numFmtId="0" fontId="11" fillId="0" borderId="35" xfId="0" applyFont="1" applyBorder="1"/>
    <xf numFmtId="0" fontId="12" fillId="0" borderId="35" xfId="0" applyFont="1" applyBorder="1"/>
    <xf numFmtId="3" fontId="0" fillId="0" borderId="0" xfId="0" applyNumberFormat="1" applyAlignment="1">
      <alignment horizontal="center"/>
    </xf>
    <xf numFmtId="1" fontId="55" fillId="0" borderId="0" xfId="0" applyNumberFormat="1" applyFont="1" applyAlignment="1">
      <alignment horizontal="center"/>
    </xf>
    <xf numFmtId="0" fontId="0" fillId="30" borderId="34" xfId="0" applyFill="1" applyBorder="1" applyAlignment="1">
      <alignment horizontal="center"/>
    </xf>
    <xf numFmtId="1" fontId="0" fillId="0" borderId="34" xfId="0" applyNumberFormat="1" applyBorder="1"/>
    <xf numFmtId="0" fontId="56" fillId="37" borderId="0" xfId="101" applyFont="1" applyFill="1"/>
    <xf numFmtId="0" fontId="56" fillId="37" borderId="0" xfId="101" applyFont="1" applyFill="1" applyAlignment="1">
      <alignment horizontal="center"/>
    </xf>
    <xf numFmtId="0" fontId="11" fillId="0" borderId="0" xfId="101"/>
    <xf numFmtId="0" fontId="56" fillId="38" borderId="0" xfId="101" applyFont="1" applyFill="1"/>
    <xf numFmtId="0" fontId="56" fillId="38" borderId="0" xfId="101" applyFont="1" applyFill="1" applyAlignment="1">
      <alignment horizontal="center"/>
    </xf>
    <xf numFmtId="0" fontId="11" fillId="0" borderId="13" xfId="101" applyBorder="1"/>
    <xf numFmtId="0" fontId="11" fillId="0" borderId="17" xfId="101" applyBorder="1"/>
    <xf numFmtId="0" fontId="12" fillId="39" borderId="13" xfId="101" applyFont="1" applyFill="1" applyBorder="1" applyAlignment="1">
      <alignment horizontal="left"/>
    </xf>
    <xf numFmtId="0" fontId="12" fillId="39" borderId="20" xfId="101" applyFont="1" applyFill="1" applyBorder="1" applyAlignment="1">
      <alignment horizontal="left"/>
    </xf>
    <xf numFmtId="0" fontId="12" fillId="39" borderId="17" xfId="101" applyFont="1" applyFill="1" applyBorder="1" applyAlignment="1">
      <alignment horizontal="left"/>
    </xf>
    <xf numFmtId="0" fontId="11" fillId="37" borderId="0" xfId="101" applyFill="1"/>
    <xf numFmtId="0" fontId="12" fillId="40" borderId="13" xfId="101" applyFont="1" applyFill="1" applyBorder="1" applyAlignment="1">
      <alignment horizontal="left"/>
    </xf>
    <xf numFmtId="0" fontId="12" fillId="40" borderId="20" xfId="101" applyFont="1" applyFill="1" applyBorder="1" applyAlignment="1">
      <alignment horizontal="left"/>
    </xf>
    <xf numFmtId="0" fontId="12" fillId="40" borderId="17" xfId="101" applyFont="1" applyFill="1" applyBorder="1" applyAlignment="1">
      <alignment horizontal="left"/>
    </xf>
    <xf numFmtId="0" fontId="12" fillId="41" borderId="13" xfId="101" applyFont="1" applyFill="1" applyBorder="1" applyAlignment="1">
      <alignment horizontal="left"/>
    </xf>
    <xf numFmtId="0" fontId="11" fillId="41" borderId="20" xfId="101" applyFill="1" applyBorder="1"/>
    <xf numFmtId="0" fontId="11" fillId="41" borderId="17" xfId="101" applyFill="1" applyBorder="1"/>
    <xf numFmtId="0" fontId="12" fillId="42" borderId="13" xfId="101" applyFont="1" applyFill="1" applyBorder="1" applyAlignment="1">
      <alignment horizontal="left"/>
    </xf>
    <xf numFmtId="0" fontId="12" fillId="42" borderId="20" xfId="101" applyFont="1" applyFill="1" applyBorder="1" applyAlignment="1">
      <alignment horizontal="left"/>
    </xf>
    <xf numFmtId="0" fontId="11" fillId="38" borderId="0" xfId="101" applyFill="1"/>
    <xf numFmtId="0" fontId="12" fillId="43" borderId="13" xfId="101" applyFont="1" applyFill="1" applyBorder="1" applyAlignment="1">
      <alignment horizontal="left"/>
    </xf>
    <xf numFmtId="0" fontId="12" fillId="43" borderId="20" xfId="101" applyFont="1" applyFill="1" applyBorder="1" applyAlignment="1">
      <alignment horizontal="left"/>
    </xf>
    <xf numFmtId="0" fontId="12" fillId="44" borderId="13" xfId="101" applyFont="1" applyFill="1" applyBorder="1" applyAlignment="1">
      <alignment horizontal="left"/>
    </xf>
    <xf numFmtId="0" fontId="11" fillId="44" borderId="20" xfId="101" applyFill="1" applyBorder="1"/>
    <xf numFmtId="0" fontId="11" fillId="0" borderId="1" xfId="101" applyBorder="1"/>
    <xf numFmtId="0" fontId="11" fillId="0" borderId="1" xfId="101" applyBorder="1" applyAlignment="1">
      <alignment horizontal="center" textRotation="90"/>
    </xf>
    <xf numFmtId="0" fontId="11" fillId="0" borderId="1" xfId="101" applyBorder="1" applyAlignment="1">
      <alignment horizontal="center"/>
    </xf>
    <xf numFmtId="165" fontId="11" fillId="0" borderId="1" xfId="101" applyNumberFormat="1" applyBorder="1"/>
    <xf numFmtId="165" fontId="11" fillId="0" borderId="1" xfId="101" applyNumberFormat="1" applyBorder="1" applyAlignment="1">
      <alignment horizontal="center"/>
    </xf>
    <xf numFmtId="165" fontId="11" fillId="45" borderId="1" xfId="101" applyNumberFormat="1" applyFill="1" applyBorder="1" applyAlignment="1">
      <alignment horizontal="center"/>
    </xf>
    <xf numFmtId="0" fontId="11" fillId="0" borderId="0" xfId="101" applyAlignment="1">
      <alignment horizontal="center"/>
    </xf>
    <xf numFmtId="0" fontId="9" fillId="0" borderId="0" xfId="111"/>
    <xf numFmtId="0" fontId="12" fillId="0" borderId="25" xfId="0" applyFont="1" applyBorder="1" applyAlignment="1">
      <alignment vertical="top" wrapText="1"/>
    </xf>
    <xf numFmtId="0" fontId="11" fillId="0" borderId="19" xfId="0" applyFont="1" applyBorder="1" applyAlignment="1">
      <alignment horizontal="center" textRotation="90" wrapText="1"/>
    </xf>
    <xf numFmtId="0" fontId="11" fillId="0" borderId="18" xfId="0" applyFont="1" applyBorder="1" applyAlignment="1">
      <alignment vertical="top" wrapText="1"/>
    </xf>
    <xf numFmtId="0" fontId="11" fillId="0" borderId="25" xfId="0" applyFont="1" applyBorder="1" applyAlignment="1">
      <alignment vertical="top" wrapText="1"/>
    </xf>
    <xf numFmtId="0" fontId="11" fillId="0" borderId="19" xfId="0" applyFont="1" applyBorder="1" applyAlignment="1">
      <alignment vertical="top" wrapText="1"/>
    </xf>
    <xf numFmtId="0" fontId="11" fillId="0" borderId="18" xfId="0" applyFont="1" applyBorder="1"/>
    <xf numFmtId="0" fontId="11" fillId="0" borderId="19" xfId="0" applyFont="1" applyBorder="1"/>
    <xf numFmtId="0" fontId="51" fillId="0" borderId="19" xfId="83" applyFont="1" applyBorder="1"/>
    <xf numFmtId="0" fontId="11" fillId="36" borderId="27" xfId="0" applyFont="1" applyFill="1" applyBorder="1" applyAlignment="1">
      <alignment horizontal="center" textRotation="90" wrapText="1"/>
    </xf>
    <xf numFmtId="165" fontId="9" fillId="0" borderId="0" xfId="111" applyNumberFormat="1"/>
    <xf numFmtId="0" fontId="11" fillId="0" borderId="33" xfId="0" applyFont="1" applyBorder="1" applyAlignment="1">
      <alignment horizontal="center"/>
    </xf>
    <xf numFmtId="3" fontId="11" fillId="30" borderId="0" xfId="0" applyNumberFormat="1" applyFont="1" applyFill="1"/>
    <xf numFmtId="0" fontId="11" fillId="0" borderId="0" xfId="0" applyFont="1" applyAlignment="1">
      <alignment horizontal="center" vertical="center"/>
    </xf>
    <xf numFmtId="0" fontId="11" fillId="0" borderId="0" xfId="0" applyFont="1" applyAlignment="1">
      <alignment vertical="center"/>
    </xf>
    <xf numFmtId="0" fontId="0" fillId="35" borderId="0" xfId="0" applyFill="1"/>
    <xf numFmtId="1" fontId="0" fillId="35" borderId="0" xfId="0" applyNumberFormat="1" applyFill="1"/>
    <xf numFmtId="0" fontId="11" fillId="33" borderId="38" xfId="0" applyFont="1" applyFill="1" applyBorder="1" applyAlignment="1">
      <alignment horizontal="left" wrapText="1"/>
    </xf>
    <xf numFmtId="3" fontId="11" fillId="30" borderId="0" xfId="0" applyNumberFormat="1" applyFont="1" applyFill="1" applyAlignment="1">
      <alignment horizontal="center"/>
    </xf>
    <xf numFmtId="3" fontId="0" fillId="34" borderId="34" xfId="0" applyNumberFormat="1" applyFill="1" applyBorder="1" applyAlignment="1">
      <alignment horizontal="center"/>
    </xf>
    <xf numFmtId="3" fontId="13" fillId="30" borderId="34" xfId="0" applyNumberFormat="1" applyFont="1" applyFill="1" applyBorder="1" applyAlignment="1">
      <alignment horizontal="center"/>
    </xf>
    <xf numFmtId="166" fontId="11" fillId="30" borderId="34" xfId="0" applyNumberFormat="1" applyFont="1" applyFill="1" applyBorder="1" applyAlignment="1">
      <alignment horizontal="center"/>
    </xf>
    <xf numFmtId="3" fontId="11" fillId="30" borderId="34" xfId="0" applyNumberFormat="1" applyFont="1" applyFill="1" applyBorder="1" applyAlignment="1">
      <alignment horizontal="center"/>
    </xf>
    <xf numFmtId="0" fontId="11" fillId="35" borderId="0" xfId="0" applyFont="1" applyFill="1"/>
    <xf numFmtId="0" fontId="55" fillId="35" borderId="0" xfId="0" applyFont="1" applyFill="1"/>
    <xf numFmtId="4" fontId="11" fillId="30" borderId="34" xfId="0" applyNumberFormat="1" applyFont="1" applyFill="1" applyBorder="1" applyAlignment="1">
      <alignment horizontal="center"/>
    </xf>
    <xf numFmtId="165" fontId="11" fillId="0" borderId="0" xfId="101" applyNumberFormat="1" applyAlignment="1">
      <alignment horizontal="center"/>
    </xf>
    <xf numFmtId="0" fontId="61" fillId="46" borderId="0" xfId="101" applyFont="1" applyFill="1" applyAlignment="1">
      <alignment horizontal="left" vertical="center"/>
    </xf>
    <xf numFmtId="0" fontId="61" fillId="46" borderId="0" xfId="101" applyFont="1" applyFill="1" applyAlignment="1">
      <alignment horizontal="center" vertical="center"/>
    </xf>
    <xf numFmtId="0" fontId="61" fillId="46" borderId="0" xfId="101" applyFont="1" applyFill="1" applyAlignment="1">
      <alignment vertical="center"/>
    </xf>
    <xf numFmtId="0" fontId="62" fillId="46" borderId="0" xfId="101" applyFont="1" applyFill="1" applyAlignment="1">
      <alignment horizontal="left" vertical="center"/>
    </xf>
    <xf numFmtId="0" fontId="63" fillId="46" borderId="0" xfId="101" applyFont="1" applyFill="1" applyAlignment="1">
      <alignment vertical="top"/>
    </xf>
    <xf numFmtId="0" fontId="51" fillId="0" borderId="0" xfId="112" applyFont="1"/>
    <xf numFmtId="0" fontId="51" fillId="0" borderId="0" xfId="112" applyFont="1" applyAlignment="1">
      <alignment horizontal="center"/>
    </xf>
    <xf numFmtId="0" fontId="65" fillId="0" borderId="0" xfId="112" applyFont="1"/>
    <xf numFmtId="0" fontId="66" fillId="0" borderId="0" xfId="112" applyFont="1"/>
    <xf numFmtId="0" fontId="66" fillId="0" borderId="0" xfId="112" applyFont="1" applyAlignment="1">
      <alignment wrapText="1"/>
    </xf>
    <xf numFmtId="0" fontId="67" fillId="0" borderId="0" xfId="112" applyFont="1" applyAlignment="1">
      <alignment wrapText="1"/>
    </xf>
    <xf numFmtId="1" fontId="11" fillId="30" borderId="37" xfId="0" applyNumberFormat="1" applyFont="1" applyFill="1" applyBorder="1"/>
    <xf numFmtId="0" fontId="11" fillId="30" borderId="37" xfId="0" applyFont="1" applyFill="1" applyBorder="1" applyAlignment="1">
      <alignment horizontal="center"/>
    </xf>
    <xf numFmtId="1" fontId="11" fillId="30" borderId="33" xfId="0" applyNumberFormat="1" applyFont="1" applyFill="1" applyBorder="1" applyAlignment="1">
      <alignment horizontal="center"/>
    </xf>
    <xf numFmtId="0" fontId="11" fillId="0" borderId="32" xfId="0" applyFont="1" applyBorder="1"/>
    <xf numFmtId="1" fontId="54" fillId="35" borderId="0" xfId="0" applyNumberFormat="1" applyFont="1" applyFill="1" applyAlignment="1">
      <alignment horizontal="center"/>
    </xf>
    <xf numFmtId="9" fontId="12" fillId="30" borderId="0" xfId="0" applyNumberFormat="1" applyFont="1" applyFill="1" applyAlignment="1">
      <alignment horizontal="center"/>
    </xf>
    <xf numFmtId="1" fontId="12" fillId="30" borderId="35" xfId="0" applyNumberFormat="1" applyFont="1" applyFill="1" applyBorder="1" applyAlignment="1">
      <alignment horizontal="center"/>
    </xf>
    <xf numFmtId="1" fontId="11" fillId="30" borderId="38" xfId="0" applyNumberFormat="1" applyFont="1" applyFill="1" applyBorder="1"/>
    <xf numFmtId="1" fontId="12" fillId="30" borderId="35" xfId="0" applyNumberFormat="1" applyFont="1" applyFill="1" applyBorder="1"/>
    <xf numFmtId="0" fontId="13" fillId="0" borderId="35" xfId="0" applyFont="1" applyBorder="1" applyAlignment="1">
      <alignment horizontal="center" vertical="center"/>
    </xf>
    <xf numFmtId="3" fontId="0" fillId="34" borderId="39" xfId="0" applyNumberFormat="1" applyFill="1" applyBorder="1" applyAlignment="1" applyProtection="1">
      <alignment horizontal="center"/>
      <protection locked="0"/>
    </xf>
    <xf numFmtId="3" fontId="0" fillId="34" borderId="35" xfId="0" applyNumberFormat="1" applyFill="1" applyBorder="1" applyAlignment="1" applyProtection="1">
      <alignment horizontal="center"/>
      <protection locked="0"/>
    </xf>
    <xf numFmtId="3" fontId="12" fillId="34" borderId="35" xfId="0" applyNumberFormat="1" applyFont="1" applyFill="1" applyBorder="1" applyAlignment="1" applyProtection="1">
      <alignment horizontal="center" vertical="center"/>
      <protection locked="0"/>
    </xf>
    <xf numFmtId="166" fontId="13" fillId="34" borderId="34" xfId="0" applyNumberFormat="1" applyFont="1" applyFill="1" applyBorder="1" applyAlignment="1" applyProtection="1">
      <alignment horizontal="center"/>
      <protection locked="0"/>
    </xf>
    <xf numFmtId="166" fontId="13" fillId="34" borderId="38" xfId="0" applyNumberFormat="1" applyFont="1" applyFill="1" applyBorder="1" applyAlignment="1" applyProtection="1">
      <alignment horizontal="center"/>
      <protection locked="0"/>
    </xf>
    <xf numFmtId="3" fontId="13" fillId="34" borderId="35" xfId="0" applyNumberFormat="1" applyFont="1" applyFill="1" applyBorder="1" applyAlignment="1" applyProtection="1">
      <alignment horizontal="center"/>
      <protection locked="0"/>
    </xf>
    <xf numFmtId="166" fontId="13" fillId="34" borderId="35" xfId="0" applyNumberFormat="1" applyFont="1" applyFill="1" applyBorder="1" applyAlignment="1" applyProtection="1">
      <alignment horizontal="center"/>
      <protection locked="0"/>
    </xf>
    <xf numFmtId="3" fontId="13" fillId="34" borderId="42" xfId="0" applyNumberFormat="1" applyFont="1" applyFill="1" applyBorder="1" applyAlignment="1" applyProtection="1">
      <alignment horizontal="center"/>
      <protection locked="0"/>
    </xf>
    <xf numFmtId="3" fontId="13" fillId="34" borderId="38" xfId="0" applyNumberFormat="1" applyFont="1" applyFill="1" applyBorder="1" applyAlignment="1" applyProtection="1">
      <alignment horizontal="center" vertical="center"/>
      <protection locked="0"/>
    </xf>
    <xf numFmtId="166" fontId="11" fillId="34" borderId="38" xfId="0" applyNumberFormat="1" applyFont="1" applyFill="1" applyBorder="1" applyAlignment="1" applyProtection="1">
      <alignment horizontal="center"/>
      <protection locked="0"/>
    </xf>
    <xf numFmtId="165" fontId="0" fillId="34" borderId="38" xfId="0" applyNumberFormat="1" applyFill="1" applyBorder="1" applyAlignment="1" applyProtection="1">
      <alignment horizontal="center"/>
      <protection locked="0"/>
    </xf>
    <xf numFmtId="1" fontId="0" fillId="34" borderId="38" xfId="0" applyNumberFormat="1" applyFill="1" applyBorder="1" applyAlignment="1" applyProtection="1">
      <alignment horizontal="center"/>
      <protection locked="0"/>
    </xf>
    <xf numFmtId="0" fontId="68" fillId="0" borderId="0" xfId="0" applyFont="1"/>
    <xf numFmtId="0" fontId="69" fillId="0" borderId="0" xfId="0" applyFont="1"/>
    <xf numFmtId="1" fontId="70" fillId="33" borderId="42" xfId="0" applyNumberFormat="1" applyFont="1" applyFill="1" applyBorder="1" applyAlignment="1" applyProtection="1">
      <alignment horizontal="center"/>
      <protection locked="0"/>
    </xf>
    <xf numFmtId="1" fontId="11" fillId="0" borderId="0" xfId="0" applyNumberFormat="1" applyFont="1" applyAlignment="1">
      <alignment horizontal="left"/>
    </xf>
    <xf numFmtId="1" fontId="11" fillId="30" borderId="24" xfId="0" applyNumberFormat="1" applyFont="1" applyFill="1" applyBorder="1" applyAlignment="1">
      <alignment horizontal="left"/>
    </xf>
    <xf numFmtId="1" fontId="11" fillId="30" borderId="14" xfId="0" applyNumberFormat="1" applyFont="1" applyFill="1" applyBorder="1" applyAlignment="1">
      <alignment horizontal="left" shrinkToFit="1"/>
    </xf>
    <xf numFmtId="1" fontId="11" fillId="30" borderId="18" xfId="0" applyNumberFormat="1" applyFont="1" applyFill="1" applyBorder="1" applyAlignment="1">
      <alignment horizontal="left" shrinkToFit="1"/>
    </xf>
    <xf numFmtId="1" fontId="11" fillId="30" borderId="18" xfId="0" applyNumberFormat="1" applyFont="1" applyFill="1" applyBorder="1" applyAlignment="1">
      <alignment horizontal="left"/>
    </xf>
    <xf numFmtId="166" fontId="0" fillId="0" borderId="0" xfId="0" applyNumberFormat="1" applyAlignment="1">
      <alignment horizontal="center"/>
    </xf>
    <xf numFmtId="165" fontId="0" fillId="0" borderId="0" xfId="0" applyNumberFormat="1" applyAlignment="1">
      <alignment horizontal="center"/>
    </xf>
    <xf numFmtId="0" fontId="11" fillId="30" borderId="1" xfId="0" applyFont="1" applyFill="1" applyBorder="1" applyAlignment="1">
      <alignment horizontal="center" wrapText="1"/>
    </xf>
    <xf numFmtId="1" fontId="11" fillId="30" borderId="17" xfId="0" applyNumberFormat="1" applyFont="1" applyFill="1" applyBorder="1" applyAlignment="1">
      <alignment horizontal="left" wrapText="1"/>
    </xf>
    <xf numFmtId="0" fontId="7" fillId="0" borderId="0" xfId="113"/>
    <xf numFmtId="0" fontId="72" fillId="0" borderId="0" xfId="113" applyFont="1"/>
    <xf numFmtId="14" fontId="71" fillId="0" borderId="0" xfId="113" applyNumberFormat="1" applyFont="1"/>
    <xf numFmtId="14" fontId="7" fillId="0" borderId="0" xfId="113" applyNumberFormat="1"/>
    <xf numFmtId="0" fontId="71" fillId="0" borderId="0" xfId="113" applyFont="1"/>
    <xf numFmtId="0" fontId="7" fillId="0" borderId="0" xfId="113" applyAlignment="1">
      <alignment wrapText="1"/>
    </xf>
    <xf numFmtId="0" fontId="73" fillId="0" borderId="0" xfId="114"/>
    <xf numFmtId="0" fontId="74" fillId="46" borderId="0" xfId="101" applyFont="1" applyFill="1" applyAlignment="1">
      <alignment horizontal="left" vertical="center"/>
    </xf>
    <xf numFmtId="49" fontId="11" fillId="0" borderId="1" xfId="101" applyNumberFormat="1" applyBorder="1"/>
    <xf numFmtId="2" fontId="11" fillId="30" borderId="5" xfId="0" applyNumberFormat="1" applyFont="1" applyFill="1" applyBorder="1" applyAlignment="1">
      <alignment horizontal="center"/>
    </xf>
    <xf numFmtId="1" fontId="11" fillId="30" borderId="19" xfId="0" applyNumberFormat="1" applyFont="1" applyFill="1" applyBorder="1" applyAlignment="1">
      <alignment horizontal="left"/>
    </xf>
    <xf numFmtId="1" fontId="11" fillId="0" borderId="5" xfId="0" applyNumberFormat="1" applyFont="1" applyBorder="1" applyAlignment="1">
      <alignment horizontal="center"/>
    </xf>
    <xf numFmtId="0" fontId="5" fillId="0" borderId="0" xfId="113" applyFont="1" applyProtection="1">
      <protection locked="0"/>
    </xf>
    <xf numFmtId="0" fontId="4" fillId="0" borderId="0" xfId="112" applyFont="1"/>
    <xf numFmtId="0" fontId="4" fillId="0" borderId="0" xfId="112" applyFont="1" applyAlignment="1">
      <alignment horizontal="left" vertical="top" wrapText="1"/>
    </xf>
    <xf numFmtId="0" fontId="51" fillId="0" borderId="0" xfId="112" applyFont="1" applyAlignment="1">
      <alignment horizontal="left" vertical="top"/>
    </xf>
    <xf numFmtId="0" fontId="63" fillId="46" borderId="0" xfId="101" applyFont="1" applyFill="1" applyAlignment="1">
      <alignment vertical="top" wrapText="1"/>
    </xf>
    <xf numFmtId="0" fontId="64" fillId="0" borderId="0" xfId="112" applyFont="1" applyAlignment="1">
      <alignment vertical="top" wrapText="1"/>
    </xf>
    <xf numFmtId="49" fontId="64" fillId="0" borderId="0" xfId="112" applyNumberFormat="1" applyFont="1" applyAlignment="1">
      <alignment vertical="top" wrapText="1"/>
    </xf>
    <xf numFmtId="0" fontId="13" fillId="0" borderId="0" xfId="82"/>
    <xf numFmtId="0" fontId="64" fillId="0" borderId="0" xfId="112" applyFont="1" applyAlignment="1">
      <alignment horizontal="left" vertical="top" wrapText="1"/>
    </xf>
    <xf numFmtId="0" fontId="11" fillId="33" borderId="38" xfId="0" applyFont="1" applyFill="1" applyBorder="1" applyProtection="1">
      <protection locked="0"/>
    </xf>
    <xf numFmtId="0" fontId="0" fillId="0" borderId="34" xfId="0" applyBorder="1" applyAlignment="1">
      <alignment horizontal="center"/>
    </xf>
    <xf numFmtId="0" fontId="11" fillId="34" borderId="0" xfId="0" applyFont="1" applyFill="1" applyAlignment="1" applyProtection="1">
      <alignment horizontal="center"/>
      <protection locked="0"/>
    </xf>
    <xf numFmtId="1" fontId="11" fillId="33" borderId="42" xfId="0" applyNumberFormat="1" applyFont="1" applyFill="1" applyBorder="1" applyAlignment="1" applyProtection="1">
      <alignment horizontal="center"/>
      <protection locked="0"/>
    </xf>
    <xf numFmtId="1" fontId="12" fillId="35" borderId="36" xfId="0" applyNumberFormat="1" applyFont="1" applyFill="1" applyBorder="1"/>
    <xf numFmtId="1" fontId="12" fillId="35" borderId="0" xfId="0" applyNumberFormat="1" applyFont="1" applyFill="1"/>
    <xf numFmtId="1" fontId="11" fillId="0" borderId="34" xfId="0" applyNumberFormat="1" applyFont="1" applyBorder="1" applyAlignment="1">
      <alignment horizontal="center"/>
    </xf>
    <xf numFmtId="1" fontId="11" fillId="35" borderId="34" xfId="0" applyNumberFormat="1" applyFont="1" applyFill="1" applyBorder="1" applyAlignment="1">
      <alignment horizontal="center"/>
    </xf>
    <xf numFmtId="0" fontId="75" fillId="0" borderId="0" xfId="112" applyFont="1"/>
    <xf numFmtId="0" fontId="75" fillId="0" borderId="0" xfId="112" applyFont="1" applyAlignment="1">
      <alignment horizontal="center"/>
    </xf>
    <xf numFmtId="166" fontId="76" fillId="30" borderId="35" xfId="0" applyNumberFormat="1" applyFont="1" applyFill="1" applyBorder="1" applyAlignment="1">
      <alignment horizontal="center"/>
    </xf>
    <xf numFmtId="166" fontId="76" fillId="30" borderId="38" xfId="0" applyNumberFormat="1" applyFont="1" applyFill="1" applyBorder="1" applyAlignment="1">
      <alignment horizontal="center"/>
    </xf>
    <xf numFmtId="0" fontId="12" fillId="41" borderId="20" xfId="101" applyFont="1" applyFill="1" applyBorder="1" applyAlignment="1">
      <alignment horizontal="left"/>
    </xf>
    <xf numFmtId="0" fontId="12" fillId="44" borderId="20" xfId="101" applyFont="1" applyFill="1" applyBorder="1" applyAlignment="1">
      <alignment horizontal="left"/>
    </xf>
    <xf numFmtId="165" fontId="4" fillId="0" borderId="1" xfId="83" applyNumberFormat="1" applyFont="1" applyBorder="1" applyAlignment="1">
      <alignment horizontal="center"/>
    </xf>
    <xf numFmtId="1" fontId="4" fillId="0" borderId="1" xfId="83" applyNumberFormat="1" applyFont="1" applyBorder="1" applyAlignment="1">
      <alignment horizontal="center"/>
    </xf>
    <xf numFmtId="165" fontId="11" fillId="0" borderId="1" xfId="0" applyNumberFormat="1" applyFont="1" applyBorder="1" applyAlignment="1">
      <alignment horizontal="center" vertical="center"/>
    </xf>
    <xf numFmtId="1" fontId="75" fillId="30" borderId="0" xfId="0" applyNumberFormat="1" applyFont="1" applyFill="1" applyAlignment="1">
      <alignment horizontal="center"/>
    </xf>
    <xf numFmtId="1" fontId="75" fillId="30" borderId="33" xfId="0" applyNumberFormat="1" applyFont="1" applyFill="1" applyBorder="1" applyAlignment="1">
      <alignment horizontal="center"/>
    </xf>
    <xf numFmtId="1" fontId="11" fillId="30" borderId="0" xfId="0" applyNumberFormat="1" applyFont="1" applyFill="1"/>
    <xf numFmtId="0" fontId="11" fillId="30" borderId="34" xfId="0" applyFont="1" applyFill="1" applyBorder="1" applyAlignment="1">
      <alignment horizontal="center"/>
    </xf>
    <xf numFmtId="4" fontId="13" fillId="30" borderId="35" xfId="0" applyNumberFormat="1" applyFont="1" applyFill="1" applyBorder="1" applyAlignment="1">
      <alignment horizontal="center"/>
    </xf>
    <xf numFmtId="166" fontId="11" fillId="30" borderId="0" xfId="0" applyNumberFormat="1" applyFont="1" applyFill="1" applyAlignment="1">
      <alignment horizontal="center"/>
    </xf>
    <xf numFmtId="0" fontId="13" fillId="0" borderId="0" xfId="0" applyFont="1" applyAlignment="1">
      <alignment horizontal="left" wrapText="1"/>
    </xf>
    <xf numFmtId="166" fontId="13" fillId="0" borderId="0" xfId="0" applyNumberFormat="1" applyFont="1" applyAlignment="1">
      <alignment horizontal="center"/>
    </xf>
    <xf numFmtId="0" fontId="13" fillId="0" borderId="0" xfId="0" applyFont="1" applyAlignment="1">
      <alignment horizontal="center" wrapText="1"/>
    </xf>
    <xf numFmtId="4" fontId="13" fillId="0" borderId="0" xfId="0" applyNumberFormat="1" applyFont="1" applyAlignment="1">
      <alignment horizontal="center"/>
    </xf>
    <xf numFmtId="3" fontId="13" fillId="0" borderId="0" xfId="0" applyNumberFormat="1" applyFont="1" applyAlignment="1">
      <alignment horizontal="center"/>
    </xf>
    <xf numFmtId="3" fontId="12" fillId="0" borderId="0" xfId="0" applyNumberFormat="1" applyFont="1" applyAlignment="1">
      <alignment horizontal="center"/>
    </xf>
    <xf numFmtId="1" fontId="11" fillId="0" borderId="0" xfId="0" applyNumberFormat="1" applyFont="1" applyAlignment="1">
      <alignment horizontal="center"/>
    </xf>
    <xf numFmtId="3" fontId="11" fillId="0" borderId="0" xfId="0" applyNumberFormat="1" applyFont="1" applyAlignment="1">
      <alignment horizontal="center"/>
    </xf>
    <xf numFmtId="0" fontId="55" fillId="0" borderId="0" xfId="0" applyFont="1"/>
    <xf numFmtId="166" fontId="13" fillId="0" borderId="35" xfId="0" applyNumberFormat="1" applyFont="1" applyBorder="1" applyAlignment="1">
      <alignment horizontal="center"/>
    </xf>
    <xf numFmtId="0" fontId="13" fillId="0" borderId="35" xfId="0" applyFont="1" applyBorder="1" applyAlignment="1">
      <alignment horizontal="center" wrapText="1"/>
    </xf>
    <xf numFmtId="3" fontId="13" fillId="0" borderId="35" xfId="0" applyNumberFormat="1" applyFont="1" applyBorder="1" applyAlignment="1">
      <alignment horizontal="center"/>
    </xf>
    <xf numFmtId="0" fontId="12" fillId="0" borderId="33" xfId="0" applyFont="1" applyBorder="1" applyAlignment="1">
      <alignment horizontal="center"/>
    </xf>
    <xf numFmtId="0" fontId="12" fillId="0" borderId="37" xfId="0" applyFont="1" applyBorder="1" applyAlignment="1">
      <alignment horizontal="center"/>
    </xf>
    <xf numFmtId="0" fontId="76" fillId="0" borderId="0" xfId="0" applyFont="1"/>
    <xf numFmtId="1" fontId="76" fillId="0" borderId="0" xfId="0" applyNumberFormat="1" applyFont="1"/>
    <xf numFmtId="0" fontId="76" fillId="0" borderId="0" xfId="0" applyFont="1" applyAlignment="1">
      <alignment horizontal="center"/>
    </xf>
    <xf numFmtId="0" fontId="77" fillId="0" borderId="0" xfId="0" applyFont="1"/>
    <xf numFmtId="1" fontId="76" fillId="0" borderId="0" xfId="0" applyNumberFormat="1" applyFont="1" applyAlignment="1">
      <alignment horizontal="center"/>
    </xf>
    <xf numFmtId="0" fontId="11" fillId="0" borderId="37" xfId="0" applyFont="1" applyBorder="1" applyAlignment="1">
      <alignment horizontal="center" vertical="center"/>
    </xf>
    <xf numFmtId="0" fontId="13" fillId="0" borderId="37" xfId="0" applyFont="1" applyBorder="1" applyAlignment="1">
      <alignment horizontal="center" vertical="center"/>
    </xf>
    <xf numFmtId="3" fontId="0" fillId="0" borderId="38" xfId="0" applyNumberFormat="1" applyBorder="1" applyAlignment="1">
      <alignment horizontal="center"/>
    </xf>
    <xf numFmtId="0" fontId="53" fillId="0" borderId="44" xfId="0" applyFont="1" applyBorder="1" applyAlignment="1">
      <alignment horizontal="center"/>
    </xf>
    <xf numFmtId="0" fontId="75" fillId="0" borderId="44" xfId="0" applyFont="1" applyBorder="1" applyAlignment="1">
      <alignment horizontal="center"/>
    </xf>
    <xf numFmtId="0" fontId="12" fillId="0" borderId="44" xfId="0" applyFont="1" applyBorder="1" applyAlignment="1">
      <alignment horizontal="center"/>
    </xf>
    <xf numFmtId="0" fontId="53" fillId="0" borderId="45" xfId="0" applyFont="1" applyBorder="1"/>
    <xf numFmtId="0" fontId="53" fillId="0" borderId="46" xfId="0" applyFont="1" applyBorder="1"/>
    <xf numFmtId="0" fontId="53" fillId="0" borderId="47" xfId="0" applyFont="1" applyBorder="1"/>
    <xf numFmtId="0" fontId="53" fillId="0" borderId="48" xfId="0" applyFont="1" applyBorder="1" applyAlignment="1">
      <alignment horizontal="center"/>
    </xf>
    <xf numFmtId="0" fontId="53" fillId="0" borderId="49" xfId="0" applyFont="1" applyBorder="1" applyAlignment="1">
      <alignment horizontal="center"/>
    </xf>
    <xf numFmtId="0" fontId="53" fillId="0" borderId="50" xfId="0" applyFont="1" applyBorder="1" applyAlignment="1">
      <alignment horizontal="center"/>
    </xf>
    <xf numFmtId="0" fontId="53" fillId="0" borderId="51" xfId="0" applyFont="1" applyBorder="1" applyAlignment="1">
      <alignment horizontal="center"/>
    </xf>
    <xf numFmtId="0" fontId="53" fillId="0" borderId="52" xfId="0" applyFont="1" applyBorder="1" applyAlignment="1">
      <alignment horizontal="center"/>
    </xf>
    <xf numFmtId="0" fontId="12" fillId="0" borderId="38" xfId="0" applyFont="1" applyBorder="1" applyAlignment="1">
      <alignment horizontal="center"/>
    </xf>
    <xf numFmtId="1" fontId="12" fillId="0" borderId="35" xfId="0" applyNumberFormat="1" applyFont="1" applyBorder="1" applyAlignment="1">
      <alignment horizontal="center"/>
    </xf>
    <xf numFmtId="0" fontId="0" fillId="0" borderId="35" xfId="0" applyBorder="1"/>
    <xf numFmtId="1" fontId="0" fillId="0" borderId="35" xfId="0" applyNumberFormat="1" applyBorder="1"/>
    <xf numFmtId="3" fontId="11" fillId="34" borderId="38" xfId="0" applyNumberFormat="1" applyFont="1" applyFill="1" applyBorder="1" applyAlignment="1">
      <alignment horizontal="center"/>
    </xf>
    <xf numFmtId="3" fontId="0" fillId="34" borderId="38" xfId="0" applyNumberFormat="1" applyFill="1" applyBorder="1" applyAlignment="1">
      <alignment horizontal="center"/>
    </xf>
    <xf numFmtId="4" fontId="0" fillId="34" borderId="34" xfId="0" applyNumberFormat="1" applyFill="1" applyBorder="1" applyAlignment="1">
      <alignment horizontal="center"/>
    </xf>
    <xf numFmtId="4" fontId="11" fillId="34" borderId="34" xfId="0" applyNumberFormat="1" applyFont="1" applyFill="1" applyBorder="1" applyAlignment="1">
      <alignment horizontal="center"/>
    </xf>
    <xf numFmtId="4" fontId="11" fillId="34" borderId="38" xfId="0" applyNumberFormat="1" applyFont="1" applyFill="1" applyBorder="1" applyAlignment="1">
      <alignment horizontal="center"/>
    </xf>
    <xf numFmtId="1" fontId="11" fillId="0" borderId="37" xfId="0" applyNumberFormat="1" applyFont="1" applyBorder="1" applyAlignment="1">
      <alignment horizontal="center"/>
    </xf>
    <xf numFmtId="3" fontId="11" fillId="34" borderId="34" xfId="0" applyNumberFormat="1" applyFont="1" applyFill="1" applyBorder="1" applyAlignment="1">
      <alignment horizontal="center"/>
    </xf>
    <xf numFmtId="1" fontId="11" fillId="0" borderId="53" xfId="0" applyNumberFormat="1" applyFont="1" applyBorder="1" applyAlignment="1">
      <alignment horizontal="center"/>
    </xf>
    <xf numFmtId="4" fontId="13" fillId="30" borderId="32" xfId="0" applyNumberFormat="1" applyFont="1" applyFill="1" applyBorder="1" applyAlignment="1">
      <alignment horizontal="center"/>
    </xf>
    <xf numFmtId="166" fontId="11" fillId="30" borderId="32" xfId="0" applyNumberFormat="1" applyFont="1" applyFill="1" applyBorder="1" applyAlignment="1">
      <alignment horizontal="center"/>
    </xf>
    <xf numFmtId="0" fontId="54" fillId="35" borderId="54" xfId="0" applyFont="1" applyFill="1" applyBorder="1" applyAlignment="1">
      <alignment horizontal="left"/>
    </xf>
    <xf numFmtId="1" fontId="54" fillId="35" borderId="46" xfId="0" applyNumberFormat="1" applyFont="1" applyFill="1" applyBorder="1"/>
    <xf numFmtId="1" fontId="54" fillId="35" borderId="47" xfId="0" applyNumberFormat="1" applyFont="1" applyFill="1" applyBorder="1"/>
    <xf numFmtId="0" fontId="11" fillId="0" borderId="48" xfId="0" applyFont="1" applyBorder="1"/>
    <xf numFmtId="1" fontId="11" fillId="0" borderId="49" xfId="0" applyNumberFormat="1" applyFont="1" applyBorder="1" applyAlignment="1">
      <alignment horizontal="center"/>
    </xf>
    <xf numFmtId="0" fontId="54" fillId="35" borderId="55" xfId="0" applyFont="1" applyFill="1" applyBorder="1" applyAlignment="1">
      <alignment horizontal="left"/>
    </xf>
    <xf numFmtId="1" fontId="54" fillId="35" borderId="56" xfId="0" applyNumberFormat="1" applyFont="1" applyFill="1" applyBorder="1"/>
    <xf numFmtId="0" fontId="54" fillId="35" borderId="46" xfId="0" applyFont="1" applyFill="1" applyBorder="1"/>
    <xf numFmtId="1" fontId="54" fillId="35" borderId="45" xfId="0" applyNumberFormat="1" applyFont="1" applyFill="1" applyBorder="1"/>
    <xf numFmtId="1" fontId="11" fillId="0" borderId="48" xfId="0" applyNumberFormat="1" applyFont="1" applyBorder="1" applyAlignment="1">
      <alignment horizontal="center"/>
    </xf>
    <xf numFmtId="1" fontId="55" fillId="35" borderId="47" xfId="0" applyNumberFormat="1" applyFont="1" applyFill="1" applyBorder="1"/>
    <xf numFmtId="0" fontId="55" fillId="0" borderId="48" xfId="0" applyFont="1" applyBorder="1"/>
    <xf numFmtId="0" fontId="11" fillId="0" borderId="44" xfId="0" applyFont="1" applyBorder="1"/>
    <xf numFmtId="0" fontId="11" fillId="0" borderId="44" xfId="0" applyFont="1" applyBorder="1" applyAlignment="1">
      <alignment horizontal="center"/>
    </xf>
    <xf numFmtId="1" fontId="12" fillId="30" borderId="44" xfId="0" applyNumberFormat="1" applyFont="1" applyFill="1" applyBorder="1"/>
    <xf numFmtId="3" fontId="12" fillId="30" borderId="44" xfId="0" applyNumberFormat="1" applyFont="1" applyFill="1" applyBorder="1" applyAlignment="1">
      <alignment horizontal="center"/>
    </xf>
    <xf numFmtId="9" fontId="12" fillId="30" borderId="44" xfId="0" applyNumberFormat="1" applyFont="1" applyFill="1" applyBorder="1" applyAlignment="1">
      <alignment horizontal="center"/>
    </xf>
    <xf numFmtId="0" fontId="11" fillId="0" borderId="44" xfId="0" applyFont="1" applyBorder="1" applyAlignment="1">
      <alignment horizontal="center" vertical="center"/>
    </xf>
    <xf numFmtId="1" fontId="76" fillId="30" borderId="0" xfId="0" applyNumberFormat="1" applyFont="1" applyFill="1" applyAlignment="1">
      <alignment horizontal="center"/>
    </xf>
    <xf numFmtId="1" fontId="76" fillId="30" borderId="37" xfId="0" applyNumberFormat="1" applyFont="1" applyFill="1" applyBorder="1" applyAlignment="1">
      <alignment horizontal="center"/>
    </xf>
    <xf numFmtId="1" fontId="76" fillId="30" borderId="39" xfId="0" applyNumberFormat="1" applyFont="1" applyFill="1" applyBorder="1" applyAlignment="1">
      <alignment horizontal="center" vertical="center"/>
    </xf>
    <xf numFmtId="1" fontId="76" fillId="30" borderId="43" xfId="0" applyNumberFormat="1" applyFont="1" applyFill="1" applyBorder="1" applyAlignment="1">
      <alignment horizontal="center" vertical="center"/>
    </xf>
    <xf numFmtId="166" fontId="76" fillId="34" borderId="35" xfId="0" applyNumberFormat="1" applyFont="1" applyFill="1" applyBorder="1" applyAlignment="1" applyProtection="1">
      <alignment horizontal="center"/>
      <protection locked="0"/>
    </xf>
    <xf numFmtId="166" fontId="76" fillId="34" borderId="38" xfId="0" applyNumberFormat="1" applyFont="1" applyFill="1" applyBorder="1" applyAlignment="1" applyProtection="1">
      <alignment horizontal="center"/>
      <protection locked="0"/>
    </xf>
    <xf numFmtId="3" fontId="77" fillId="30" borderId="35" xfId="0" applyNumberFormat="1" applyFont="1" applyFill="1" applyBorder="1" applyAlignment="1">
      <alignment horizontal="center"/>
    </xf>
    <xf numFmtId="0" fontId="78" fillId="0" borderId="35" xfId="0" applyFont="1" applyBorder="1" applyAlignment="1">
      <alignment horizontal="left"/>
    </xf>
    <xf numFmtId="0" fontId="78" fillId="0" borderId="35" xfId="0" applyFont="1" applyBorder="1"/>
    <xf numFmtId="0" fontId="76" fillId="0" borderId="35" xfId="0" applyFont="1" applyBorder="1" applyAlignment="1">
      <alignment horizontal="center"/>
    </xf>
    <xf numFmtId="0" fontId="76" fillId="0" borderId="38" xfId="0" applyFont="1" applyBorder="1" applyAlignment="1">
      <alignment horizontal="center"/>
    </xf>
    <xf numFmtId="165" fontId="76" fillId="0" borderId="35" xfId="0" applyNumberFormat="1" applyFont="1" applyBorder="1" applyAlignment="1">
      <alignment horizontal="center"/>
    </xf>
    <xf numFmtId="165" fontId="76" fillId="0" borderId="38" xfId="0" applyNumberFormat="1" applyFont="1" applyBorder="1" applyAlignment="1">
      <alignment horizontal="center"/>
    </xf>
    <xf numFmtId="0" fontId="76" fillId="0" borderId="0" xfId="0" applyFont="1" applyAlignment="1">
      <alignment horizontal="center" vertical="center"/>
    </xf>
    <xf numFmtId="3" fontId="76" fillId="30" borderId="0" xfId="0" applyNumberFormat="1" applyFont="1" applyFill="1"/>
    <xf numFmtId="9" fontId="77" fillId="30" borderId="0" xfId="0" applyNumberFormat="1" applyFont="1" applyFill="1"/>
    <xf numFmtId="166" fontId="76" fillId="0" borderId="0" xfId="0" applyNumberFormat="1" applyFont="1" applyAlignment="1">
      <alignment horizontal="center"/>
    </xf>
    <xf numFmtId="3" fontId="76" fillId="0" borderId="0" xfId="0" applyNumberFormat="1" applyFont="1" applyAlignment="1">
      <alignment horizontal="center"/>
    </xf>
    <xf numFmtId="165" fontId="11" fillId="0" borderId="0" xfId="0" applyNumberFormat="1" applyFont="1" applyAlignment="1">
      <alignment horizontal="center"/>
    </xf>
    <xf numFmtId="1" fontId="0" fillId="0" borderId="0" xfId="0" applyNumberFormat="1" applyAlignment="1">
      <alignment horizontal="center"/>
    </xf>
    <xf numFmtId="2" fontId="4" fillId="0" borderId="0" xfId="112" applyNumberFormat="1" applyFont="1" applyAlignment="1">
      <alignment horizontal="center"/>
    </xf>
    <xf numFmtId="1" fontId="11" fillId="0" borderId="52" xfId="0" applyNumberFormat="1" applyFont="1" applyBorder="1" applyAlignment="1">
      <alignment horizontal="center"/>
    </xf>
    <xf numFmtId="1" fontId="11" fillId="0" borderId="50" xfId="0" applyNumberFormat="1" applyFont="1" applyBorder="1" applyAlignment="1">
      <alignment horizontal="center"/>
    </xf>
    <xf numFmtId="0" fontId="82" fillId="49" borderId="0" xfId="101" applyFont="1" applyFill="1" applyAlignment="1" applyProtection="1">
      <alignment vertical="center"/>
      <protection hidden="1"/>
    </xf>
    <xf numFmtId="3" fontId="82" fillId="49" borderId="0" xfId="101" applyNumberFormat="1" applyFont="1" applyFill="1" applyAlignment="1" applyProtection="1">
      <alignment vertical="center"/>
      <protection hidden="1"/>
    </xf>
    <xf numFmtId="0" fontId="83" fillId="49" borderId="0" xfId="117" applyFont="1" applyFill="1"/>
    <xf numFmtId="167" fontId="82" fillId="49" borderId="0" xfId="101" applyNumberFormat="1" applyFont="1" applyFill="1" applyAlignment="1" applyProtection="1">
      <alignment vertical="center"/>
      <protection hidden="1"/>
    </xf>
    <xf numFmtId="0" fontId="15" fillId="49" borderId="0" xfId="101" applyFont="1" applyFill="1" applyAlignment="1" applyProtection="1">
      <alignment vertical="center"/>
      <protection hidden="1"/>
    </xf>
    <xf numFmtId="0" fontId="15" fillId="49" borderId="0" xfId="101" applyFont="1" applyFill="1" applyAlignment="1" applyProtection="1">
      <alignment horizontal="center" vertical="center"/>
      <protection hidden="1"/>
    </xf>
    <xf numFmtId="0" fontId="15" fillId="49" borderId="0" xfId="101" applyFont="1" applyFill="1" applyAlignment="1" applyProtection="1">
      <alignment vertical="center" wrapText="1"/>
      <protection hidden="1"/>
    </xf>
    <xf numFmtId="0" fontId="15" fillId="49" borderId="0" xfId="101" applyFont="1" applyFill="1" applyAlignment="1" applyProtection="1">
      <alignment horizontal="right" vertical="center"/>
      <protection hidden="1"/>
    </xf>
    <xf numFmtId="0" fontId="15" fillId="49" borderId="0" xfId="101" applyFont="1" applyFill="1" applyProtection="1">
      <protection hidden="1"/>
    </xf>
    <xf numFmtId="0" fontId="84" fillId="50" borderId="0" xfId="118" applyFont="1" applyFill="1" applyAlignment="1">
      <alignment vertical="center"/>
    </xf>
    <xf numFmtId="0" fontId="15" fillId="49" borderId="0" xfId="101" applyFont="1" applyFill="1" applyAlignment="1" applyProtection="1">
      <alignment horizontal="right"/>
      <protection hidden="1"/>
    </xf>
    <xf numFmtId="0" fontId="85" fillId="49" borderId="0" xfId="101" applyFont="1" applyFill="1" applyAlignment="1" applyProtection="1">
      <alignment vertical="center"/>
      <protection hidden="1"/>
    </xf>
    <xf numFmtId="0" fontId="15" fillId="49" borderId="0" xfId="101" applyFont="1" applyFill="1" applyAlignment="1" applyProtection="1">
      <alignment horizontal="left" vertical="center"/>
      <protection hidden="1"/>
    </xf>
    <xf numFmtId="0" fontId="15" fillId="49" borderId="57" xfId="101" applyFont="1" applyFill="1" applyBorder="1" applyProtection="1">
      <protection hidden="1"/>
    </xf>
    <xf numFmtId="0" fontId="85" fillId="49" borderId="0" xfId="101" applyFont="1" applyFill="1" applyAlignment="1" applyProtection="1">
      <alignment horizontal="left" vertical="center"/>
      <protection hidden="1"/>
    </xf>
    <xf numFmtId="0" fontId="15" fillId="49" borderId="58" xfId="101" applyFont="1" applyFill="1" applyBorder="1" applyProtection="1">
      <protection hidden="1"/>
    </xf>
    <xf numFmtId="0" fontId="85" fillId="51" borderId="0" xfId="101" applyFont="1" applyFill="1" applyAlignment="1" applyProtection="1">
      <alignment vertical="center"/>
      <protection hidden="1"/>
    </xf>
    <xf numFmtId="0" fontId="15" fillId="51" borderId="0" xfId="101" applyFont="1" applyFill="1" applyProtection="1">
      <protection hidden="1"/>
    </xf>
    <xf numFmtId="0" fontId="15" fillId="51" borderId="0" xfId="101" applyFont="1" applyFill="1" applyAlignment="1" applyProtection="1">
      <alignment vertical="center" wrapText="1"/>
      <protection hidden="1"/>
    </xf>
    <xf numFmtId="0" fontId="15" fillId="51" borderId="0" xfId="101" applyFont="1" applyFill="1" applyAlignment="1" applyProtection="1">
      <alignment horizontal="center" vertical="center"/>
      <protection hidden="1"/>
    </xf>
    <xf numFmtId="0" fontId="15" fillId="51" borderId="0" xfId="101" applyFont="1" applyFill="1" applyAlignment="1" applyProtection="1">
      <alignment horizontal="right" vertical="center"/>
      <protection hidden="1"/>
    </xf>
    <xf numFmtId="0" fontId="85" fillId="51" borderId="21" xfId="101" applyFont="1" applyFill="1" applyBorder="1" applyProtection="1">
      <protection hidden="1"/>
    </xf>
    <xf numFmtId="0" fontId="15" fillId="51" borderId="22" xfId="101" applyFont="1" applyFill="1" applyBorder="1" applyProtection="1">
      <protection hidden="1"/>
    </xf>
    <xf numFmtId="0" fontId="15" fillId="51" borderId="25" xfId="101" applyFont="1" applyFill="1" applyBorder="1" applyProtection="1">
      <protection hidden="1"/>
    </xf>
    <xf numFmtId="0" fontId="85" fillId="51" borderId="22" xfId="101" applyFont="1" applyFill="1" applyBorder="1" applyAlignment="1" applyProtection="1">
      <alignment horizontal="left" vertical="center"/>
      <protection hidden="1"/>
    </xf>
    <xf numFmtId="0" fontId="15" fillId="49" borderId="0" xfId="101" applyFont="1" applyFill="1" applyAlignment="1" applyProtection="1">
      <alignment horizontal="left"/>
      <protection hidden="1"/>
    </xf>
    <xf numFmtId="9" fontId="15" fillId="49" borderId="0" xfId="119" applyFont="1" applyFill="1" applyBorder="1" applyAlignment="1" applyProtection="1">
      <alignment horizontal="center"/>
      <protection hidden="1"/>
    </xf>
    <xf numFmtId="0" fontId="85" fillId="49" borderId="21" xfId="101" applyFont="1" applyFill="1" applyBorder="1" applyAlignment="1" applyProtection="1">
      <alignment vertical="center"/>
      <protection hidden="1"/>
    </xf>
    <xf numFmtId="0" fontId="15" fillId="49" borderId="22" xfId="101" applyFont="1" applyFill="1" applyBorder="1" applyAlignment="1" applyProtection="1">
      <alignment vertical="center"/>
      <protection hidden="1"/>
    </xf>
    <xf numFmtId="0" fontId="15" fillId="49" borderId="25" xfId="101" applyFont="1" applyFill="1" applyBorder="1" applyAlignment="1" applyProtection="1">
      <alignment vertical="center"/>
      <protection hidden="1"/>
    </xf>
    <xf numFmtId="0" fontId="85" fillId="49" borderId="24" xfId="101" applyFont="1" applyFill="1" applyBorder="1" applyAlignment="1" applyProtection="1">
      <alignment horizontal="left" vertical="center"/>
      <protection hidden="1"/>
    </xf>
    <xf numFmtId="0" fontId="85" fillId="49" borderId="25" xfId="101" applyFont="1" applyFill="1" applyBorder="1" applyAlignment="1" applyProtection="1">
      <alignment vertical="center"/>
      <protection hidden="1"/>
    </xf>
    <xf numFmtId="0" fontId="15" fillId="49" borderId="25" xfId="101" applyFont="1" applyFill="1" applyBorder="1" applyProtection="1">
      <protection hidden="1"/>
    </xf>
    <xf numFmtId="0" fontId="85" fillId="49" borderId="22" xfId="101" applyFont="1" applyFill="1" applyBorder="1" applyAlignment="1" applyProtection="1">
      <alignment horizontal="left" vertical="center" wrapText="1"/>
      <protection hidden="1"/>
    </xf>
    <xf numFmtId="0" fontId="15" fillId="49" borderId="22" xfId="101" applyFont="1" applyFill="1" applyBorder="1" applyProtection="1">
      <protection hidden="1"/>
    </xf>
    <xf numFmtId="0" fontId="15" fillId="49" borderId="15" xfId="101" applyFont="1" applyFill="1" applyBorder="1" applyProtection="1">
      <protection hidden="1"/>
    </xf>
    <xf numFmtId="0" fontId="15" fillId="49" borderId="0" xfId="101" applyFont="1" applyFill="1" applyAlignment="1" applyProtection="1">
      <alignment horizontal="center"/>
      <protection hidden="1"/>
    </xf>
    <xf numFmtId="9" fontId="15" fillId="49" borderId="0" xfId="101" applyNumberFormat="1" applyFont="1" applyFill="1" applyAlignment="1" applyProtection="1">
      <alignment horizontal="center"/>
      <protection hidden="1"/>
    </xf>
    <xf numFmtId="9" fontId="15" fillId="49" borderId="18" xfId="101" applyNumberFormat="1" applyFont="1" applyFill="1" applyBorder="1" applyAlignment="1" applyProtection="1">
      <alignment horizontal="center"/>
      <protection hidden="1"/>
    </xf>
    <xf numFmtId="0" fontId="15" fillId="49" borderId="18" xfId="101" applyFont="1" applyFill="1" applyBorder="1" applyProtection="1">
      <protection hidden="1"/>
    </xf>
    <xf numFmtId="0" fontId="85" fillId="52" borderId="15" xfId="101" applyFont="1" applyFill="1" applyBorder="1" applyAlignment="1" applyProtection="1">
      <alignment horizontal="left" vertical="top" wrapText="1"/>
      <protection hidden="1"/>
    </xf>
    <xf numFmtId="0" fontId="15" fillId="52" borderId="0" xfId="101" applyFont="1" applyFill="1" applyAlignment="1" applyProtection="1">
      <alignment vertical="center"/>
      <protection hidden="1"/>
    </xf>
    <xf numFmtId="0" fontId="15" fillId="52" borderId="18" xfId="101" applyFont="1" applyFill="1" applyBorder="1" applyProtection="1">
      <protection hidden="1"/>
    </xf>
    <xf numFmtId="0" fontId="15" fillId="50" borderId="0" xfId="101" applyFont="1" applyFill="1" applyAlignment="1" applyProtection="1">
      <alignment horizontal="center" vertical="center"/>
      <protection hidden="1"/>
    </xf>
    <xf numFmtId="0" fontId="15" fillId="50" borderId="18" xfId="101" applyFont="1" applyFill="1" applyBorder="1" applyAlignment="1" applyProtection="1">
      <alignment horizontal="center" vertical="center"/>
      <protection hidden="1"/>
    </xf>
    <xf numFmtId="190" fontId="15" fillId="54" borderId="0" xfId="101" applyNumberFormat="1" applyFont="1" applyFill="1" applyAlignment="1" applyProtection="1">
      <alignment horizontal="center" vertical="center"/>
      <protection hidden="1"/>
    </xf>
    <xf numFmtId="190" fontId="15" fillId="54" borderId="18" xfId="101" applyNumberFormat="1" applyFont="1" applyFill="1" applyBorder="1" applyAlignment="1" applyProtection="1">
      <alignment horizontal="center" vertical="center"/>
      <protection hidden="1"/>
    </xf>
    <xf numFmtId="0" fontId="15" fillId="52" borderId="15" xfId="101" applyFont="1" applyFill="1" applyBorder="1" applyAlignment="1" applyProtection="1">
      <alignment vertical="center"/>
      <protection hidden="1"/>
    </xf>
    <xf numFmtId="0" fontId="15" fillId="52" borderId="0" xfId="101" applyFont="1" applyFill="1" applyAlignment="1" applyProtection="1">
      <alignment horizontal="left" vertical="center"/>
      <protection hidden="1"/>
    </xf>
    <xf numFmtId="0" fontId="85" fillId="52" borderId="0" xfId="101" applyFont="1" applyFill="1" applyAlignment="1" applyProtection="1">
      <alignment horizontal="left" vertical="center" wrapText="1"/>
      <protection hidden="1"/>
    </xf>
    <xf numFmtId="0" fontId="85" fillId="52" borderId="18" xfId="101" applyFont="1" applyFill="1" applyBorder="1" applyAlignment="1" applyProtection="1">
      <alignment horizontal="left" vertical="center" wrapText="1"/>
      <protection hidden="1"/>
    </xf>
    <xf numFmtId="0" fontId="15" fillId="53" borderId="14" xfId="101" applyFont="1" applyFill="1" applyBorder="1" applyAlignment="1" applyProtection="1">
      <alignment horizontal="center" vertical="center"/>
      <protection locked="0"/>
    </xf>
    <xf numFmtId="191" fontId="15" fillId="54" borderId="0" xfId="101" applyNumberFormat="1" applyFont="1" applyFill="1" applyAlignment="1" applyProtection="1">
      <alignment horizontal="center" vertical="center"/>
      <protection hidden="1"/>
    </xf>
    <xf numFmtId="191" fontId="15" fillId="54" borderId="18" xfId="101" applyNumberFormat="1" applyFont="1" applyFill="1" applyBorder="1" applyAlignment="1" applyProtection="1">
      <alignment horizontal="center" vertical="center"/>
      <protection hidden="1"/>
    </xf>
    <xf numFmtId="0" fontId="15" fillId="52" borderId="0" xfId="101" applyFont="1" applyFill="1" applyAlignment="1" applyProtection="1">
      <alignment horizontal="right" vertical="center" wrapText="1"/>
      <protection hidden="1"/>
    </xf>
    <xf numFmtId="165" fontId="15" fillId="55" borderId="14" xfId="101" applyNumberFormat="1" applyFont="1" applyFill="1" applyBorder="1" applyAlignment="1" applyProtection="1">
      <alignment horizontal="center"/>
      <protection locked="0"/>
    </xf>
    <xf numFmtId="192" fontId="15" fillId="49" borderId="0" xfId="101" applyNumberFormat="1" applyFont="1" applyFill="1" applyAlignment="1" applyProtection="1">
      <alignment horizontal="center" vertical="center" wrapText="1"/>
      <protection hidden="1"/>
    </xf>
    <xf numFmtId="192" fontId="15" fillId="49" borderId="18" xfId="101" applyNumberFormat="1" applyFont="1" applyFill="1" applyBorder="1" applyAlignment="1" applyProtection="1">
      <alignment horizontal="center" vertical="center" wrapText="1"/>
      <protection hidden="1"/>
    </xf>
    <xf numFmtId="193" fontId="84" fillId="55" borderId="14" xfId="101" applyNumberFormat="1" applyFont="1" applyFill="1" applyBorder="1" applyAlignment="1" applyProtection="1">
      <alignment horizontal="center" vertical="center"/>
      <protection locked="0"/>
    </xf>
    <xf numFmtId="194" fontId="85" fillId="52" borderId="15" xfId="101" applyNumberFormat="1" applyFont="1" applyFill="1" applyBorder="1" applyAlignment="1" applyProtection="1">
      <alignment horizontal="left" vertical="top" wrapText="1"/>
      <protection hidden="1"/>
    </xf>
    <xf numFmtId="166" fontId="15" fillId="55" borderId="14" xfId="101" applyNumberFormat="1" applyFont="1" applyFill="1" applyBorder="1" applyAlignment="1" applyProtection="1">
      <alignment horizontal="center" vertical="center"/>
      <protection locked="0"/>
    </xf>
    <xf numFmtId="0" fontId="85" fillId="49" borderId="15" xfId="101" applyFont="1" applyFill="1" applyBorder="1" applyAlignment="1" applyProtection="1">
      <alignment horizontal="left" vertical="center"/>
      <protection hidden="1"/>
    </xf>
    <xf numFmtId="0" fontId="85" fillId="52" borderId="0" xfId="101" applyFont="1" applyFill="1" applyAlignment="1" applyProtection="1">
      <alignment horizontal="left" vertical="center"/>
      <protection hidden="1"/>
    </xf>
    <xf numFmtId="0" fontId="85" fillId="52" borderId="18" xfId="101" applyFont="1" applyFill="1" applyBorder="1" applyAlignment="1" applyProtection="1">
      <alignment horizontal="left" vertical="center"/>
      <protection hidden="1"/>
    </xf>
    <xf numFmtId="194" fontId="84" fillId="55" borderId="14" xfId="101" applyNumberFormat="1" applyFont="1" applyFill="1" applyBorder="1" applyAlignment="1" applyProtection="1">
      <alignment horizontal="center" vertical="center"/>
      <protection locked="0"/>
    </xf>
    <xf numFmtId="0" fontId="15" fillId="52" borderId="0" xfId="101" applyFont="1" applyFill="1" applyProtection="1">
      <protection hidden="1"/>
    </xf>
    <xf numFmtId="0" fontId="15" fillId="56" borderId="0" xfId="101" applyFont="1" applyFill="1" applyProtection="1">
      <protection hidden="1"/>
    </xf>
    <xf numFmtId="0" fontId="15" fillId="56" borderId="18" xfId="101" applyFont="1" applyFill="1" applyBorder="1" applyProtection="1">
      <protection hidden="1"/>
    </xf>
    <xf numFmtId="0" fontId="15" fillId="49" borderId="18" xfId="101" applyFont="1" applyFill="1" applyBorder="1" applyAlignment="1" applyProtection="1">
      <alignment horizontal="left"/>
      <protection hidden="1"/>
    </xf>
    <xf numFmtId="0" fontId="15" fillId="56" borderId="23" xfId="101" applyFont="1" applyFill="1" applyBorder="1" applyProtection="1">
      <protection hidden="1"/>
    </xf>
    <xf numFmtId="0" fontId="15" fillId="56" borderId="19" xfId="101" applyFont="1" applyFill="1" applyBorder="1" applyProtection="1">
      <protection hidden="1"/>
    </xf>
    <xf numFmtId="165" fontId="15" fillId="49" borderId="0" xfId="101" applyNumberFormat="1" applyFont="1" applyFill="1" applyProtection="1">
      <protection hidden="1"/>
    </xf>
    <xf numFmtId="194" fontId="15" fillId="52" borderId="15" xfId="101" applyNumberFormat="1" applyFont="1" applyFill="1" applyBorder="1" applyAlignment="1" applyProtection="1">
      <alignment vertical="center"/>
      <protection hidden="1"/>
    </xf>
    <xf numFmtId="2" fontId="15" fillId="49" borderId="0" xfId="101" applyNumberFormat="1" applyFont="1" applyFill="1" applyProtection="1">
      <protection hidden="1"/>
    </xf>
    <xf numFmtId="0" fontId="15" fillId="49" borderId="14" xfId="101" applyFont="1" applyFill="1" applyBorder="1" applyProtection="1">
      <protection hidden="1"/>
    </xf>
    <xf numFmtId="0" fontId="15" fillId="49" borderId="0" xfId="118" applyFont="1" applyFill="1" applyProtection="1">
      <protection hidden="1"/>
    </xf>
    <xf numFmtId="0" fontId="11" fillId="49" borderId="0" xfId="101" applyFill="1"/>
    <xf numFmtId="165" fontId="15" fillId="49" borderId="15" xfId="101" applyNumberFormat="1" applyFont="1" applyFill="1" applyBorder="1" applyProtection="1">
      <protection hidden="1"/>
    </xf>
    <xf numFmtId="0" fontId="85" fillId="49" borderId="0" xfId="101" applyFont="1" applyFill="1" applyAlignment="1" applyProtection="1">
      <alignment horizontal="center"/>
      <protection hidden="1"/>
    </xf>
    <xf numFmtId="0" fontId="15" fillId="49" borderId="21" xfId="118" applyFont="1" applyFill="1" applyBorder="1" applyProtection="1">
      <protection hidden="1"/>
    </xf>
    <xf numFmtId="0" fontId="15" fillId="49" borderId="22" xfId="118" applyFont="1" applyFill="1" applyBorder="1" applyProtection="1">
      <protection hidden="1"/>
    </xf>
    <xf numFmtId="0" fontId="11" fillId="49" borderId="25" xfId="101" applyFill="1" applyBorder="1"/>
    <xf numFmtId="0" fontId="85" fillId="52" borderId="15" xfId="101" applyFont="1" applyFill="1" applyBorder="1" applyAlignment="1" applyProtection="1">
      <alignment vertical="top" wrapText="1"/>
      <protection hidden="1"/>
    </xf>
    <xf numFmtId="195" fontId="15" fillId="55" borderId="14" xfId="101" applyNumberFormat="1" applyFont="1" applyFill="1" applyBorder="1" applyAlignment="1" applyProtection="1">
      <alignment horizontal="center" vertical="center"/>
      <protection locked="0"/>
    </xf>
    <xf numFmtId="0" fontId="15" fillId="49" borderId="15" xfId="118" applyFont="1" applyFill="1" applyBorder="1" applyProtection="1">
      <protection hidden="1"/>
    </xf>
    <xf numFmtId="0" fontId="86" fillId="49" borderId="0" xfId="118" applyFont="1" applyFill="1" applyProtection="1">
      <protection hidden="1"/>
    </xf>
    <xf numFmtId="0" fontId="15" fillId="49" borderId="18" xfId="118" applyFont="1" applyFill="1" applyBorder="1" applyProtection="1">
      <protection hidden="1"/>
    </xf>
    <xf numFmtId="194" fontId="15" fillId="55" borderId="14" xfId="101" applyNumberFormat="1" applyFont="1" applyFill="1" applyBorder="1" applyAlignment="1" applyProtection="1">
      <alignment horizontal="center" vertical="center"/>
      <protection locked="0"/>
    </xf>
    <xf numFmtId="4" fontId="86" fillId="49" borderId="0" xfId="118" applyNumberFormat="1" applyFont="1" applyFill="1" applyProtection="1">
      <protection hidden="1"/>
    </xf>
    <xf numFmtId="9" fontId="15" fillId="49" borderId="0" xfId="101" applyNumberFormat="1" applyFont="1" applyFill="1" applyProtection="1">
      <protection hidden="1"/>
    </xf>
    <xf numFmtId="0" fontId="85" fillId="52" borderId="18" xfId="101" applyFont="1" applyFill="1" applyBorder="1" applyAlignment="1" applyProtection="1">
      <alignment vertical="center"/>
      <protection hidden="1"/>
    </xf>
    <xf numFmtId="9" fontId="84" fillId="55" borderId="14" xfId="101" applyNumberFormat="1" applyFont="1" applyFill="1" applyBorder="1" applyAlignment="1" applyProtection="1">
      <alignment horizontal="center" vertical="center"/>
      <protection locked="0"/>
    </xf>
    <xf numFmtId="165" fontId="86" fillId="49" borderId="0" xfId="118" applyNumberFormat="1" applyFont="1" applyFill="1" applyProtection="1">
      <protection hidden="1"/>
    </xf>
    <xf numFmtId="0" fontId="15" fillId="49" borderId="16" xfId="118" applyFont="1" applyFill="1" applyBorder="1" applyProtection="1">
      <protection hidden="1"/>
    </xf>
    <xf numFmtId="0" fontId="15" fillId="49" borderId="23" xfId="118" applyFont="1" applyFill="1" applyBorder="1" applyProtection="1">
      <protection hidden="1"/>
    </xf>
    <xf numFmtId="0" fontId="15" fillId="49" borderId="19" xfId="118" applyFont="1" applyFill="1" applyBorder="1" applyProtection="1">
      <protection hidden="1"/>
    </xf>
    <xf numFmtId="0" fontId="15" fillId="55" borderId="14" xfId="101" applyFont="1" applyFill="1" applyBorder="1" applyAlignment="1" applyProtection="1">
      <alignment horizontal="center" vertical="center"/>
      <protection locked="0"/>
    </xf>
    <xf numFmtId="0" fontId="85" fillId="49" borderId="0" xfId="101" applyFont="1" applyFill="1" applyAlignment="1" applyProtection="1">
      <alignment vertical="center" wrapText="1"/>
      <protection hidden="1"/>
    </xf>
    <xf numFmtId="0" fontId="15" fillId="49" borderId="21" xfId="101" applyFont="1" applyFill="1" applyBorder="1" applyProtection="1">
      <protection hidden="1"/>
    </xf>
    <xf numFmtId="0" fontId="85" fillId="49" borderId="25" xfId="101" applyFont="1" applyFill="1" applyBorder="1" applyAlignment="1" applyProtection="1">
      <alignment vertical="center" wrapText="1"/>
      <protection hidden="1"/>
    </xf>
    <xf numFmtId="0" fontId="15" fillId="56" borderId="0" xfId="101" applyFont="1" applyFill="1" applyAlignment="1" applyProtection="1">
      <alignment vertical="center"/>
      <protection hidden="1"/>
    </xf>
    <xf numFmtId="0" fontId="15" fillId="56" borderId="0" xfId="101" applyFont="1" applyFill="1" applyAlignment="1" applyProtection="1">
      <alignment horizontal="right" vertical="center" wrapText="1"/>
      <protection hidden="1"/>
    </xf>
    <xf numFmtId="0" fontId="85" fillId="56" borderId="0" xfId="101" applyFont="1" applyFill="1" applyAlignment="1" applyProtection="1">
      <alignment vertical="center"/>
      <protection hidden="1"/>
    </xf>
    <xf numFmtId="9" fontId="15" fillId="57" borderId="18" xfId="101" applyNumberFormat="1" applyFont="1" applyFill="1" applyBorder="1" applyAlignment="1" applyProtection="1">
      <alignment horizontal="center" vertical="center"/>
      <protection locked="0"/>
    </xf>
    <xf numFmtId="0" fontId="85" fillId="49" borderId="18" xfId="101" applyFont="1" applyFill="1" applyBorder="1" applyAlignment="1" applyProtection="1">
      <alignment vertical="center" wrapText="1"/>
      <protection hidden="1"/>
    </xf>
    <xf numFmtId="0" fontId="85" fillId="49" borderId="18" xfId="101" applyFont="1" applyFill="1" applyBorder="1" applyAlignment="1" applyProtection="1">
      <alignment vertical="center"/>
      <protection hidden="1"/>
    </xf>
    <xf numFmtId="0" fontId="85" fillId="49" borderId="0" xfId="101" applyFont="1" applyFill="1" applyProtection="1">
      <protection hidden="1"/>
    </xf>
    <xf numFmtId="196" fontId="15" fillId="57" borderId="18" xfId="101" applyNumberFormat="1" applyFont="1" applyFill="1" applyBorder="1" applyAlignment="1" applyProtection="1">
      <alignment horizontal="center" vertical="center"/>
      <protection locked="0"/>
    </xf>
    <xf numFmtId="9" fontId="15" fillId="55" borderId="14" xfId="101" applyNumberFormat="1" applyFont="1" applyFill="1" applyBorder="1" applyAlignment="1" applyProtection="1">
      <alignment horizontal="center" vertical="center"/>
      <protection locked="0"/>
    </xf>
    <xf numFmtId="197" fontId="15" fillId="49" borderId="0" xfId="101" applyNumberFormat="1" applyFont="1" applyFill="1" applyProtection="1">
      <protection hidden="1"/>
    </xf>
    <xf numFmtId="0" fontId="15" fillId="52" borderId="15" xfId="101" applyFont="1" applyFill="1" applyBorder="1" applyProtection="1">
      <protection hidden="1"/>
    </xf>
    <xf numFmtId="0" fontId="15" fillId="52" borderId="18" xfId="101" applyFont="1" applyFill="1" applyBorder="1" applyAlignment="1" applyProtection="1">
      <alignment horizontal="left" vertical="center"/>
      <protection hidden="1"/>
    </xf>
    <xf numFmtId="165" fontId="15" fillId="55" borderId="14" xfId="101" applyNumberFormat="1" applyFont="1" applyFill="1" applyBorder="1" applyAlignment="1" applyProtection="1">
      <alignment horizontal="center" vertical="center"/>
      <protection locked="0"/>
    </xf>
    <xf numFmtId="0" fontId="85" fillId="52" borderId="15" xfId="101" applyFont="1" applyFill="1" applyBorder="1" applyAlignment="1" applyProtection="1">
      <alignment vertical="top"/>
      <protection hidden="1"/>
    </xf>
    <xf numFmtId="1" fontId="15" fillId="52" borderId="0" xfId="101" applyNumberFormat="1" applyFont="1" applyFill="1" applyAlignment="1" applyProtection="1">
      <alignment vertical="center"/>
      <protection hidden="1"/>
    </xf>
    <xf numFmtId="0" fontId="15" fillId="49" borderId="16" xfId="101" applyFont="1" applyFill="1" applyBorder="1" applyProtection="1">
      <protection hidden="1"/>
    </xf>
    <xf numFmtId="0" fontId="15" fillId="49" borderId="23" xfId="101" applyFont="1" applyFill="1" applyBorder="1" applyProtection="1">
      <protection hidden="1"/>
    </xf>
    <xf numFmtId="0" fontId="85" fillId="49" borderId="19" xfId="101" applyFont="1" applyFill="1" applyBorder="1" applyAlignment="1" applyProtection="1">
      <alignment vertical="center" wrapText="1"/>
      <protection hidden="1"/>
    </xf>
    <xf numFmtId="9" fontId="85" fillId="49" borderId="0" xfId="119" applyFont="1" applyFill="1" applyBorder="1" applyAlignment="1" applyProtection="1">
      <alignment horizontal="center"/>
      <protection hidden="1"/>
    </xf>
    <xf numFmtId="0" fontId="15" fillId="49" borderId="22" xfId="101" applyFont="1" applyFill="1" applyBorder="1" applyAlignment="1" applyProtection="1">
      <alignment horizontal="center" vertical="center"/>
      <protection hidden="1"/>
    </xf>
    <xf numFmtId="0" fontId="85" fillId="49" borderId="25" xfId="101" applyFont="1" applyFill="1" applyBorder="1" applyAlignment="1" applyProtection="1">
      <alignment horizontal="left" vertical="center"/>
      <protection hidden="1"/>
    </xf>
    <xf numFmtId="0" fontId="15" fillId="49" borderId="18" xfId="101" applyFont="1" applyFill="1" applyBorder="1" applyAlignment="1" applyProtection="1">
      <alignment horizontal="center" vertical="center"/>
      <protection hidden="1"/>
    </xf>
    <xf numFmtId="0" fontId="15" fillId="49" borderId="18" xfId="101" applyFont="1" applyFill="1" applyBorder="1" applyAlignment="1" applyProtection="1">
      <alignment horizontal="left" vertical="center"/>
      <protection hidden="1"/>
    </xf>
    <xf numFmtId="0" fontId="15" fillId="52" borderId="18" xfId="101" applyFont="1" applyFill="1" applyBorder="1" applyAlignment="1" applyProtection="1">
      <alignment horizontal="right" vertical="center" wrapText="1"/>
      <protection hidden="1"/>
    </xf>
    <xf numFmtId="193" fontId="15" fillId="55" borderId="14" xfId="101" applyNumberFormat="1" applyFont="1" applyFill="1" applyBorder="1" applyAlignment="1" applyProtection="1">
      <alignment horizontal="center" vertical="center"/>
      <protection locked="0"/>
    </xf>
    <xf numFmtId="2" fontId="15" fillId="49" borderId="0" xfId="101" applyNumberFormat="1" applyFont="1" applyFill="1" applyAlignment="1" applyProtection="1">
      <alignment horizontal="center"/>
      <protection hidden="1"/>
    </xf>
    <xf numFmtId="197" fontId="15" fillId="49" borderId="0" xfId="101" applyNumberFormat="1" applyFont="1" applyFill="1" applyAlignment="1" applyProtection="1">
      <alignment horizontal="center"/>
      <protection hidden="1"/>
    </xf>
    <xf numFmtId="1" fontId="15" fillId="49" borderId="0" xfId="101" applyNumberFormat="1" applyFont="1" applyFill="1" applyAlignment="1" applyProtection="1">
      <alignment horizontal="center"/>
      <protection hidden="1"/>
    </xf>
    <xf numFmtId="0" fontId="15" fillId="49" borderId="19" xfId="101" applyFont="1" applyFill="1" applyBorder="1" applyAlignment="1" applyProtection="1">
      <alignment horizontal="left" vertical="center"/>
      <protection hidden="1"/>
    </xf>
    <xf numFmtId="0" fontId="15" fillId="49" borderId="19" xfId="101" applyFont="1" applyFill="1" applyBorder="1" applyProtection="1">
      <protection hidden="1"/>
    </xf>
    <xf numFmtId="0" fontId="15" fillId="49" borderId="0" xfId="101" applyFont="1" applyFill="1" applyAlignment="1" applyProtection="1">
      <alignment vertical="center" textRotation="90"/>
      <protection hidden="1"/>
    </xf>
    <xf numFmtId="0" fontId="15" fillId="49" borderId="23" xfId="101" applyFont="1" applyFill="1" applyBorder="1" applyAlignment="1" applyProtection="1">
      <alignment vertical="center"/>
      <protection hidden="1"/>
    </xf>
    <xf numFmtId="0" fontId="15" fillId="49" borderId="19" xfId="101" applyFont="1" applyFill="1" applyBorder="1" applyAlignment="1" applyProtection="1">
      <alignment horizontal="center" vertical="center"/>
      <protection hidden="1"/>
    </xf>
    <xf numFmtId="0" fontId="15" fillId="49" borderId="0" xfId="101" applyFont="1" applyFill="1" applyAlignment="1" applyProtection="1">
      <alignment horizontal="right" vertical="center" wrapText="1"/>
      <protection hidden="1"/>
    </xf>
    <xf numFmtId="0" fontId="85" fillId="49" borderId="0" xfId="101" applyFont="1" applyFill="1" applyAlignment="1" applyProtection="1">
      <alignment horizontal="center" vertical="center"/>
      <protection hidden="1"/>
    </xf>
    <xf numFmtId="193" fontId="15" fillId="54" borderId="0" xfId="101" applyNumberFormat="1" applyFont="1" applyFill="1" applyAlignment="1" applyProtection="1">
      <alignment horizontal="center" vertical="center"/>
      <protection hidden="1"/>
    </xf>
    <xf numFmtId="196" fontId="15" fillId="55" borderId="14" xfId="101" applyNumberFormat="1" applyFont="1" applyFill="1" applyBorder="1" applyAlignment="1" applyProtection="1">
      <alignment horizontal="center" vertical="center"/>
      <protection locked="0"/>
    </xf>
    <xf numFmtId="0" fontId="85" fillId="52" borderId="16" xfId="101" applyFont="1" applyFill="1" applyBorder="1" applyAlignment="1" applyProtection="1">
      <alignment horizontal="left" vertical="top" wrapText="1"/>
      <protection hidden="1"/>
    </xf>
    <xf numFmtId="0" fontId="15" fillId="52" borderId="23" xfId="101" applyFont="1" applyFill="1" applyBorder="1" applyAlignment="1" applyProtection="1">
      <alignment horizontal="left" vertical="center"/>
      <protection hidden="1"/>
    </xf>
    <xf numFmtId="0" fontId="15" fillId="52" borderId="23" xfId="101" applyFont="1" applyFill="1" applyBorder="1" applyAlignment="1" applyProtection="1">
      <alignment horizontal="right" vertical="center" wrapText="1"/>
      <protection hidden="1"/>
    </xf>
    <xf numFmtId="0" fontId="85" fillId="52" borderId="19" xfId="101" applyFont="1" applyFill="1" applyBorder="1" applyAlignment="1" applyProtection="1">
      <alignment horizontal="left" vertical="center"/>
      <protection hidden="1"/>
    </xf>
    <xf numFmtId="199" fontId="15" fillId="55" borderId="5" xfId="101" applyNumberFormat="1" applyFont="1" applyFill="1" applyBorder="1" applyAlignment="1" applyProtection="1">
      <alignment horizontal="center" vertical="center"/>
      <protection locked="0"/>
    </xf>
    <xf numFmtId="0" fontId="87" fillId="52" borderId="15" xfId="117" applyFont="1" applyFill="1" applyBorder="1"/>
    <xf numFmtId="0" fontId="84" fillId="52" borderId="0" xfId="101" applyFont="1" applyFill="1" applyAlignment="1" applyProtection="1">
      <alignment horizontal="left" vertical="center"/>
      <protection hidden="1"/>
    </xf>
    <xf numFmtId="0" fontId="84" fillId="52" borderId="0" xfId="117" applyFont="1" applyFill="1"/>
    <xf numFmtId="201" fontId="84" fillId="52" borderId="24" xfId="117" applyNumberFormat="1" applyFont="1" applyFill="1" applyBorder="1"/>
    <xf numFmtId="0" fontId="15" fillId="52" borderId="0" xfId="117" applyFont="1" applyFill="1"/>
    <xf numFmtId="201" fontId="15" fillId="52" borderId="14" xfId="117" applyNumberFormat="1" applyFont="1" applyFill="1" applyBorder="1"/>
    <xf numFmtId="0" fontId="87" fillId="52" borderId="16" xfId="117" applyFont="1" applyFill="1" applyBorder="1"/>
    <xf numFmtId="0" fontId="15" fillId="52" borderId="23" xfId="117" applyFont="1" applyFill="1" applyBorder="1"/>
    <xf numFmtId="201" fontId="15" fillId="52" borderId="5" xfId="117" applyNumberFormat="1" applyFont="1" applyFill="1" applyBorder="1"/>
    <xf numFmtId="0" fontId="85" fillId="49" borderId="21" xfId="101" applyFont="1" applyFill="1" applyBorder="1" applyAlignment="1" applyProtection="1">
      <alignment vertical="center" wrapText="1"/>
      <protection hidden="1"/>
    </xf>
    <xf numFmtId="0" fontId="85" fillId="49" borderId="22" xfId="101" applyFont="1" applyFill="1" applyBorder="1" applyAlignment="1" applyProtection="1">
      <alignment vertical="top" wrapText="1"/>
      <protection hidden="1"/>
    </xf>
    <xf numFmtId="0" fontId="85" fillId="49" borderId="25" xfId="101" applyFont="1" applyFill="1" applyBorder="1" applyAlignment="1" applyProtection="1">
      <alignment vertical="top" wrapText="1"/>
      <protection hidden="1"/>
    </xf>
    <xf numFmtId="0" fontId="85" fillId="49" borderId="22" xfId="101" applyFont="1" applyFill="1" applyBorder="1" applyProtection="1">
      <protection hidden="1"/>
    </xf>
    <xf numFmtId="9" fontId="15" fillId="49" borderId="0" xfId="101" quotePrefix="1" applyNumberFormat="1" applyFont="1" applyFill="1" applyProtection="1">
      <protection hidden="1"/>
    </xf>
    <xf numFmtId="0" fontId="85" fillId="52" borderId="15" xfId="101" applyFont="1" applyFill="1" applyBorder="1" applyAlignment="1" applyProtection="1">
      <alignment vertical="center" wrapText="1"/>
      <protection hidden="1"/>
    </xf>
    <xf numFmtId="0" fontId="85" fillId="52" borderId="0" xfId="101" applyFont="1" applyFill="1" applyAlignment="1" applyProtection="1">
      <alignment horizontal="center" wrapText="1"/>
      <protection hidden="1"/>
    </xf>
    <xf numFmtId="0" fontId="85" fillId="52" borderId="18" xfId="101" applyFont="1" applyFill="1" applyBorder="1" applyAlignment="1" applyProtection="1">
      <alignment horizontal="center" wrapText="1"/>
      <protection hidden="1"/>
    </xf>
    <xf numFmtId="20" fontId="15" fillId="49" borderId="0" xfId="101" applyNumberFormat="1" applyFont="1" applyFill="1" applyProtection="1">
      <protection hidden="1"/>
    </xf>
    <xf numFmtId="20" fontId="84" fillId="53" borderId="0" xfId="101" applyNumberFormat="1" applyFont="1" applyFill="1" applyAlignment="1" applyProtection="1">
      <alignment horizontal="center" vertical="top" wrapText="1"/>
      <protection locked="0"/>
    </xf>
    <xf numFmtId="20" fontId="15" fillId="53" borderId="0" xfId="101" applyNumberFormat="1" applyFont="1" applyFill="1" applyAlignment="1" applyProtection="1">
      <alignment horizontal="center" vertical="top" wrapText="1"/>
      <protection locked="0"/>
    </xf>
    <xf numFmtId="20" fontId="15" fillId="53" borderId="18" xfId="101" applyNumberFormat="1" applyFont="1" applyFill="1" applyBorder="1" applyAlignment="1" applyProtection="1">
      <alignment horizontal="center" vertical="top" wrapText="1"/>
      <protection locked="0"/>
    </xf>
    <xf numFmtId="9" fontId="15" fillId="49" borderId="18" xfId="101" applyNumberFormat="1" applyFont="1" applyFill="1" applyBorder="1" applyProtection="1">
      <protection hidden="1"/>
    </xf>
    <xf numFmtId="0" fontId="85" fillId="49" borderId="23" xfId="101" applyFont="1" applyFill="1" applyBorder="1" applyProtection="1">
      <protection hidden="1"/>
    </xf>
    <xf numFmtId="165" fontId="85" fillId="49" borderId="23" xfId="101" applyNumberFormat="1" applyFont="1" applyFill="1" applyBorder="1" applyProtection="1">
      <protection hidden="1"/>
    </xf>
    <xf numFmtId="165" fontId="88" fillId="49" borderId="23" xfId="101" applyNumberFormat="1" applyFont="1" applyFill="1" applyBorder="1" applyProtection="1">
      <protection hidden="1"/>
    </xf>
    <xf numFmtId="9" fontId="85" fillId="49" borderId="19" xfId="101" applyNumberFormat="1" applyFont="1" applyFill="1" applyBorder="1" applyProtection="1">
      <protection hidden="1"/>
    </xf>
    <xf numFmtId="0" fontId="85" fillId="49" borderId="21" xfId="101" applyFont="1" applyFill="1" applyBorder="1" applyProtection="1">
      <protection hidden="1"/>
    </xf>
    <xf numFmtId="3" fontId="15" fillId="49" borderId="22" xfId="101" applyNumberFormat="1" applyFont="1" applyFill="1" applyBorder="1" applyProtection="1">
      <protection hidden="1"/>
    </xf>
    <xf numFmtId="0" fontId="85" fillId="49" borderId="15" xfId="101" applyFont="1" applyFill="1" applyBorder="1" applyProtection="1">
      <protection hidden="1"/>
    </xf>
    <xf numFmtId="3" fontId="15" fillId="49" borderId="0" xfId="101" applyNumberFormat="1" applyFont="1" applyFill="1" applyProtection="1">
      <protection hidden="1"/>
    </xf>
    <xf numFmtId="3" fontId="15" fillId="49" borderId="0" xfId="101" applyNumberFormat="1" applyFont="1" applyFill="1" applyAlignment="1" applyProtection="1">
      <alignment horizontal="center"/>
      <protection hidden="1"/>
    </xf>
    <xf numFmtId="0" fontId="15" fillId="49" borderId="18" xfId="101" applyFont="1" applyFill="1" applyBorder="1" applyAlignment="1" applyProtection="1">
      <alignment horizontal="center"/>
      <protection hidden="1"/>
    </xf>
    <xf numFmtId="166" fontId="15" fillId="49" borderId="0" xfId="101" applyNumberFormat="1" applyFont="1" applyFill="1" applyProtection="1">
      <protection hidden="1"/>
    </xf>
    <xf numFmtId="166" fontId="15" fillId="49" borderId="18" xfId="101" applyNumberFormat="1" applyFont="1" applyFill="1" applyBorder="1" applyProtection="1">
      <protection hidden="1"/>
    </xf>
    <xf numFmtId="194" fontId="15" fillId="49" borderId="0" xfId="101" applyNumberFormat="1" applyFont="1" applyFill="1" applyProtection="1">
      <protection hidden="1"/>
    </xf>
    <xf numFmtId="2" fontId="15" fillId="49" borderId="18" xfId="101" applyNumberFormat="1" applyFont="1" applyFill="1" applyBorder="1" applyProtection="1">
      <protection hidden="1"/>
    </xf>
    <xf numFmtId="9" fontId="15" fillId="49" borderId="23" xfId="101" applyNumberFormat="1" applyFont="1" applyFill="1" applyBorder="1" applyProtection="1">
      <protection hidden="1"/>
    </xf>
    <xf numFmtId="1" fontId="15" fillId="49" borderId="23" xfId="101" applyNumberFormat="1" applyFont="1" applyFill="1" applyBorder="1" applyProtection="1">
      <protection hidden="1"/>
    </xf>
    <xf numFmtId="3" fontId="85" fillId="49" borderId="23" xfId="101" applyNumberFormat="1" applyFont="1" applyFill="1" applyBorder="1" applyProtection="1">
      <protection hidden="1"/>
    </xf>
    <xf numFmtId="0" fontId="85" fillId="49" borderId="16" xfId="101" applyFont="1" applyFill="1" applyBorder="1" applyProtection="1">
      <protection hidden="1"/>
    </xf>
    <xf numFmtId="0" fontId="85" fillId="49" borderId="16" xfId="101" applyFont="1" applyFill="1" applyBorder="1" applyAlignment="1" applyProtection="1">
      <alignment horizontal="left" vertical="top" wrapText="1"/>
      <protection hidden="1"/>
    </xf>
    <xf numFmtId="0" fontId="15" fillId="58" borderId="23" xfId="101" applyFont="1" applyFill="1" applyBorder="1" applyAlignment="1" applyProtection="1">
      <alignment horizontal="right" vertical="top" wrapText="1"/>
      <protection hidden="1"/>
    </xf>
    <xf numFmtId="0" fontId="15" fillId="58" borderId="19" xfId="101" applyFont="1" applyFill="1" applyBorder="1" applyAlignment="1" applyProtection="1">
      <alignment horizontal="right" vertical="top" wrapText="1"/>
      <protection hidden="1"/>
    </xf>
    <xf numFmtId="1" fontId="15" fillId="49" borderId="0" xfId="101" quotePrefix="1" applyNumberFormat="1" applyFont="1" applyFill="1" applyProtection="1">
      <protection hidden="1"/>
    </xf>
    <xf numFmtId="0" fontId="15" fillId="49" borderId="22" xfId="101" applyFont="1" applyFill="1" applyBorder="1" applyAlignment="1" applyProtection="1">
      <alignment vertical="center" textRotation="90"/>
      <protection hidden="1"/>
    </xf>
    <xf numFmtId="3" fontId="15" fillId="49" borderId="22" xfId="101" applyNumberFormat="1" applyFont="1" applyFill="1" applyBorder="1" applyAlignment="1" applyProtection="1">
      <alignment horizontal="center"/>
      <protection hidden="1"/>
    </xf>
    <xf numFmtId="166" fontId="85" fillId="49" borderId="19" xfId="101" applyNumberFormat="1" applyFont="1" applyFill="1" applyBorder="1" applyProtection="1">
      <protection hidden="1"/>
    </xf>
    <xf numFmtId="2" fontId="85" fillId="49" borderId="19" xfId="101" applyNumberFormat="1" applyFont="1" applyFill="1" applyBorder="1" applyProtection="1">
      <protection hidden="1"/>
    </xf>
    <xf numFmtId="0" fontId="85" fillId="49" borderId="22" xfId="101" applyFont="1" applyFill="1" applyBorder="1" applyAlignment="1" applyProtection="1">
      <alignment horizontal="center" vertical="center" wrapText="1"/>
      <protection hidden="1"/>
    </xf>
    <xf numFmtId="0" fontId="85" fillId="52" borderId="0" xfId="101" applyFont="1" applyFill="1" applyAlignment="1" applyProtection="1">
      <alignment horizontal="center" vertical="top" wrapText="1"/>
      <protection hidden="1"/>
    </xf>
    <xf numFmtId="0" fontId="85" fillId="52" borderId="18" xfId="101" applyFont="1" applyFill="1" applyBorder="1" applyAlignment="1" applyProtection="1">
      <alignment horizontal="center" vertical="top" wrapText="1"/>
      <protection hidden="1"/>
    </xf>
    <xf numFmtId="202" fontId="15" fillId="55" borderId="0" xfId="101" applyNumberFormat="1" applyFont="1" applyFill="1" applyAlignment="1" applyProtection="1">
      <alignment horizontal="right" vertical="top" wrapText="1" indent="3"/>
      <protection locked="0"/>
    </xf>
    <xf numFmtId="202" fontId="15" fillId="55" borderId="18" xfId="101" applyNumberFormat="1" applyFont="1" applyFill="1" applyBorder="1" applyAlignment="1" applyProtection="1">
      <alignment horizontal="right" vertical="top" wrapText="1" indent="3"/>
      <protection locked="0"/>
    </xf>
    <xf numFmtId="0" fontId="85" fillId="52" borderId="15" xfId="101" applyFont="1" applyFill="1" applyBorder="1" applyAlignment="1" applyProtection="1">
      <alignment horizontal="right" vertical="top" wrapText="1"/>
      <protection hidden="1"/>
    </xf>
    <xf numFmtId="0" fontId="85" fillId="52" borderId="16" xfId="101" applyFont="1" applyFill="1" applyBorder="1" applyAlignment="1" applyProtection="1">
      <alignment horizontal="right" vertical="top" wrapText="1"/>
      <protection hidden="1"/>
    </xf>
    <xf numFmtId="202" fontId="15" fillId="55" borderId="23" xfId="101" applyNumberFormat="1" applyFont="1" applyFill="1" applyBorder="1" applyAlignment="1" applyProtection="1">
      <alignment horizontal="right" vertical="top" wrapText="1" indent="3"/>
      <protection locked="0"/>
    </xf>
    <xf numFmtId="202" fontId="15" fillId="55" borderId="19" xfId="101" applyNumberFormat="1" applyFont="1" applyFill="1" applyBorder="1" applyAlignment="1" applyProtection="1">
      <alignment horizontal="right" vertical="top" wrapText="1" indent="3"/>
      <protection locked="0"/>
    </xf>
    <xf numFmtId="0" fontId="85" fillId="49" borderId="23" xfId="101" applyFont="1" applyFill="1" applyBorder="1" applyAlignment="1" applyProtection="1">
      <alignment horizontal="center" vertical="top" wrapText="1"/>
      <protection hidden="1"/>
    </xf>
    <xf numFmtId="0" fontId="85" fillId="49" borderId="0" xfId="101" applyFont="1" applyFill="1" applyAlignment="1" applyProtection="1">
      <alignment horizontal="center" vertical="top" wrapText="1"/>
      <protection hidden="1"/>
    </xf>
    <xf numFmtId="2" fontId="15" fillId="49" borderId="0" xfId="101" applyNumberFormat="1" applyFont="1" applyFill="1" applyAlignment="1" applyProtection="1">
      <alignment horizontal="center" vertical="center"/>
      <protection hidden="1"/>
    </xf>
    <xf numFmtId="0" fontId="85" fillId="49" borderId="21" xfId="101" applyFont="1" applyFill="1" applyBorder="1" applyAlignment="1" applyProtection="1">
      <alignment horizontal="left" vertical="center"/>
      <protection hidden="1"/>
    </xf>
    <xf numFmtId="0" fontId="15" fillId="49" borderId="0" xfId="101" applyFont="1" applyFill="1" applyAlignment="1">
      <alignment vertical="top" wrapText="1"/>
    </xf>
    <xf numFmtId="0" fontId="85" fillId="49" borderId="18" xfId="101" applyFont="1" applyFill="1" applyBorder="1" applyAlignment="1" applyProtection="1">
      <alignment horizontal="left" vertical="center"/>
      <protection hidden="1"/>
    </xf>
    <xf numFmtId="9" fontId="15" fillId="49" borderId="0" xfId="101" applyNumberFormat="1" applyFont="1" applyFill="1" applyAlignment="1" applyProtection="1">
      <alignment horizontal="left" vertical="center"/>
      <protection hidden="1"/>
    </xf>
    <xf numFmtId="9" fontId="15" fillId="49" borderId="18" xfId="101" applyNumberFormat="1" applyFont="1" applyFill="1" applyBorder="1" applyAlignment="1" applyProtection="1">
      <alignment horizontal="left" vertical="center"/>
      <protection hidden="1"/>
    </xf>
    <xf numFmtId="0" fontId="85" fillId="49" borderId="16" xfId="101" applyFont="1" applyFill="1" applyBorder="1" applyAlignment="1" applyProtection="1">
      <alignment horizontal="left" vertical="center"/>
      <protection hidden="1"/>
    </xf>
    <xf numFmtId="0" fontId="85" fillId="49" borderId="23" xfId="101" applyFont="1" applyFill="1" applyBorder="1" applyAlignment="1" applyProtection="1">
      <alignment horizontal="left" vertical="center"/>
      <protection hidden="1"/>
    </xf>
    <xf numFmtId="9" fontId="85" fillId="49" borderId="23" xfId="101" applyNumberFormat="1" applyFont="1" applyFill="1" applyBorder="1" applyAlignment="1" applyProtection="1">
      <alignment horizontal="left" vertical="center"/>
      <protection hidden="1"/>
    </xf>
    <xf numFmtId="9" fontId="85" fillId="49" borderId="19" xfId="101" applyNumberFormat="1" applyFont="1" applyFill="1" applyBorder="1" applyAlignment="1" applyProtection="1">
      <alignment horizontal="left" vertical="center"/>
      <protection hidden="1"/>
    </xf>
    <xf numFmtId="0" fontId="15" fillId="49" borderId="22" xfId="101" applyFont="1" applyFill="1" applyBorder="1" applyAlignment="1">
      <alignment vertical="top" wrapText="1"/>
    </xf>
    <xf numFmtId="0" fontId="15" fillId="49" borderId="25" xfId="101" applyFont="1" applyFill="1" applyBorder="1" applyAlignment="1">
      <alignment vertical="top" wrapText="1"/>
    </xf>
    <xf numFmtId="165" fontId="15" fillId="49" borderId="18" xfId="101" applyNumberFormat="1" applyFont="1" applyFill="1" applyBorder="1" applyProtection="1">
      <protection hidden="1"/>
    </xf>
    <xf numFmtId="0" fontId="85" fillId="56" borderId="0" xfId="101" applyFont="1" applyFill="1" applyAlignment="1" applyProtection="1">
      <alignment horizontal="left" vertical="center"/>
      <protection hidden="1"/>
    </xf>
    <xf numFmtId="2" fontId="85" fillId="56" borderId="0" xfId="101" applyNumberFormat="1" applyFont="1" applyFill="1" applyProtection="1">
      <protection hidden="1"/>
    </xf>
    <xf numFmtId="197" fontId="15" fillId="49" borderId="23" xfId="101" applyNumberFormat="1" applyFont="1" applyFill="1" applyBorder="1" applyProtection="1">
      <protection hidden="1"/>
    </xf>
    <xf numFmtId="0" fontId="89" fillId="49" borderId="0" xfId="101" applyFont="1" applyFill="1" applyProtection="1">
      <protection hidden="1"/>
    </xf>
    <xf numFmtId="0" fontId="90" fillId="49" borderId="0" xfId="101" applyFont="1" applyFill="1" applyProtection="1">
      <protection hidden="1"/>
    </xf>
    <xf numFmtId="4" fontId="15" fillId="49" borderId="0" xfId="101" applyNumberFormat="1" applyFont="1" applyFill="1" applyProtection="1">
      <protection hidden="1"/>
    </xf>
    <xf numFmtId="0" fontId="89" fillId="49" borderId="0" xfId="101" applyFont="1" applyFill="1" applyAlignment="1" applyProtection="1">
      <alignment horizontal="center" vertical="center"/>
      <protection hidden="1"/>
    </xf>
    <xf numFmtId="0" fontId="85" fillId="49" borderId="21" xfId="101" applyFont="1" applyFill="1" applyBorder="1" applyAlignment="1" applyProtection="1">
      <alignment horizontal="center" vertical="center" wrapText="1"/>
      <protection hidden="1"/>
    </xf>
    <xf numFmtId="0" fontId="15" fillId="49" borderId="15" xfId="101" applyFont="1" applyFill="1" applyBorder="1" applyAlignment="1" applyProtection="1">
      <alignment horizontal="left" vertical="top"/>
      <protection hidden="1"/>
    </xf>
    <xf numFmtId="0" fontId="85" fillId="49" borderId="15" xfId="101" applyFont="1" applyFill="1" applyBorder="1" applyAlignment="1" applyProtection="1">
      <alignment horizontal="center" vertical="top" wrapText="1"/>
      <protection hidden="1"/>
    </xf>
    <xf numFmtId="0" fontId="85" fillId="49" borderId="18" xfId="101" applyFont="1" applyFill="1" applyBorder="1" applyAlignment="1" applyProtection="1">
      <alignment horizontal="center" vertical="top" wrapText="1"/>
      <protection hidden="1"/>
    </xf>
    <xf numFmtId="202" fontId="15" fillId="59" borderId="15" xfId="101" applyNumberFormat="1" applyFont="1" applyFill="1" applyBorder="1" applyAlignment="1" applyProtection="1">
      <alignment horizontal="center" vertical="top" wrapText="1"/>
      <protection hidden="1"/>
    </xf>
    <xf numFmtId="9" fontId="15" fillId="59" borderId="0" xfId="101" applyNumberFormat="1" applyFont="1" applyFill="1" applyAlignment="1" applyProtection="1">
      <alignment horizontal="center" vertical="top" wrapText="1"/>
      <protection hidden="1"/>
    </xf>
    <xf numFmtId="204" fontId="15" fillId="59" borderId="18" xfId="101" applyNumberFormat="1" applyFont="1" applyFill="1" applyBorder="1" applyAlignment="1" applyProtection="1">
      <alignment horizontal="center" vertical="top" wrapText="1"/>
      <protection hidden="1"/>
    </xf>
    <xf numFmtId="3" fontId="15" fillId="49" borderId="18" xfId="101" applyNumberFormat="1" applyFont="1" applyFill="1" applyBorder="1" applyProtection="1">
      <protection hidden="1"/>
    </xf>
    <xf numFmtId="205" fontId="15" fillId="49" borderId="0" xfId="101" applyNumberFormat="1" applyFont="1" applyFill="1" applyProtection="1">
      <protection hidden="1"/>
    </xf>
    <xf numFmtId="202" fontId="15" fillId="59" borderId="16" xfId="101" applyNumberFormat="1" applyFont="1" applyFill="1" applyBorder="1" applyAlignment="1" applyProtection="1">
      <alignment horizontal="center" vertical="top" wrapText="1"/>
      <protection hidden="1"/>
    </xf>
    <xf numFmtId="9" fontId="15" fillId="59" borderId="23" xfId="101" applyNumberFormat="1" applyFont="1" applyFill="1" applyBorder="1" applyAlignment="1" applyProtection="1">
      <alignment horizontal="center" vertical="top" wrapText="1"/>
      <protection hidden="1"/>
    </xf>
    <xf numFmtId="204" fontId="15" fillId="59" borderId="19" xfId="101" applyNumberFormat="1" applyFont="1" applyFill="1" applyBorder="1" applyAlignment="1" applyProtection="1">
      <alignment horizontal="center" vertical="top" wrapText="1"/>
      <protection hidden="1"/>
    </xf>
    <xf numFmtId="3" fontId="85" fillId="49" borderId="0" xfId="101" applyNumberFormat="1" applyFont="1" applyFill="1" applyProtection="1">
      <protection hidden="1"/>
    </xf>
    <xf numFmtId="3" fontId="85" fillId="49" borderId="18" xfId="101" applyNumberFormat="1" applyFont="1" applyFill="1" applyBorder="1" applyProtection="1">
      <protection hidden="1"/>
    </xf>
    <xf numFmtId="3" fontId="15" fillId="49" borderId="23" xfId="101" applyNumberFormat="1" applyFont="1" applyFill="1" applyBorder="1" applyProtection="1">
      <protection hidden="1"/>
    </xf>
    <xf numFmtId="3" fontId="15" fillId="49" borderId="19" xfId="101" applyNumberFormat="1" applyFont="1" applyFill="1" applyBorder="1" applyProtection="1">
      <protection hidden="1"/>
    </xf>
    <xf numFmtId="0" fontId="85" fillId="49" borderId="0" xfId="101" applyFont="1" applyFill="1"/>
    <xf numFmtId="0" fontId="89" fillId="49" borderId="25" xfId="101" applyFont="1" applyFill="1" applyBorder="1" applyProtection="1">
      <protection hidden="1"/>
    </xf>
    <xf numFmtId="0" fontId="90" fillId="49" borderId="21" xfId="101" applyFont="1" applyFill="1" applyBorder="1" applyProtection="1">
      <protection hidden="1"/>
    </xf>
    <xf numFmtId="0" fontId="89" fillId="49" borderId="22" xfId="101" applyFont="1" applyFill="1" applyBorder="1" applyProtection="1">
      <protection hidden="1"/>
    </xf>
    <xf numFmtId="0" fontId="15" fillId="49" borderId="0" xfId="101" applyFont="1" applyFill="1"/>
    <xf numFmtId="0" fontId="15" fillId="49" borderId="18" xfId="101" applyFont="1" applyFill="1" applyBorder="1"/>
    <xf numFmtId="0" fontId="15" fillId="49" borderId="15" xfId="101" applyFont="1" applyFill="1" applyBorder="1"/>
    <xf numFmtId="0" fontId="89" fillId="49" borderId="15" xfId="101" applyFont="1" applyFill="1" applyBorder="1" applyProtection="1">
      <protection hidden="1"/>
    </xf>
    <xf numFmtId="0" fontId="89" fillId="49" borderId="18" xfId="101" applyFont="1" applyFill="1" applyBorder="1" applyProtection="1">
      <protection hidden="1"/>
    </xf>
    <xf numFmtId="3" fontId="15" fillId="49" borderId="15" xfId="101" applyNumberFormat="1" applyFont="1" applyFill="1" applyBorder="1" applyProtection="1">
      <protection hidden="1"/>
    </xf>
    <xf numFmtId="1" fontId="15" fillId="49" borderId="0" xfId="101" applyNumberFormat="1" applyFont="1" applyFill="1" applyProtection="1">
      <protection hidden="1"/>
    </xf>
    <xf numFmtId="3" fontId="91" fillId="49" borderId="15" xfId="101" applyNumberFormat="1" applyFont="1" applyFill="1" applyBorder="1"/>
    <xf numFmtId="3" fontId="91" fillId="49" borderId="16" xfId="101" applyNumberFormat="1" applyFont="1" applyFill="1" applyBorder="1"/>
    <xf numFmtId="0" fontId="15" fillId="49" borderId="16" xfId="101" applyFont="1" applyFill="1" applyBorder="1"/>
    <xf numFmtId="3" fontId="15" fillId="49" borderId="16" xfId="101" applyNumberFormat="1" applyFont="1" applyFill="1" applyBorder="1" applyProtection="1">
      <protection hidden="1"/>
    </xf>
    <xf numFmtId="0" fontId="92" fillId="49" borderId="0" xfId="101" applyFont="1" applyFill="1" applyProtection="1">
      <protection hidden="1"/>
    </xf>
    <xf numFmtId="0" fontId="93" fillId="49" borderId="0" xfId="101" applyFont="1" applyFill="1" applyProtection="1">
      <protection hidden="1"/>
    </xf>
    <xf numFmtId="0" fontId="11" fillId="49" borderId="0" xfId="0" applyFont="1" applyFill="1"/>
    <xf numFmtId="1" fontId="11" fillId="49" borderId="0" xfId="0" applyNumberFormat="1" applyFont="1" applyFill="1" applyAlignment="1">
      <alignment horizontal="center"/>
    </xf>
    <xf numFmtId="165" fontId="11" fillId="49" borderId="0" xfId="0" applyNumberFormat="1" applyFont="1" applyFill="1" applyAlignment="1">
      <alignment horizontal="center"/>
    </xf>
    <xf numFmtId="0" fontId="96" fillId="35" borderId="54" xfId="0" applyFont="1" applyFill="1" applyBorder="1" applyAlignment="1">
      <alignment horizontal="left"/>
    </xf>
    <xf numFmtId="0" fontId="96" fillId="35" borderId="55" xfId="0" applyFont="1" applyFill="1" applyBorder="1" applyAlignment="1">
      <alignment horizontal="left"/>
    </xf>
    <xf numFmtId="1" fontId="96" fillId="35" borderId="56" xfId="0" applyNumberFormat="1" applyFont="1" applyFill="1" applyBorder="1"/>
    <xf numFmtId="1" fontId="96" fillId="35" borderId="46" xfId="0" applyNumberFormat="1" applyFont="1" applyFill="1" applyBorder="1"/>
    <xf numFmtId="0" fontId="96" fillId="35" borderId="46" xfId="0" applyFont="1" applyFill="1" applyBorder="1"/>
    <xf numFmtId="1" fontId="96" fillId="35" borderId="45" xfId="0" applyNumberFormat="1" applyFont="1" applyFill="1" applyBorder="1"/>
    <xf numFmtId="1" fontId="96" fillId="35" borderId="47" xfId="0" applyNumberFormat="1" applyFont="1" applyFill="1" applyBorder="1"/>
    <xf numFmtId="1" fontId="97" fillId="35" borderId="47" xfId="0" applyNumberFormat="1" applyFont="1" applyFill="1" applyBorder="1"/>
    <xf numFmtId="0" fontId="15" fillId="0" borderId="48" xfId="0" applyFont="1" applyBorder="1"/>
    <xf numFmtId="0" fontId="15" fillId="0" borderId="0" xfId="0" applyFont="1"/>
    <xf numFmtId="1" fontId="15" fillId="0" borderId="48" xfId="0" applyNumberFormat="1" applyFont="1" applyBorder="1"/>
    <xf numFmtId="1" fontId="15" fillId="0" borderId="49" xfId="0" applyNumberFormat="1" applyFont="1" applyBorder="1" applyAlignment="1">
      <alignment horizontal="center"/>
    </xf>
    <xf numFmtId="1" fontId="15" fillId="0" borderId="0" xfId="0" applyNumberFormat="1" applyFont="1" applyAlignment="1">
      <alignment horizontal="center"/>
    </xf>
    <xf numFmtId="0" fontId="15" fillId="0" borderId="0" xfId="0" applyFont="1" applyAlignment="1">
      <alignment horizontal="center"/>
    </xf>
    <xf numFmtId="1" fontId="15" fillId="0" borderId="48" xfId="0" applyNumberFormat="1" applyFont="1" applyBorder="1" applyAlignment="1">
      <alignment horizontal="center"/>
    </xf>
    <xf numFmtId="0" fontId="97" fillId="0" borderId="48" xfId="0" applyFont="1" applyBorder="1"/>
    <xf numFmtId="1" fontId="15" fillId="30" borderId="50" xfId="0" applyNumberFormat="1" applyFont="1" applyFill="1" applyBorder="1" applyAlignment="1">
      <alignment horizontal="center" vertical="center"/>
    </xf>
    <xf numFmtId="1" fontId="15" fillId="30" borderId="52" xfId="0" applyNumberFormat="1" applyFont="1" applyFill="1" applyBorder="1" applyAlignment="1">
      <alignment horizontal="center" vertical="center"/>
    </xf>
    <xf numFmtId="1" fontId="15" fillId="0" borderId="52" xfId="0" applyNumberFormat="1" applyFont="1" applyBorder="1" applyAlignment="1">
      <alignment horizontal="center"/>
    </xf>
    <xf numFmtId="1" fontId="15" fillId="0" borderId="50" xfId="0" applyNumberFormat="1" applyFont="1" applyBorder="1" applyAlignment="1">
      <alignment horizontal="center"/>
    </xf>
    <xf numFmtId="0" fontId="15" fillId="0" borderId="44" xfId="0" applyFont="1" applyBorder="1"/>
    <xf numFmtId="0" fontId="15" fillId="33" borderId="44" xfId="0" applyFont="1" applyFill="1" applyBorder="1"/>
    <xf numFmtId="1" fontId="15" fillId="0" borderId="44" xfId="0" applyNumberFormat="1" applyFont="1" applyBorder="1" applyAlignment="1">
      <alignment horizontal="center"/>
    </xf>
    <xf numFmtId="1" fontId="15" fillId="48" borderId="44" xfId="0" applyNumberFormat="1" applyFont="1" applyFill="1" applyBorder="1" applyAlignment="1">
      <alignment horizontal="center"/>
    </xf>
    <xf numFmtId="165" fontId="15" fillId="34" borderId="44" xfId="0" applyNumberFormat="1" applyFont="1" applyFill="1" applyBorder="1" applyAlignment="1">
      <alignment horizontal="center"/>
    </xf>
    <xf numFmtId="1" fontId="15" fillId="33" borderId="44" xfId="0" applyNumberFormat="1" applyFont="1" applyFill="1" applyBorder="1" applyAlignment="1">
      <alignment horizontal="center"/>
    </xf>
    <xf numFmtId="1" fontId="15" fillId="34" borderId="44" xfId="0" applyNumberFormat="1" applyFont="1" applyFill="1" applyBorder="1" applyAlignment="1">
      <alignment horizontal="center"/>
    </xf>
    <xf numFmtId="0" fontId="15" fillId="49" borderId="44" xfId="0" applyFont="1" applyFill="1" applyBorder="1"/>
    <xf numFmtId="1" fontId="15" fillId="49" borderId="44" xfId="0" applyNumberFormat="1" applyFont="1" applyFill="1" applyBorder="1" applyAlignment="1">
      <alignment horizontal="center"/>
    </xf>
    <xf numFmtId="165" fontId="15" fillId="49" borderId="44" xfId="0" applyNumberFormat="1" applyFont="1" applyFill="1" applyBorder="1" applyAlignment="1">
      <alignment horizontal="center"/>
    </xf>
    <xf numFmtId="188" fontId="98" fillId="53" borderId="14" xfId="101" applyNumberFormat="1" applyFont="1" applyFill="1" applyBorder="1" applyAlignment="1" applyProtection="1">
      <alignment horizontal="center" vertical="center"/>
      <protection locked="0"/>
    </xf>
    <xf numFmtId="188" fontId="98" fillId="53" borderId="18" xfId="101" applyNumberFormat="1" applyFont="1" applyFill="1" applyBorder="1" applyAlignment="1" applyProtection="1">
      <alignment horizontal="center" vertical="center"/>
      <protection locked="0"/>
    </xf>
    <xf numFmtId="189" fontId="98" fillId="53" borderId="18" xfId="101" applyNumberFormat="1" applyFont="1" applyFill="1" applyBorder="1" applyAlignment="1" applyProtection="1">
      <alignment horizontal="center" vertical="center"/>
      <protection locked="0"/>
    </xf>
    <xf numFmtId="0" fontId="98" fillId="53" borderId="18" xfId="101" applyFont="1" applyFill="1" applyBorder="1" applyAlignment="1" applyProtection="1">
      <alignment horizontal="center" vertical="center"/>
      <protection locked="0"/>
    </xf>
    <xf numFmtId="165" fontId="98" fillId="55" borderId="18" xfId="101" applyNumberFormat="1" applyFont="1" applyFill="1" applyBorder="1" applyAlignment="1" applyProtection="1">
      <alignment horizontal="center"/>
      <protection locked="0"/>
    </xf>
    <xf numFmtId="193" fontId="98" fillId="53" borderId="18" xfId="101" applyNumberFormat="1" applyFont="1" applyFill="1" applyBorder="1" applyAlignment="1" applyProtection="1">
      <alignment horizontal="center" vertical="center"/>
      <protection locked="0"/>
    </xf>
    <xf numFmtId="166" fontId="98" fillId="53" borderId="18" xfId="101" applyNumberFormat="1" applyFont="1" applyFill="1" applyBorder="1" applyAlignment="1" applyProtection="1">
      <alignment horizontal="center" vertical="center"/>
      <protection locked="0"/>
    </xf>
    <xf numFmtId="194" fontId="98" fillId="55" borderId="18" xfId="101" applyNumberFormat="1" applyFont="1" applyFill="1" applyBorder="1" applyAlignment="1" applyProtection="1">
      <alignment horizontal="center" vertical="center"/>
      <protection locked="0"/>
    </xf>
    <xf numFmtId="195" fontId="98" fillId="55" borderId="18" xfId="101" applyNumberFormat="1" applyFont="1" applyFill="1" applyBorder="1" applyAlignment="1" applyProtection="1">
      <alignment horizontal="center" vertical="center"/>
      <protection locked="0"/>
    </xf>
    <xf numFmtId="9" fontId="98" fillId="53" borderId="18" xfId="101" applyNumberFormat="1" applyFont="1" applyFill="1" applyBorder="1" applyAlignment="1" applyProtection="1">
      <alignment horizontal="center" vertical="center"/>
      <protection locked="0"/>
    </xf>
    <xf numFmtId="9" fontId="98" fillId="55" borderId="18" xfId="101" applyNumberFormat="1" applyFont="1" applyFill="1" applyBorder="1" applyAlignment="1" applyProtection="1">
      <alignment horizontal="center" vertical="center"/>
      <protection locked="0"/>
    </xf>
    <xf numFmtId="9" fontId="98" fillId="57" borderId="14" xfId="101" applyNumberFormat="1" applyFont="1" applyFill="1" applyBorder="1" applyAlignment="1" applyProtection="1">
      <alignment horizontal="center" vertical="center"/>
      <protection locked="0"/>
    </xf>
    <xf numFmtId="196" fontId="98" fillId="57" borderId="18" xfId="101" applyNumberFormat="1" applyFont="1" applyFill="1" applyBorder="1" applyAlignment="1" applyProtection="1">
      <alignment horizontal="center" vertical="center"/>
      <protection locked="0"/>
    </xf>
    <xf numFmtId="166" fontId="98" fillId="55" borderId="18" xfId="101" applyNumberFormat="1" applyFont="1" applyFill="1" applyBorder="1" applyAlignment="1" applyProtection="1">
      <alignment horizontal="center" vertical="center"/>
      <protection locked="0"/>
    </xf>
    <xf numFmtId="0" fontId="98" fillId="55" borderId="18" xfId="101" applyFont="1" applyFill="1" applyBorder="1" applyAlignment="1" applyProtection="1">
      <alignment horizontal="center" vertical="center"/>
      <protection locked="0"/>
    </xf>
    <xf numFmtId="196" fontId="98" fillId="55" borderId="18" xfId="101" applyNumberFormat="1" applyFont="1" applyFill="1" applyBorder="1" applyAlignment="1" applyProtection="1">
      <alignment horizontal="center" vertical="center"/>
      <protection locked="0"/>
    </xf>
    <xf numFmtId="198" fontId="98" fillId="53" borderId="18" xfId="101" applyNumberFormat="1" applyFont="1" applyFill="1" applyBorder="1" applyAlignment="1" applyProtection="1">
      <alignment horizontal="center" vertical="center"/>
      <protection locked="0"/>
    </xf>
    <xf numFmtId="196" fontId="98" fillId="53" borderId="18" xfId="101" applyNumberFormat="1" applyFont="1" applyFill="1" applyBorder="1" applyAlignment="1" applyProtection="1">
      <alignment horizontal="center" vertical="center"/>
      <protection locked="0"/>
    </xf>
    <xf numFmtId="200" fontId="98" fillId="55" borderId="19" xfId="101" applyNumberFormat="1" applyFont="1" applyFill="1" applyBorder="1" applyAlignment="1" applyProtection="1">
      <alignment horizontal="center" vertical="center"/>
      <protection locked="0"/>
    </xf>
    <xf numFmtId="201" fontId="98" fillId="52" borderId="25" xfId="117" applyNumberFormat="1" applyFont="1" applyFill="1" applyBorder="1"/>
    <xf numFmtId="201" fontId="98" fillId="52" borderId="18" xfId="117" applyNumberFormat="1" applyFont="1" applyFill="1" applyBorder="1"/>
    <xf numFmtId="201" fontId="98" fillId="52" borderId="19" xfId="117" applyNumberFormat="1" applyFont="1" applyFill="1" applyBorder="1"/>
    <xf numFmtId="189" fontId="98" fillId="53" borderId="14" xfId="101" applyNumberFormat="1" applyFont="1" applyFill="1" applyBorder="1" applyAlignment="1" applyProtection="1">
      <alignment horizontal="center" vertical="center"/>
      <protection locked="0"/>
    </xf>
    <xf numFmtId="196" fontId="99" fillId="55" borderId="14" xfId="101" applyNumberFormat="1" applyFont="1" applyFill="1" applyBorder="1" applyAlignment="1" applyProtection="1">
      <alignment horizontal="center" vertical="center"/>
      <protection locked="0"/>
    </xf>
    <xf numFmtId="0" fontId="85" fillId="49" borderId="22" xfId="101" applyFont="1" applyFill="1" applyBorder="1" applyAlignment="1" applyProtection="1">
      <alignment vertical="center"/>
      <protection hidden="1"/>
    </xf>
    <xf numFmtId="0" fontId="85" fillId="56" borderId="22" xfId="101" applyFont="1" applyFill="1" applyBorder="1" applyAlignment="1" applyProtection="1">
      <alignment vertical="center"/>
      <protection hidden="1"/>
    </xf>
    <xf numFmtId="0" fontId="85" fillId="49" borderId="22" xfId="101" applyFont="1" applyFill="1" applyBorder="1" applyAlignment="1" applyProtection="1">
      <alignment horizontal="center" vertical="center"/>
      <protection hidden="1"/>
    </xf>
    <xf numFmtId="0" fontId="85" fillId="49" borderId="22" xfId="101" applyFont="1" applyFill="1" applyBorder="1" applyAlignment="1" applyProtection="1">
      <alignment horizontal="center"/>
      <protection hidden="1"/>
    </xf>
    <xf numFmtId="0" fontId="15" fillId="56" borderId="22" xfId="101" applyFont="1" applyFill="1" applyBorder="1" applyProtection="1">
      <protection hidden="1"/>
    </xf>
    <xf numFmtId="0" fontId="15" fillId="56" borderId="25" xfId="101" applyFont="1" applyFill="1" applyBorder="1" applyProtection="1">
      <protection hidden="1"/>
    </xf>
    <xf numFmtId="0" fontId="85" fillId="56" borderId="0" xfId="101" applyFont="1" applyFill="1" applyAlignment="1" applyProtection="1">
      <alignment horizontal="left"/>
      <protection hidden="1"/>
    </xf>
    <xf numFmtId="0" fontId="85" fillId="56" borderId="0" xfId="101" applyFont="1" applyFill="1" applyAlignment="1" applyProtection="1">
      <alignment horizontal="center"/>
      <protection hidden="1"/>
    </xf>
    <xf numFmtId="0" fontId="85" fillId="47" borderId="0" xfId="101" applyFont="1" applyFill="1" applyAlignment="1" applyProtection="1">
      <alignment horizontal="center"/>
      <protection hidden="1"/>
    </xf>
    <xf numFmtId="0" fontId="85" fillId="47" borderId="0" xfId="101" applyFont="1" applyFill="1" applyProtection="1">
      <protection hidden="1"/>
    </xf>
    <xf numFmtId="0" fontId="85" fillId="56" borderId="0" xfId="101" applyFont="1" applyFill="1" applyProtection="1">
      <protection hidden="1"/>
    </xf>
    <xf numFmtId="0" fontId="89" fillId="56" borderId="18" xfId="101" applyFont="1" applyFill="1" applyBorder="1" applyProtection="1">
      <protection hidden="1"/>
    </xf>
    <xf numFmtId="0" fontId="85" fillId="49" borderId="15" xfId="101" applyFont="1" applyFill="1" applyBorder="1" applyAlignment="1" applyProtection="1">
      <alignment horizontal="center"/>
      <protection hidden="1"/>
    </xf>
    <xf numFmtId="2" fontId="85" fillId="49" borderId="0" xfId="101" applyNumberFormat="1" applyFont="1" applyFill="1" applyProtection="1">
      <protection hidden="1"/>
    </xf>
    <xf numFmtId="0" fontId="15" fillId="56" borderId="0" xfId="101" applyFont="1" applyFill="1" applyAlignment="1" applyProtection="1">
      <alignment horizontal="center" vertical="center"/>
      <protection hidden="1"/>
    </xf>
    <xf numFmtId="3" fontId="85" fillId="49" borderId="15" xfId="101" applyNumberFormat="1" applyFont="1" applyFill="1" applyBorder="1" applyAlignment="1" applyProtection="1">
      <alignment horizontal="center"/>
      <protection hidden="1"/>
    </xf>
    <xf numFmtId="0" fontId="85" fillId="40" borderId="0" xfId="101" applyFont="1" applyFill="1" applyAlignment="1" applyProtection="1">
      <alignment horizontal="center"/>
      <protection hidden="1"/>
    </xf>
    <xf numFmtId="0" fontId="90" fillId="56" borderId="0" xfId="101" applyFont="1" applyFill="1" applyProtection="1">
      <protection hidden="1"/>
    </xf>
    <xf numFmtId="0" fontId="85" fillId="56" borderId="18" xfId="101" applyFont="1" applyFill="1" applyBorder="1" applyProtection="1">
      <protection hidden="1"/>
    </xf>
    <xf numFmtId="165" fontId="15" fillId="49" borderId="15" xfId="101" applyNumberFormat="1" applyFont="1" applyFill="1" applyBorder="1" applyProtection="1">
      <protection locked="0" hidden="1"/>
    </xf>
    <xf numFmtId="165" fontId="15" fillId="56" borderId="0" xfId="101" applyNumberFormat="1" applyFont="1" applyFill="1" applyAlignment="1" applyProtection="1">
      <alignment horizontal="center"/>
      <protection hidden="1"/>
    </xf>
    <xf numFmtId="167" fontId="85" fillId="49" borderId="0" xfId="101" applyNumberFormat="1" applyFont="1" applyFill="1" applyProtection="1">
      <protection hidden="1"/>
    </xf>
    <xf numFmtId="203" fontId="15" fillId="49" borderId="0" xfId="101" applyNumberFormat="1" applyFont="1" applyFill="1" applyProtection="1">
      <protection hidden="1"/>
    </xf>
    <xf numFmtId="9" fontId="85" fillId="49" borderId="0" xfId="101" applyNumberFormat="1" applyFont="1" applyFill="1" applyProtection="1">
      <protection hidden="1"/>
    </xf>
    <xf numFmtId="3" fontId="15" fillId="49" borderId="0" xfId="101" applyNumberFormat="1" applyFont="1" applyFill="1" applyAlignment="1" applyProtection="1">
      <alignment horizontal="right"/>
      <protection hidden="1"/>
    </xf>
    <xf numFmtId="4" fontId="15" fillId="49" borderId="0" xfId="101" applyNumberFormat="1" applyFont="1" applyFill="1" applyAlignment="1" applyProtection="1">
      <alignment horizontal="right"/>
      <protection hidden="1"/>
    </xf>
    <xf numFmtId="165" fontId="15" fillId="56" borderId="0" xfId="101" applyNumberFormat="1" applyFont="1" applyFill="1" applyProtection="1">
      <protection hidden="1"/>
    </xf>
    <xf numFmtId="165" fontId="15" fillId="56" borderId="18" xfId="101" applyNumberFormat="1" applyFont="1" applyFill="1" applyBorder="1" applyProtection="1">
      <protection hidden="1"/>
    </xf>
    <xf numFmtId="9" fontId="15" fillId="49" borderId="0" xfId="101" applyNumberFormat="1" applyFont="1" applyFill="1" applyAlignment="1" applyProtection="1">
      <alignment horizontal="right"/>
      <protection locked="0" hidden="1"/>
    </xf>
    <xf numFmtId="198" fontId="15" fillId="55" borderId="14" xfId="101" applyNumberFormat="1" applyFont="1" applyFill="1" applyBorder="1" applyAlignment="1" applyProtection="1">
      <alignment horizontal="center" vertical="center"/>
      <protection locked="0"/>
    </xf>
    <xf numFmtId="207" fontId="15" fillId="49" borderId="44" xfId="116" applyNumberFormat="1" applyFont="1" applyFill="1" applyBorder="1" applyAlignment="1">
      <alignment horizontal="center"/>
    </xf>
    <xf numFmtId="165" fontId="15" fillId="55" borderId="0" xfId="101" applyNumberFormat="1" applyFont="1" applyFill="1" applyAlignment="1" applyProtection="1">
      <alignment horizontal="center" vertical="top" wrapText="1"/>
      <protection locked="0"/>
    </xf>
    <xf numFmtId="165" fontId="15" fillId="55" borderId="18" xfId="101" applyNumberFormat="1" applyFont="1" applyFill="1" applyBorder="1" applyAlignment="1" applyProtection="1">
      <alignment horizontal="center" vertical="top" wrapText="1"/>
      <protection locked="0"/>
    </xf>
    <xf numFmtId="165" fontId="84" fillId="55" borderId="0" xfId="101" applyNumberFormat="1" applyFont="1" applyFill="1" applyAlignment="1" applyProtection="1">
      <alignment horizontal="center" vertical="top" wrapText="1"/>
      <protection locked="0"/>
    </xf>
    <xf numFmtId="165" fontId="15" fillId="55" borderId="23" xfId="101" applyNumberFormat="1" applyFont="1" applyFill="1" applyBorder="1" applyAlignment="1" applyProtection="1">
      <alignment horizontal="center" vertical="top" wrapText="1"/>
      <protection locked="0"/>
    </xf>
    <xf numFmtId="165" fontId="84" fillId="55" borderId="23" xfId="101" applyNumberFormat="1" applyFont="1" applyFill="1" applyBorder="1" applyAlignment="1" applyProtection="1">
      <alignment horizontal="center" vertical="top" wrapText="1"/>
      <protection locked="0"/>
    </xf>
    <xf numFmtId="165" fontId="15" fillId="55" borderId="19" xfId="101" applyNumberFormat="1" applyFont="1" applyFill="1" applyBorder="1" applyAlignment="1" applyProtection="1">
      <alignment horizontal="center" vertical="top" wrapText="1"/>
      <protection locked="0"/>
    </xf>
    <xf numFmtId="0" fontId="84" fillId="49" borderId="0" xfId="101" applyFont="1" applyFill="1" applyAlignment="1" applyProtection="1">
      <alignment horizontal="center"/>
      <protection hidden="1"/>
    </xf>
    <xf numFmtId="3" fontId="85" fillId="49" borderId="0" xfId="101" applyNumberFormat="1" applyFont="1" applyFill="1" applyAlignment="1" applyProtection="1">
      <alignment horizontal="center"/>
      <protection hidden="1"/>
    </xf>
    <xf numFmtId="0" fontId="15" fillId="49" borderId="0" xfId="101" applyFont="1" applyFill="1" applyProtection="1">
      <protection locked="0"/>
    </xf>
    <xf numFmtId="4" fontId="15" fillId="49" borderId="22" xfId="101" applyNumberFormat="1" applyFont="1" applyFill="1" applyBorder="1" applyProtection="1">
      <protection hidden="1"/>
    </xf>
    <xf numFmtId="2" fontId="15" fillId="49" borderId="22" xfId="101" applyNumberFormat="1" applyFont="1" applyFill="1" applyBorder="1" applyProtection="1">
      <protection hidden="1"/>
    </xf>
    <xf numFmtId="4" fontId="85" fillId="49" borderId="0" xfId="101" applyNumberFormat="1" applyFont="1" applyFill="1" applyProtection="1">
      <protection hidden="1"/>
    </xf>
    <xf numFmtId="165" fontId="85" fillId="49" borderId="0" xfId="101" applyNumberFormat="1" applyFont="1" applyFill="1" applyProtection="1">
      <protection hidden="1"/>
    </xf>
    <xf numFmtId="1" fontId="85" fillId="56" borderId="0" xfId="101" applyNumberFormat="1" applyFont="1" applyFill="1" applyProtection="1">
      <protection hidden="1"/>
    </xf>
    <xf numFmtId="1" fontId="85" fillId="56" borderId="18" xfId="101" applyNumberFormat="1" applyFont="1" applyFill="1" applyBorder="1" applyProtection="1">
      <protection hidden="1"/>
    </xf>
    <xf numFmtId="166" fontId="15" fillId="49" borderId="22" xfId="101" applyNumberFormat="1" applyFont="1" applyFill="1" applyBorder="1" applyProtection="1">
      <protection hidden="1"/>
    </xf>
    <xf numFmtId="2" fontId="84" fillId="49" borderId="0" xfId="101" applyNumberFormat="1" applyFont="1" applyFill="1" applyProtection="1">
      <protection hidden="1"/>
    </xf>
    <xf numFmtId="166" fontId="84" fillId="49" borderId="22" xfId="101" applyNumberFormat="1" applyFont="1" applyFill="1" applyBorder="1" applyProtection="1">
      <protection hidden="1"/>
    </xf>
    <xf numFmtId="2" fontId="99" fillId="49" borderId="0" xfId="101" applyNumberFormat="1" applyFont="1" applyFill="1" applyProtection="1">
      <protection hidden="1"/>
    </xf>
    <xf numFmtId="9" fontId="99" fillId="49" borderId="0" xfId="101" applyNumberFormat="1" applyFont="1" applyFill="1" applyProtection="1">
      <protection locked="0" hidden="1"/>
    </xf>
    <xf numFmtId="165" fontId="15" fillId="0" borderId="44" xfId="0" applyNumberFormat="1" applyFont="1" applyBorder="1" applyAlignment="1">
      <alignment horizontal="center"/>
    </xf>
    <xf numFmtId="165" fontId="11" fillId="0" borderId="44" xfId="0" applyNumberFormat="1" applyFont="1" applyBorder="1" applyAlignment="1">
      <alignment horizontal="center"/>
    </xf>
    <xf numFmtId="165" fontId="12" fillId="30" borderId="44" xfId="0" applyNumberFormat="1" applyFont="1" applyFill="1" applyBorder="1" applyAlignment="1">
      <alignment horizontal="center"/>
    </xf>
    <xf numFmtId="3" fontId="15" fillId="0" borderId="44" xfId="0" applyNumberFormat="1" applyFont="1" applyBorder="1" applyAlignment="1">
      <alignment horizontal="center"/>
    </xf>
    <xf numFmtId="1" fontId="99" fillId="49" borderId="0" xfId="101" applyNumberFormat="1" applyFont="1" applyFill="1" applyProtection="1">
      <protection hidden="1"/>
    </xf>
    <xf numFmtId="165" fontId="64" fillId="0" borderId="0" xfId="0" applyNumberFormat="1" applyFont="1"/>
    <xf numFmtId="3" fontId="11" fillId="0" borderId="67" xfId="0" applyNumberFormat="1" applyFont="1" applyBorder="1" applyAlignment="1">
      <alignment horizontal="center"/>
    </xf>
    <xf numFmtId="3" fontId="11" fillId="0" borderId="44" xfId="0" applyNumberFormat="1" applyFont="1" applyBorder="1" applyAlignment="1">
      <alignment horizontal="center"/>
    </xf>
    <xf numFmtId="166" fontId="12" fillId="30" borderId="44" xfId="0" applyNumberFormat="1" applyFont="1" applyFill="1" applyBorder="1" applyAlignment="1">
      <alignment horizontal="center"/>
    </xf>
    <xf numFmtId="0" fontId="102" fillId="0" borderId="0" xfId="112" applyFont="1"/>
    <xf numFmtId="0" fontId="4" fillId="0" borderId="0" xfId="112" applyFont="1" applyAlignment="1">
      <alignment horizontal="center"/>
    </xf>
    <xf numFmtId="1" fontId="0" fillId="0" borderId="42" xfId="0" applyNumberFormat="1" applyBorder="1" applyAlignment="1">
      <alignment horizontal="center"/>
    </xf>
    <xf numFmtId="3" fontId="12" fillId="0" borderId="38" xfId="0" applyNumberFormat="1" applyFont="1" applyBorder="1" applyAlignment="1">
      <alignment horizontal="center"/>
    </xf>
    <xf numFmtId="1" fontId="0" fillId="34" borderId="34" xfId="0" applyNumberFormat="1" applyFill="1" applyBorder="1" applyAlignment="1" applyProtection="1">
      <alignment horizontal="center"/>
      <protection locked="0"/>
    </xf>
    <xf numFmtId="1" fontId="11" fillId="0" borderId="43" xfId="0" applyNumberFormat="1" applyFont="1" applyBorder="1" applyAlignment="1">
      <alignment horizontal="center"/>
    </xf>
    <xf numFmtId="1" fontId="11" fillId="30" borderId="37" xfId="0" applyNumberFormat="1" applyFont="1" applyFill="1" applyBorder="1" applyAlignment="1">
      <alignment horizontal="left"/>
    </xf>
    <xf numFmtId="0" fontId="94" fillId="0" borderId="0" xfId="117" applyFont="1"/>
    <xf numFmtId="9" fontId="94" fillId="0" borderId="0" xfId="106" applyFont="1" applyFill="1"/>
    <xf numFmtId="0" fontId="15" fillId="0" borderId="0" xfId="117" applyFont="1" applyAlignment="1">
      <alignment horizontal="center"/>
    </xf>
    <xf numFmtId="0" fontId="85" fillId="0" borderId="0" xfId="117" applyFont="1"/>
    <xf numFmtId="0" fontId="85" fillId="0" borderId="20" xfId="117" applyFont="1" applyBorder="1"/>
    <xf numFmtId="9" fontId="85" fillId="0" borderId="0" xfId="117" applyNumberFormat="1" applyFont="1"/>
    <xf numFmtId="9" fontId="85" fillId="0" borderId="0" xfId="106" applyFont="1" applyFill="1"/>
    <xf numFmtId="0" fontId="85" fillId="0" borderId="60" xfId="117" applyFont="1" applyBorder="1" applyAlignment="1">
      <alignment vertical="top" wrapText="1"/>
    </xf>
    <xf numFmtId="0" fontId="85" fillId="0" borderId="61" xfId="117" applyFont="1" applyBorder="1"/>
    <xf numFmtId="0" fontId="94" fillId="0" borderId="62" xfId="117" applyFont="1" applyBorder="1"/>
    <xf numFmtId="0" fontId="94" fillId="0" borderId="59" xfId="117" applyFont="1" applyBorder="1"/>
    <xf numFmtId="0" fontId="94" fillId="0" borderId="63" xfId="117" applyFont="1" applyBorder="1"/>
    <xf numFmtId="3" fontId="15" fillId="0" borderId="0" xfId="117" applyNumberFormat="1" applyFont="1"/>
    <xf numFmtId="0" fontId="87" fillId="0" borderId="64" xfId="117" applyFont="1" applyBorder="1"/>
    <xf numFmtId="9" fontId="87" fillId="0" borderId="60" xfId="119" applyFont="1" applyFill="1" applyBorder="1"/>
    <xf numFmtId="0" fontId="87" fillId="0" borderId="60" xfId="117" applyFont="1" applyBorder="1"/>
    <xf numFmtId="9" fontId="87" fillId="0" borderId="61" xfId="119" applyFont="1" applyFill="1" applyBorder="1"/>
    <xf numFmtId="0" fontId="15" fillId="0" borderId="60" xfId="117" applyFont="1" applyBorder="1" applyAlignment="1">
      <alignment vertical="top" wrapText="1"/>
    </xf>
    <xf numFmtId="206" fontId="95" fillId="0" borderId="60" xfId="117" applyNumberFormat="1" applyFont="1" applyBorder="1" applyAlignment="1">
      <alignment vertical="top" wrapText="1"/>
    </xf>
    <xf numFmtId="3" fontId="15" fillId="0" borderId="60" xfId="117" applyNumberFormat="1" applyFont="1" applyBorder="1"/>
    <xf numFmtId="3" fontId="15" fillId="0" borderId="61" xfId="117" applyNumberFormat="1" applyFont="1" applyBorder="1"/>
    <xf numFmtId="2" fontId="94" fillId="0" borderId="0" xfId="117" applyNumberFormat="1" applyFont="1"/>
    <xf numFmtId="0" fontId="94" fillId="0" borderId="64" xfId="117" applyFont="1" applyBorder="1"/>
    <xf numFmtId="9" fontId="94" fillId="0" borderId="60" xfId="119" applyFont="1" applyFill="1" applyBorder="1"/>
    <xf numFmtId="3" fontId="94" fillId="0" borderId="60" xfId="119" applyNumberFormat="1" applyFont="1" applyFill="1" applyBorder="1"/>
    <xf numFmtId="0" fontId="94" fillId="0" borderId="60" xfId="117" applyFont="1" applyBorder="1"/>
    <xf numFmtId="166" fontId="94" fillId="0" borderId="61" xfId="117" applyNumberFormat="1" applyFont="1" applyBorder="1"/>
    <xf numFmtId="3" fontId="15" fillId="0" borderId="64" xfId="117" applyNumberFormat="1" applyFont="1" applyBorder="1"/>
    <xf numFmtId="0" fontId="95" fillId="0" borderId="60" xfId="117" applyFont="1" applyBorder="1" applyAlignment="1">
      <alignment vertical="top" wrapText="1"/>
    </xf>
    <xf numFmtId="0" fontId="15" fillId="0" borderId="0" xfId="117" applyFont="1"/>
    <xf numFmtId="3" fontId="85" fillId="0" borderId="0" xfId="117" applyNumberFormat="1" applyFont="1"/>
    <xf numFmtId="0" fontId="87" fillId="0" borderId="0" xfId="117" applyFont="1"/>
    <xf numFmtId="3" fontId="85" fillId="0" borderId="65" xfId="117" applyNumberFormat="1" applyFont="1" applyBorder="1"/>
    <xf numFmtId="3" fontId="85" fillId="0" borderId="66" xfId="117" applyNumberFormat="1" applyFont="1" applyBorder="1"/>
    <xf numFmtId="3" fontId="85" fillId="0" borderId="22" xfId="117" applyNumberFormat="1" applyFont="1" applyBorder="1"/>
    <xf numFmtId="0" fontId="94" fillId="0" borderId="66" xfId="117" applyFont="1" applyBorder="1"/>
    <xf numFmtId="0" fontId="94" fillId="0" borderId="65" xfId="117" applyFont="1" applyBorder="1"/>
    <xf numFmtId="0" fontId="15" fillId="49" borderId="19" xfId="101" applyFont="1" applyFill="1" applyBorder="1"/>
    <xf numFmtId="0" fontId="15" fillId="49" borderId="68" xfId="101" applyFont="1" applyFill="1" applyBorder="1" applyProtection="1">
      <protection hidden="1"/>
    </xf>
    <xf numFmtId="0" fontId="15" fillId="49" borderId="69" xfId="101" applyFont="1" applyFill="1" applyBorder="1" applyProtection="1">
      <protection hidden="1"/>
    </xf>
    <xf numFmtId="165" fontId="15" fillId="49" borderId="16" xfId="101" applyNumberFormat="1" applyFont="1" applyFill="1" applyBorder="1" applyProtection="1">
      <protection hidden="1"/>
    </xf>
    <xf numFmtId="165" fontId="15" fillId="49" borderId="19" xfId="101" applyNumberFormat="1" applyFont="1" applyFill="1" applyBorder="1" applyProtection="1">
      <protection hidden="1"/>
    </xf>
    <xf numFmtId="166" fontId="11" fillId="30" borderId="35" xfId="0" applyNumberFormat="1" applyFont="1" applyFill="1" applyBorder="1" applyAlignment="1">
      <alignment horizontal="center"/>
    </xf>
    <xf numFmtId="49" fontId="4" fillId="0" borderId="0" xfId="112" applyNumberFormat="1" applyFont="1"/>
    <xf numFmtId="49" fontId="103" fillId="0" borderId="0" xfId="112" applyNumberFormat="1" applyFont="1" applyAlignment="1">
      <alignment wrapText="1"/>
    </xf>
    <xf numFmtId="49" fontId="11" fillId="49" borderId="0" xfId="112" applyNumberFormat="1" applyFont="1" applyFill="1"/>
    <xf numFmtId="2" fontId="4" fillId="0" borderId="0" xfId="112" quotePrefix="1" applyNumberFormat="1" applyFont="1" applyAlignment="1">
      <alignment horizontal="center"/>
    </xf>
    <xf numFmtId="49" fontId="4" fillId="0" borderId="0" xfId="112" applyNumberFormat="1" applyFont="1" applyAlignment="1">
      <alignment wrapText="1"/>
    </xf>
    <xf numFmtId="0" fontId="11" fillId="0" borderId="0" xfId="101" applyAlignment="1">
      <alignment vertical="top"/>
    </xf>
    <xf numFmtId="0" fontId="11" fillId="0" borderId="0" xfId="101" applyAlignment="1">
      <alignment horizontal="left" wrapText="1"/>
    </xf>
    <xf numFmtId="0" fontId="75" fillId="0" borderId="0" xfId="101" applyFont="1"/>
    <xf numFmtId="0" fontId="11" fillId="0" borderId="0" xfId="112" applyFont="1"/>
    <xf numFmtId="0" fontId="11" fillId="0" borderId="0" xfId="101" applyAlignment="1">
      <alignment horizontal="left" vertical="top" wrapText="1"/>
    </xf>
    <xf numFmtId="0" fontId="12" fillId="0" borderId="68" xfId="0" applyFont="1" applyBorder="1" applyAlignment="1">
      <alignment vertical="center"/>
    </xf>
    <xf numFmtId="0" fontId="12" fillId="0" borderId="70" xfId="0" applyFont="1" applyBorder="1" applyAlignment="1">
      <alignment vertical="center"/>
    </xf>
    <xf numFmtId="0" fontId="12" fillId="0" borderId="69" xfId="0" applyFont="1" applyBorder="1" applyAlignment="1">
      <alignment vertical="center"/>
    </xf>
    <xf numFmtId="0" fontId="11" fillId="36" borderId="71" xfId="0" applyFont="1" applyFill="1" applyBorder="1" applyAlignment="1">
      <alignment horizontal="center" textRotation="90" wrapText="1"/>
    </xf>
    <xf numFmtId="0" fontId="11" fillId="36" borderId="72" xfId="0" applyFont="1" applyFill="1" applyBorder="1" applyAlignment="1">
      <alignment horizontal="center" textRotation="90" wrapText="1"/>
    </xf>
    <xf numFmtId="165" fontId="51" fillId="0" borderId="0" xfId="83" applyNumberFormat="1" applyFont="1" applyAlignment="1">
      <alignment horizontal="center"/>
    </xf>
    <xf numFmtId="165" fontId="51" fillId="0" borderId="18" xfId="83" applyNumberFormat="1" applyFont="1" applyBorder="1" applyAlignment="1">
      <alignment horizontal="center"/>
    </xf>
    <xf numFmtId="165" fontId="51" fillId="0" borderId="70" xfId="83" applyNumberFormat="1" applyFont="1" applyBorder="1" applyAlignment="1">
      <alignment horizontal="center"/>
    </xf>
    <xf numFmtId="165" fontId="51" fillId="0" borderId="69" xfId="83" applyNumberFormat="1" applyFont="1" applyBorder="1" applyAlignment="1">
      <alignment horizontal="center"/>
    </xf>
    <xf numFmtId="165" fontId="51" fillId="0" borderId="23" xfId="83" applyNumberFormat="1" applyFont="1" applyBorder="1" applyAlignment="1">
      <alignment horizontal="center"/>
    </xf>
    <xf numFmtId="165" fontId="51" fillId="0" borderId="19" xfId="83" applyNumberFormat="1" applyFont="1" applyBorder="1" applyAlignment="1">
      <alignment horizontal="center"/>
    </xf>
    <xf numFmtId="0" fontId="11" fillId="36" borderId="73" xfId="0" applyFont="1" applyFill="1" applyBorder="1" applyAlignment="1">
      <alignment horizontal="center" textRotation="90" wrapText="1"/>
    </xf>
    <xf numFmtId="165" fontId="50" fillId="0" borderId="74" xfId="0" applyNumberFormat="1" applyFont="1" applyBorder="1" applyAlignment="1">
      <alignment horizontal="center" vertical="center"/>
    </xf>
    <xf numFmtId="165" fontId="50" fillId="0" borderId="75" xfId="0" applyNumberFormat="1" applyFont="1" applyBorder="1" applyAlignment="1">
      <alignment horizontal="center" vertical="center"/>
    </xf>
    <xf numFmtId="0" fontId="51" fillId="0" borderId="15" xfId="83" applyFont="1" applyBorder="1" applyAlignment="1">
      <alignment horizontal="center"/>
    </xf>
    <xf numFmtId="2" fontId="51" fillId="0" borderId="18" xfId="83" applyNumberFormat="1" applyFont="1" applyBorder="1" applyAlignment="1">
      <alignment horizontal="center"/>
    </xf>
    <xf numFmtId="0" fontId="51" fillId="0" borderId="68" xfId="83" applyFont="1" applyBorder="1" applyAlignment="1">
      <alignment horizontal="center"/>
    </xf>
    <xf numFmtId="2" fontId="51" fillId="0" borderId="69" xfId="83" applyNumberFormat="1" applyFont="1" applyBorder="1" applyAlignment="1">
      <alignment horizontal="center"/>
    </xf>
    <xf numFmtId="0" fontId="51" fillId="0" borderId="16" xfId="83" applyFont="1" applyBorder="1" applyAlignment="1">
      <alignment horizontal="center"/>
    </xf>
    <xf numFmtId="2" fontId="51" fillId="0" borderId="19" xfId="83" applyNumberFormat="1" applyFont="1" applyBorder="1" applyAlignment="1">
      <alignment horizontal="center"/>
    </xf>
    <xf numFmtId="1" fontId="51" fillId="0" borderId="15" xfId="83" applyNumberFormat="1" applyFont="1" applyBorder="1" applyAlignment="1">
      <alignment horizontal="center"/>
    </xf>
    <xf numFmtId="0" fontId="51" fillId="0" borderId="69" xfId="83" applyFont="1" applyBorder="1" applyAlignment="1">
      <alignment horizontal="center"/>
    </xf>
    <xf numFmtId="0" fontId="51" fillId="0" borderId="18" xfId="83" applyFont="1" applyBorder="1" applyAlignment="1">
      <alignment horizontal="center"/>
    </xf>
    <xf numFmtId="0" fontId="51" fillId="0" borderId="19" xfId="83" applyFont="1" applyBorder="1" applyAlignment="1">
      <alignment horizontal="center"/>
    </xf>
    <xf numFmtId="165" fontId="50" fillId="0" borderId="76" xfId="0" applyNumberFormat="1" applyFont="1" applyBorder="1" applyAlignment="1">
      <alignment vertical="center"/>
    </xf>
    <xf numFmtId="165" fontId="50" fillId="0" borderId="77" xfId="0" applyNumberFormat="1" applyFont="1" applyBorder="1" applyAlignment="1">
      <alignment vertical="center"/>
    </xf>
    <xf numFmtId="165" fontId="50" fillId="0" borderId="78" xfId="0" applyNumberFormat="1" applyFont="1" applyBorder="1" applyAlignment="1">
      <alignment vertical="center"/>
    </xf>
    <xf numFmtId="1" fontId="11" fillId="0" borderId="40" xfId="0" applyNumberFormat="1" applyFont="1" applyBorder="1"/>
    <xf numFmtId="1" fontId="11" fillId="0" borderId="36" xfId="0" applyNumberFormat="1" applyFont="1" applyBorder="1"/>
    <xf numFmtId="166" fontId="85" fillId="49" borderId="0" xfId="101" applyNumberFormat="1" applyFont="1" applyFill="1" applyProtection="1">
      <protection hidden="1"/>
    </xf>
    <xf numFmtId="166" fontId="11" fillId="0" borderId="0" xfId="0" applyNumberFormat="1" applyFont="1" applyAlignment="1">
      <alignment horizontal="center"/>
    </xf>
    <xf numFmtId="166" fontId="55" fillId="0" borderId="0" xfId="0" applyNumberFormat="1" applyFont="1" applyAlignment="1">
      <alignment horizontal="center"/>
    </xf>
    <xf numFmtId="1" fontId="11" fillId="0" borderId="36" xfId="0" applyNumberFormat="1" applyFont="1" applyBorder="1" applyAlignment="1">
      <alignment horizontal="center"/>
    </xf>
    <xf numFmtId="1" fontId="15" fillId="0" borderId="0" xfId="0" applyNumberFormat="1" applyFont="1"/>
    <xf numFmtId="1" fontId="15" fillId="30" borderId="51" xfId="0" applyNumberFormat="1" applyFont="1" applyFill="1" applyBorder="1" applyAlignment="1">
      <alignment horizontal="center" vertical="center"/>
    </xf>
    <xf numFmtId="0" fontId="0" fillId="0" borderId="0" xfId="0" applyAlignment="1">
      <alignment vertical="top"/>
    </xf>
    <xf numFmtId="0" fontId="12" fillId="0" borderId="0" xfId="0" applyFont="1" applyAlignment="1">
      <alignment vertical="top"/>
    </xf>
    <xf numFmtId="49" fontId="11" fillId="0" borderId="0" xfId="0" applyNumberFormat="1" applyFont="1" applyAlignment="1">
      <alignment horizontal="right" vertical="top"/>
    </xf>
    <xf numFmtId="0" fontId="11" fillId="0" borderId="0" xfId="0" applyFont="1" applyAlignment="1">
      <alignment horizontal="left" vertical="top" wrapText="1"/>
    </xf>
    <xf numFmtId="0" fontId="14" fillId="0" borderId="0" xfId="0" applyFont="1" applyAlignment="1">
      <alignment horizontal="right" vertical="top"/>
    </xf>
    <xf numFmtId="0" fontId="11" fillId="0" borderId="0" xfId="0" applyFont="1" applyAlignment="1">
      <alignment vertical="top"/>
    </xf>
    <xf numFmtId="0" fontId="14" fillId="0" borderId="0" xfId="0" applyFont="1" applyAlignment="1">
      <alignment vertical="top"/>
    </xf>
    <xf numFmtId="49" fontId="11" fillId="0" borderId="0" xfId="0" applyNumberFormat="1" applyFont="1" applyAlignment="1">
      <alignment horizontal="right" vertical="center"/>
    </xf>
    <xf numFmtId="0" fontId="14" fillId="0" borderId="0" xfId="0" applyFont="1" applyAlignment="1">
      <alignment horizontal="center" vertical="center"/>
    </xf>
    <xf numFmtId="0" fontId="11" fillId="0" borderId="0" xfId="0" applyFont="1" applyAlignment="1">
      <alignment horizontal="left" vertical="center"/>
    </xf>
    <xf numFmtId="0" fontId="55" fillId="0" borderId="0" xfId="0" applyFont="1" applyProtection="1">
      <protection locked="0"/>
    </xf>
    <xf numFmtId="0" fontId="55" fillId="0" borderId="15" xfId="0" applyFont="1" applyBorder="1"/>
    <xf numFmtId="3" fontId="55" fillId="0" borderId="0" xfId="0" applyNumberFormat="1" applyFont="1" applyAlignment="1">
      <alignment horizontal="center"/>
    </xf>
    <xf numFmtId="165" fontId="55" fillId="0" borderId="0" xfId="0" applyNumberFormat="1" applyFont="1" applyAlignment="1">
      <alignment horizontal="center"/>
    </xf>
    <xf numFmtId="165" fontId="55" fillId="0" borderId="0" xfId="0" applyNumberFormat="1" applyFont="1"/>
    <xf numFmtId="0" fontId="2" fillId="0" borderId="0" xfId="113" applyFont="1"/>
    <xf numFmtId="0" fontId="11" fillId="33" borderId="13" xfId="0" applyFont="1" applyFill="1" applyBorder="1" applyProtection="1">
      <protection locked="0"/>
    </xf>
    <xf numFmtId="0" fontId="11" fillId="33" borderId="44" xfId="0" applyFont="1" applyFill="1" applyBorder="1" applyProtection="1">
      <protection locked="0"/>
    </xf>
    <xf numFmtId="3" fontId="11" fillId="48" borderId="67" xfId="0" applyNumberFormat="1" applyFont="1" applyFill="1" applyBorder="1" applyAlignment="1" applyProtection="1">
      <alignment horizontal="center"/>
      <protection locked="0"/>
    </xf>
    <xf numFmtId="3" fontId="11" fillId="48" borderId="44" xfId="0" applyNumberFormat="1" applyFont="1" applyFill="1" applyBorder="1" applyAlignment="1" applyProtection="1">
      <alignment horizontal="center"/>
      <protection locked="0"/>
    </xf>
    <xf numFmtId="2" fontId="11" fillId="34" borderId="44" xfId="0" applyNumberFormat="1" applyFont="1" applyFill="1" applyBorder="1" applyAlignment="1" applyProtection="1">
      <alignment horizontal="center"/>
      <protection locked="0"/>
    </xf>
    <xf numFmtId="165" fontId="11" fillId="34" borderId="44" xfId="0" applyNumberFormat="1" applyFont="1" applyFill="1" applyBorder="1" applyAlignment="1" applyProtection="1">
      <alignment horizontal="center"/>
      <protection locked="0"/>
    </xf>
    <xf numFmtId="1" fontId="11" fillId="33" borderId="44" xfId="0" applyNumberFormat="1" applyFont="1" applyFill="1" applyBorder="1" applyAlignment="1" applyProtection="1">
      <alignment horizontal="center"/>
      <protection locked="0"/>
    </xf>
    <xf numFmtId="1" fontId="11" fillId="34" borderId="44" xfId="0" applyNumberFormat="1" applyFont="1" applyFill="1" applyBorder="1" applyAlignment="1" applyProtection="1">
      <alignment horizontal="center"/>
      <protection locked="0"/>
    </xf>
    <xf numFmtId="165" fontId="11" fillId="0" borderId="44" xfId="0" applyNumberFormat="1" applyFont="1" applyBorder="1" applyAlignment="1" applyProtection="1">
      <alignment horizontal="center"/>
      <protection locked="0"/>
    </xf>
    <xf numFmtId="0" fontId="13" fillId="33" borderId="38" xfId="0" applyFont="1" applyFill="1" applyBorder="1" applyAlignment="1" applyProtection="1">
      <alignment horizontal="left" wrapText="1"/>
      <protection locked="0"/>
    </xf>
    <xf numFmtId="0" fontId="13" fillId="33" borderId="35" xfId="0" applyFont="1" applyFill="1" applyBorder="1" applyAlignment="1" applyProtection="1">
      <alignment horizontal="center" wrapText="1"/>
      <protection locked="0"/>
    </xf>
    <xf numFmtId="3" fontId="11" fillId="34" borderId="35" xfId="0" applyNumberFormat="1" applyFont="1" applyFill="1" applyBorder="1" applyAlignment="1" applyProtection="1">
      <alignment horizontal="center"/>
      <protection locked="0"/>
    </xf>
    <xf numFmtId="14" fontId="11" fillId="0" borderId="0" xfId="0" applyNumberFormat="1" applyFont="1"/>
    <xf numFmtId="0" fontId="13" fillId="0" borderId="34" xfId="0" applyFont="1" applyBorder="1" applyAlignment="1">
      <alignment horizontal="left"/>
    </xf>
    <xf numFmtId="0" fontId="0" fillId="0" borderId="33" xfId="0" applyBorder="1" applyAlignment="1">
      <alignment horizontal="left"/>
    </xf>
    <xf numFmtId="0" fontId="9" fillId="0" borderId="0" xfId="111" applyAlignment="1">
      <alignment horizontal="center"/>
    </xf>
    <xf numFmtId="2" fontId="9" fillId="0" borderId="0" xfId="111" applyNumberFormat="1" applyAlignment="1">
      <alignment horizontal="center"/>
    </xf>
    <xf numFmtId="165" fontId="9" fillId="0" borderId="0" xfId="111" applyNumberFormat="1" applyAlignment="1">
      <alignment horizontal="center"/>
    </xf>
    <xf numFmtId="0" fontId="72" fillId="0" borderId="0" xfId="111" applyFont="1"/>
    <xf numFmtId="1" fontId="75" fillId="49" borderId="0" xfId="0" applyNumberFormat="1" applyFont="1" applyFill="1" applyAlignment="1">
      <alignment horizontal="center"/>
    </xf>
    <xf numFmtId="4" fontId="100" fillId="49" borderId="19" xfId="101" applyNumberFormat="1" applyFont="1" applyFill="1" applyBorder="1" applyProtection="1">
      <protection hidden="1"/>
    </xf>
    <xf numFmtId="0" fontId="84" fillId="49" borderId="68" xfId="101" applyFont="1" applyFill="1" applyBorder="1" applyProtection="1">
      <protection hidden="1"/>
    </xf>
    <xf numFmtId="0" fontId="84" fillId="49" borderId="70" xfId="101" applyFont="1" applyFill="1" applyBorder="1" applyProtection="1">
      <protection hidden="1"/>
    </xf>
    <xf numFmtId="0" fontId="15" fillId="49" borderId="70" xfId="101" applyFont="1" applyFill="1" applyBorder="1" applyProtection="1">
      <protection hidden="1"/>
    </xf>
    <xf numFmtId="0" fontId="84" fillId="49" borderId="15" xfId="101" applyFont="1" applyFill="1" applyBorder="1" applyProtection="1">
      <protection hidden="1"/>
    </xf>
    <xf numFmtId="0" fontId="84" fillId="49" borderId="0" xfId="101" applyFont="1" applyFill="1" applyProtection="1">
      <protection hidden="1"/>
    </xf>
    <xf numFmtId="3" fontId="100" fillId="49" borderId="23" xfId="101" applyNumberFormat="1" applyFont="1" applyFill="1" applyBorder="1" applyProtection="1">
      <protection hidden="1"/>
    </xf>
    <xf numFmtId="0" fontId="84" fillId="49" borderId="23" xfId="101" applyFont="1" applyFill="1" applyBorder="1" applyProtection="1">
      <protection hidden="1"/>
    </xf>
    <xf numFmtId="0" fontId="84" fillId="49" borderId="16" xfId="101" applyFont="1" applyFill="1" applyBorder="1" applyProtection="1">
      <protection hidden="1"/>
    </xf>
    <xf numFmtId="1" fontId="100" fillId="49" borderId="23" xfId="101" applyNumberFormat="1" applyFont="1" applyFill="1" applyBorder="1" applyProtection="1">
      <protection hidden="1"/>
    </xf>
    <xf numFmtId="2" fontId="100" fillId="49" borderId="19" xfId="101" applyNumberFormat="1" applyFont="1" applyFill="1" applyBorder="1" applyProtection="1">
      <protection hidden="1"/>
    </xf>
    <xf numFmtId="4" fontId="15" fillId="49" borderId="19" xfId="101" applyNumberFormat="1" applyFont="1" applyFill="1" applyBorder="1" applyProtection="1">
      <protection hidden="1"/>
    </xf>
    <xf numFmtId="0" fontId="75" fillId="49" borderId="0" xfId="0" applyFont="1" applyFill="1" applyAlignment="1">
      <alignment horizontal="center"/>
    </xf>
    <xf numFmtId="3" fontId="84" fillId="49" borderId="0" xfId="101" applyNumberFormat="1" applyFont="1" applyFill="1" applyAlignment="1" applyProtection="1">
      <alignment horizontal="center"/>
      <protection hidden="1"/>
    </xf>
    <xf numFmtId="0" fontId="4" fillId="0" borderId="0" xfId="112" applyFont="1" applyAlignment="1">
      <alignment vertical="top" wrapText="1"/>
    </xf>
    <xf numFmtId="0" fontId="75" fillId="0" borderId="0" xfId="112" applyFont="1" applyAlignment="1">
      <alignment vertical="top" wrapText="1"/>
    </xf>
    <xf numFmtId="0" fontId="104" fillId="0" borderId="0" xfId="0" applyFont="1"/>
    <xf numFmtId="0" fontId="105" fillId="0" borderId="0" xfId="112" applyFont="1"/>
    <xf numFmtId="2" fontId="51" fillId="0" borderId="0" xfId="83" applyNumberFormat="1" applyFont="1" applyAlignment="1">
      <alignment horizontal="center"/>
    </xf>
    <xf numFmtId="2" fontId="51" fillId="0" borderId="70" xfId="83" applyNumberFormat="1" applyFont="1" applyBorder="1" applyAlignment="1">
      <alignment horizontal="center"/>
    </xf>
    <xf numFmtId="2" fontId="51" fillId="0" borderId="23" xfId="83" applyNumberFormat="1" applyFont="1" applyBorder="1" applyAlignment="1">
      <alignment horizontal="center"/>
    </xf>
    <xf numFmtId="2" fontId="51" fillId="0" borderId="15" xfId="83" applyNumberFormat="1" applyFont="1" applyBorder="1" applyAlignment="1">
      <alignment horizontal="center"/>
    </xf>
    <xf numFmtId="2" fontId="51" fillId="0" borderId="68" xfId="83" applyNumberFormat="1" applyFont="1" applyBorder="1" applyAlignment="1">
      <alignment horizontal="center"/>
    </xf>
    <xf numFmtId="2" fontId="51" fillId="0" borderId="16" xfId="83" applyNumberFormat="1" applyFont="1" applyBorder="1" applyAlignment="1">
      <alignment horizontal="center"/>
    </xf>
    <xf numFmtId="0" fontId="49" fillId="0" borderId="0" xfId="101" applyFont="1"/>
    <xf numFmtId="0" fontId="11" fillId="0" borderId="68" xfId="101" applyBorder="1"/>
    <xf numFmtId="0" fontId="11" fillId="0" borderId="70" xfId="101" applyBorder="1"/>
    <xf numFmtId="0" fontId="11" fillId="0" borderId="69" xfId="101" applyBorder="1"/>
    <xf numFmtId="0" fontId="12" fillId="0" borderId="13" xfId="101" applyFont="1" applyBorder="1" applyAlignment="1">
      <alignment vertical="top"/>
    </xf>
    <xf numFmtId="0" fontId="12" fillId="0" borderId="20" xfId="101" applyFont="1" applyBorder="1" applyAlignment="1">
      <alignment vertical="top" wrapText="1"/>
    </xf>
    <xf numFmtId="0" fontId="11" fillId="0" borderId="15" xfId="101" applyBorder="1"/>
    <xf numFmtId="0" fontId="11" fillId="0" borderId="0" xfId="101" applyAlignment="1">
      <alignment textRotation="90"/>
    </xf>
    <xf numFmtId="208" fontId="0" fillId="0" borderId="0" xfId="120" applyNumberFormat="1" applyFont="1" applyBorder="1" applyAlignment="1">
      <alignment textRotation="90"/>
    </xf>
    <xf numFmtId="0" fontId="11" fillId="0" borderId="18" xfId="101" applyBorder="1"/>
    <xf numFmtId="0" fontId="11" fillId="0" borderId="79" xfId="101" applyBorder="1" applyAlignment="1">
      <alignment horizontal="center" vertical="top" wrapText="1"/>
    </xf>
    <xf numFmtId="0" fontId="11" fillId="0" borderId="80" xfId="101" applyBorder="1" applyAlignment="1">
      <alignment horizontal="left" vertical="top" wrapText="1"/>
    </xf>
    <xf numFmtId="0" fontId="11" fillId="0" borderId="80" xfId="101" applyBorder="1" applyAlignment="1">
      <alignment horizontal="center" textRotation="90" wrapText="1"/>
    </xf>
    <xf numFmtId="0" fontId="11" fillId="0" borderId="15" xfId="101" applyBorder="1" applyAlignment="1">
      <alignment horizontal="center" textRotation="90"/>
    </xf>
    <xf numFmtId="0" fontId="11" fillId="0" borderId="0" xfId="101" applyAlignment="1">
      <alignment horizontal="center" textRotation="90"/>
    </xf>
    <xf numFmtId="208" fontId="0" fillId="0" borderId="0" xfId="120" applyNumberFormat="1" applyFont="1" applyBorder="1" applyAlignment="1">
      <alignment horizontal="center" textRotation="90"/>
    </xf>
    <xf numFmtId="208" fontId="0" fillId="0" borderId="18" xfId="120" applyNumberFormat="1" applyFont="1" applyBorder="1" applyAlignment="1">
      <alignment horizontal="center" textRotation="90"/>
    </xf>
    <xf numFmtId="0" fontId="11" fillId="0" borderId="31" xfId="101" applyBorder="1" applyAlignment="1">
      <alignment horizontal="center" textRotation="90" wrapText="1"/>
    </xf>
    <xf numFmtId="0" fontId="11" fillId="0" borderId="23" xfId="101" applyBorder="1" applyAlignment="1">
      <alignment horizontal="center" textRotation="90" wrapText="1"/>
    </xf>
    <xf numFmtId="165" fontId="50" fillId="0" borderId="29" xfId="101" applyNumberFormat="1" applyFont="1" applyBorder="1" applyAlignment="1">
      <alignment horizontal="center" vertical="center"/>
    </xf>
    <xf numFmtId="165" fontId="50" fillId="0" borderId="81" xfId="101" applyNumberFormat="1" applyFont="1" applyBorder="1" applyAlignment="1">
      <alignment horizontal="center" vertical="center"/>
    </xf>
    <xf numFmtId="165" fontId="11" fillId="0" borderId="81" xfId="101" applyNumberFormat="1" applyBorder="1" applyAlignment="1">
      <alignment horizontal="center" vertical="center"/>
    </xf>
    <xf numFmtId="165" fontId="11" fillId="0" borderId="82" xfId="101" applyNumberFormat="1" applyBorder="1" applyAlignment="1">
      <alignment horizontal="center" vertical="center"/>
    </xf>
    <xf numFmtId="165" fontId="11" fillId="0" borderId="83" xfId="101" applyNumberFormat="1" applyBorder="1" applyAlignment="1">
      <alignment horizontal="center" vertical="center"/>
    </xf>
    <xf numFmtId="2" fontId="11" fillId="0" borderId="29" xfId="101" quotePrefix="1" applyNumberFormat="1" applyBorder="1" applyAlignment="1">
      <alignment horizontal="center" vertical="top" wrapText="1"/>
    </xf>
    <xf numFmtId="0" fontId="11" fillId="0" borderId="0" xfId="101" applyAlignment="1">
      <alignment vertical="top" wrapText="1"/>
    </xf>
    <xf numFmtId="1" fontId="0" fillId="0" borderId="15" xfId="120" applyNumberFormat="1" applyFont="1" applyBorder="1" applyAlignment="1">
      <alignment horizontal="center"/>
    </xf>
    <xf numFmtId="1" fontId="0" fillId="0" borderId="0" xfId="120" applyNumberFormat="1" applyFont="1" applyBorder="1" applyAlignment="1">
      <alignment horizontal="center"/>
    </xf>
    <xf numFmtId="1" fontId="0" fillId="0" borderId="18" xfId="120" applyNumberFormat="1" applyFont="1" applyBorder="1" applyAlignment="1">
      <alignment horizontal="center"/>
    </xf>
    <xf numFmtId="2" fontId="11" fillId="0" borderId="30" xfId="101" quotePrefix="1" applyNumberFormat="1" applyBorder="1" applyAlignment="1">
      <alignment horizontal="center" vertical="top" wrapText="1"/>
    </xf>
    <xf numFmtId="0" fontId="11" fillId="0" borderId="70" xfId="101" applyBorder="1" applyAlignment="1">
      <alignment vertical="top" wrapText="1"/>
    </xf>
    <xf numFmtId="2" fontId="11" fillId="0" borderId="84" xfId="101" quotePrefix="1" applyNumberFormat="1" applyBorder="1" applyAlignment="1">
      <alignment horizontal="center" vertical="top" wrapText="1"/>
    </xf>
    <xf numFmtId="0" fontId="11" fillId="0" borderId="85" xfId="101" applyBorder="1" applyAlignment="1">
      <alignment vertical="top" wrapText="1"/>
    </xf>
    <xf numFmtId="2" fontId="11" fillId="0" borderId="29" xfId="101" quotePrefix="1" applyNumberFormat="1" applyBorder="1" applyAlignment="1">
      <alignment horizontal="center"/>
    </xf>
    <xf numFmtId="2" fontId="11" fillId="0" borderId="30" xfId="101" quotePrefix="1" applyNumberFormat="1" applyBorder="1" applyAlignment="1">
      <alignment horizontal="center"/>
    </xf>
    <xf numFmtId="2" fontId="11" fillId="0" borderId="84" xfId="101" quotePrefix="1" applyNumberFormat="1" applyBorder="1" applyAlignment="1">
      <alignment horizontal="center"/>
    </xf>
    <xf numFmtId="0" fontId="11" fillId="0" borderId="85" xfId="101" applyBorder="1"/>
    <xf numFmtId="2" fontId="11" fillId="0" borderId="68" xfId="101" quotePrefix="1" applyNumberFormat="1" applyBorder="1" applyAlignment="1">
      <alignment horizontal="center"/>
    </xf>
    <xf numFmtId="2" fontId="11" fillId="0" borderId="29" xfId="101" applyNumberFormat="1" applyBorder="1" applyAlignment="1">
      <alignment horizontal="center"/>
    </xf>
    <xf numFmtId="2" fontId="11" fillId="0" borderId="30" xfId="101" applyNumberFormat="1" applyBorder="1" applyAlignment="1">
      <alignment horizontal="center"/>
    </xf>
    <xf numFmtId="2" fontId="11" fillId="0" borderId="84" xfId="101" applyNumberFormat="1" applyBorder="1" applyAlignment="1">
      <alignment horizontal="center"/>
    </xf>
    <xf numFmtId="1" fontId="11" fillId="0" borderId="15" xfId="101" applyNumberFormat="1" applyBorder="1" applyAlignment="1">
      <alignment horizontal="center"/>
    </xf>
    <xf numFmtId="1" fontId="11" fillId="0" borderId="0" xfId="101" applyNumberFormat="1" applyAlignment="1">
      <alignment horizontal="center"/>
    </xf>
    <xf numFmtId="1" fontId="11" fillId="0" borderId="18" xfId="101" applyNumberFormat="1" applyBorder="1" applyAlignment="1">
      <alignment horizontal="center"/>
    </xf>
    <xf numFmtId="0" fontId="4" fillId="0" borderId="85" xfId="121" applyFont="1" applyBorder="1"/>
    <xf numFmtId="1" fontId="11" fillId="0" borderId="86" xfId="101" applyNumberFormat="1" applyBorder="1" applyAlignment="1">
      <alignment horizontal="center"/>
    </xf>
    <xf numFmtId="1" fontId="11" fillId="0" borderId="85" xfId="101" applyNumberFormat="1" applyBorder="1" applyAlignment="1">
      <alignment horizontal="center"/>
    </xf>
    <xf numFmtId="1" fontId="11" fillId="0" borderId="87" xfId="101" applyNumberFormat="1" applyBorder="1" applyAlignment="1">
      <alignment horizontal="center"/>
    </xf>
    <xf numFmtId="0" fontId="84" fillId="0" borderId="60" xfId="117" applyFont="1" applyBorder="1" applyAlignment="1">
      <alignment vertical="top"/>
    </xf>
    <xf numFmtId="165" fontId="50" fillId="0" borderId="15" xfId="101" applyNumberFormat="1" applyFont="1" applyBorder="1" applyAlignment="1">
      <alignment horizontal="center" vertical="center"/>
    </xf>
    <xf numFmtId="165" fontId="50" fillId="0" borderId="0" xfId="101" applyNumberFormat="1" applyFont="1" applyAlignment="1">
      <alignment horizontal="center" vertical="center"/>
    </xf>
    <xf numFmtId="165" fontId="11" fillId="0" borderId="0" xfId="101" applyNumberFormat="1" applyAlignment="1">
      <alignment horizontal="center" vertical="center"/>
    </xf>
    <xf numFmtId="165" fontId="11" fillId="0" borderId="18" xfId="101" applyNumberFormat="1" applyBorder="1" applyAlignment="1">
      <alignment horizontal="center" vertical="center"/>
    </xf>
    <xf numFmtId="1" fontId="0" fillId="0" borderId="86" xfId="120" applyNumberFormat="1" applyFont="1" applyBorder="1" applyAlignment="1">
      <alignment horizontal="center"/>
    </xf>
    <xf numFmtId="1" fontId="0" fillId="0" borderId="85" xfId="120" applyNumberFormat="1" applyFont="1" applyBorder="1" applyAlignment="1">
      <alignment horizontal="center"/>
    </xf>
    <xf numFmtId="1" fontId="0" fillId="0" borderId="87" xfId="120" applyNumberFormat="1" applyFont="1" applyBorder="1" applyAlignment="1">
      <alignment horizontal="center"/>
    </xf>
    <xf numFmtId="0" fontId="106" fillId="0" borderId="0" xfId="101" applyFont="1" applyAlignment="1">
      <alignment vertical="top" wrapText="1"/>
    </xf>
    <xf numFmtId="0" fontId="106" fillId="0" borderId="70" xfId="101" applyFont="1" applyBorder="1" applyAlignment="1">
      <alignment vertical="top" wrapText="1"/>
    </xf>
    <xf numFmtId="0" fontId="106" fillId="0" borderId="85" xfId="101" applyFont="1" applyBorder="1" applyAlignment="1">
      <alignment vertical="top" wrapText="1"/>
    </xf>
    <xf numFmtId="0" fontId="106" fillId="0" borderId="0" xfId="101" applyFont="1"/>
    <xf numFmtId="0" fontId="106" fillId="0" borderId="70" xfId="101" applyFont="1" applyBorder="1"/>
    <xf numFmtId="0" fontId="106" fillId="0" borderId="85" xfId="101" applyFont="1" applyBorder="1"/>
    <xf numFmtId="0" fontId="106" fillId="0" borderId="85" xfId="121" applyFont="1" applyBorder="1"/>
    <xf numFmtId="0" fontId="107" fillId="0" borderId="68" xfId="101" applyFont="1" applyBorder="1"/>
    <xf numFmtId="165" fontId="76" fillId="0" borderId="1" xfId="83" applyNumberFormat="1" applyFont="1" applyBorder="1" applyAlignment="1">
      <alignment horizontal="center"/>
    </xf>
    <xf numFmtId="165" fontId="76" fillId="0" borderId="1" xfId="101" applyNumberFormat="1" applyFont="1" applyBorder="1" applyAlignment="1">
      <alignment horizontal="center"/>
    </xf>
    <xf numFmtId="0" fontId="1" fillId="0" borderId="0" xfId="111" applyFont="1"/>
    <xf numFmtId="2" fontId="75" fillId="0" borderId="15" xfId="83" applyNumberFormat="1" applyFont="1" applyBorder="1" applyAlignment="1">
      <alignment horizontal="center"/>
    </xf>
    <xf numFmtId="2" fontId="108" fillId="0" borderId="0" xfId="111" applyNumberFormat="1" applyFont="1" applyAlignment="1">
      <alignment horizontal="center"/>
    </xf>
    <xf numFmtId="1" fontId="54" fillId="35" borderId="33" xfId="0" applyNumberFormat="1" applyFont="1" applyFill="1" applyBorder="1"/>
    <xf numFmtId="1" fontId="54" fillId="35" borderId="37" xfId="0" applyNumberFormat="1" applyFont="1" applyFill="1" applyBorder="1"/>
    <xf numFmtId="0" fontId="54" fillId="35" borderId="0" xfId="0" applyFont="1" applyFill="1" applyAlignment="1">
      <alignment horizontal="right"/>
    </xf>
    <xf numFmtId="0" fontId="55" fillId="35" borderId="37" xfId="0" applyFont="1" applyFill="1" applyBorder="1"/>
    <xf numFmtId="1" fontId="77" fillId="35" borderId="0" xfId="0" applyNumberFormat="1" applyFont="1" applyFill="1"/>
    <xf numFmtId="1" fontId="77" fillId="35" borderId="37" xfId="0" applyNumberFormat="1" applyFont="1" applyFill="1" applyBorder="1"/>
    <xf numFmtId="0" fontId="11" fillId="0" borderId="0" xfId="0" applyFont="1" applyAlignment="1">
      <alignment horizontal="left"/>
    </xf>
    <xf numFmtId="0" fontId="11" fillId="34" borderId="0" xfId="0" applyFont="1" applyFill="1" applyProtection="1">
      <protection locked="0"/>
    </xf>
    <xf numFmtId="0" fontId="11" fillId="34" borderId="0" xfId="0" applyFont="1" applyFill="1"/>
    <xf numFmtId="14" fontId="11" fillId="34" borderId="0" xfId="0" applyNumberFormat="1" applyFont="1" applyFill="1" applyProtection="1">
      <protection locked="0"/>
    </xf>
    <xf numFmtId="0" fontId="11" fillId="33" borderId="0" xfId="0" applyFont="1" applyFill="1" applyProtection="1">
      <protection locked="0"/>
    </xf>
    <xf numFmtId="0" fontId="0" fillId="33" borderId="0" xfId="0" applyFill="1"/>
    <xf numFmtId="0" fontId="0" fillId="0" borderId="85" xfId="0" applyBorder="1"/>
    <xf numFmtId="0" fontId="11" fillId="0" borderId="85" xfId="0" applyFont="1" applyBorder="1"/>
    <xf numFmtId="0" fontId="76" fillId="0" borderId="85" xfId="0" applyFont="1" applyBorder="1"/>
    <xf numFmtId="0" fontId="11" fillId="0" borderId="0" xfId="0" applyFont="1" applyAlignment="1">
      <alignment horizontal="left" vertical="center" wrapText="1"/>
    </xf>
    <xf numFmtId="0" fontId="0" fillId="0" borderId="0" xfId="0" applyAlignment="1">
      <alignment vertical="top" wrapText="1"/>
    </xf>
    <xf numFmtId="0" fontId="11" fillId="33" borderId="0" xfId="0" applyFont="1" applyFill="1" applyAlignment="1" applyProtection="1">
      <alignment horizontal="left" vertical="top"/>
      <protection locked="0"/>
    </xf>
    <xf numFmtId="0" fontId="0" fillId="33" borderId="0" xfId="0" applyFill="1" applyAlignment="1" applyProtection="1">
      <alignment horizontal="left" vertical="top"/>
      <protection locked="0"/>
    </xf>
    <xf numFmtId="0" fontId="0" fillId="0" borderId="0" xfId="0" applyAlignment="1">
      <alignment horizontal="center" vertical="top"/>
    </xf>
    <xf numFmtId="0" fontId="14" fillId="0" borderId="0" xfId="0" applyFont="1" applyAlignment="1">
      <alignment vertical="top" wrapText="1"/>
    </xf>
    <xf numFmtId="0" fontId="11" fillId="0" borderId="0" xfId="0" applyFont="1" applyAlignment="1">
      <alignment horizontal="left" vertical="top" wrapText="1"/>
    </xf>
    <xf numFmtId="0" fontId="11" fillId="0" borderId="0" xfId="0" applyFont="1" applyProtection="1">
      <protection locked="0"/>
    </xf>
    <xf numFmtId="0" fontId="11" fillId="0" borderId="0" xfId="0" applyFont="1" applyAlignment="1">
      <alignment horizontal="center" vertical="center"/>
    </xf>
    <xf numFmtId="1" fontId="0" fillId="0" borderId="39" xfId="0" applyNumberFormat="1" applyBorder="1" applyAlignment="1">
      <alignment horizontal="center"/>
    </xf>
    <xf numFmtId="1" fontId="0" fillId="0" borderId="43" xfId="0" applyNumberFormat="1" applyBorder="1" applyAlignment="1">
      <alignment horizontal="center"/>
    </xf>
    <xf numFmtId="1" fontId="0" fillId="0" borderId="34" xfId="0" applyNumberFormat="1" applyBorder="1" applyAlignment="1">
      <alignment horizontal="center"/>
    </xf>
    <xf numFmtId="1" fontId="0" fillId="0" borderId="35" xfId="0" applyNumberFormat="1" applyBorder="1" applyAlignment="1">
      <alignment horizontal="center"/>
    </xf>
    <xf numFmtId="3" fontId="12" fillId="0" borderId="34" xfId="0" applyNumberFormat="1" applyFont="1" applyBorder="1" applyAlignment="1">
      <alignment horizontal="center"/>
    </xf>
    <xf numFmtId="3" fontId="12" fillId="0" borderId="35" xfId="0" applyNumberFormat="1" applyFont="1" applyBorder="1" applyAlignment="1">
      <alignment horizontal="center"/>
    </xf>
    <xf numFmtId="3" fontId="12" fillId="0" borderId="38" xfId="0" applyNumberFormat="1" applyFont="1" applyBorder="1" applyAlignment="1">
      <alignment horizontal="center"/>
    </xf>
    <xf numFmtId="1" fontId="0" fillId="34" borderId="35" xfId="0" applyNumberFormat="1" applyFill="1" applyBorder="1" applyAlignment="1" applyProtection="1">
      <alignment horizontal="center"/>
      <protection locked="0"/>
    </xf>
    <xf numFmtId="1" fontId="0" fillId="34" borderId="38" xfId="0" applyNumberFormat="1" applyFill="1" applyBorder="1" applyAlignment="1" applyProtection="1">
      <alignment horizontal="center"/>
      <protection locked="0"/>
    </xf>
    <xf numFmtId="1" fontId="11" fillId="0" borderId="33" xfId="0" applyNumberFormat="1" applyFont="1" applyBorder="1" applyAlignment="1">
      <alignment horizontal="center"/>
    </xf>
    <xf numFmtId="1" fontId="11" fillId="0" borderId="0" xfId="0" applyNumberFormat="1" applyFont="1" applyAlignment="1">
      <alignment horizontal="center"/>
    </xf>
    <xf numFmtId="1" fontId="0" fillId="0" borderId="42" xfId="0" applyNumberFormat="1" applyBorder="1" applyAlignment="1">
      <alignment horizontal="center"/>
    </xf>
    <xf numFmtId="0" fontId="11" fillId="0" borderId="0" xfId="0" applyFont="1" applyAlignment="1">
      <alignment horizontal="center"/>
    </xf>
    <xf numFmtId="0" fontId="11" fillId="0" borderId="37" xfId="0" applyFont="1" applyBorder="1" applyAlignment="1">
      <alignment horizontal="center"/>
    </xf>
    <xf numFmtId="0" fontId="0" fillId="33" borderId="35" xfId="0" applyFill="1" applyBorder="1" applyProtection="1">
      <protection locked="0"/>
    </xf>
    <xf numFmtId="0" fontId="0" fillId="33" borderId="38" xfId="0" applyFill="1" applyBorder="1" applyProtection="1">
      <protection locked="0"/>
    </xf>
    <xf numFmtId="0" fontId="12" fillId="0" borderId="35" xfId="0" applyFont="1" applyBorder="1"/>
    <xf numFmtId="0" fontId="12" fillId="0" borderId="38" xfId="0" applyFont="1" applyBorder="1"/>
    <xf numFmtId="1" fontId="11" fillId="0" borderId="39" xfId="0" applyNumberFormat="1" applyFont="1" applyBorder="1" applyAlignment="1">
      <alignment horizontal="center"/>
    </xf>
    <xf numFmtId="1" fontId="0" fillId="0" borderId="38" xfId="0" applyNumberFormat="1" applyBorder="1" applyAlignment="1">
      <alignment horizontal="center"/>
    </xf>
    <xf numFmtId="1" fontId="11" fillId="30" borderId="0" xfId="0" applyNumberFormat="1" applyFont="1" applyFill="1" applyAlignment="1">
      <alignment horizontal="center"/>
    </xf>
    <xf numFmtId="1" fontId="13" fillId="30" borderId="37" xfId="0" applyNumberFormat="1" applyFont="1" applyFill="1" applyBorder="1" applyAlignment="1">
      <alignment horizontal="center"/>
    </xf>
    <xf numFmtId="1" fontId="12" fillId="0" borderId="35" xfId="0" applyNumberFormat="1" applyFont="1" applyBorder="1" applyAlignment="1">
      <alignment horizontal="center"/>
    </xf>
    <xf numFmtId="1" fontId="12" fillId="0" borderId="38" xfId="0" applyNumberFormat="1" applyFont="1" applyBorder="1" applyAlignment="1">
      <alignment horizontal="center"/>
    </xf>
    <xf numFmtId="1" fontId="54" fillId="35" borderId="40" xfId="0" applyNumberFormat="1" applyFont="1" applyFill="1" applyBorder="1" applyAlignment="1">
      <alignment horizontal="center"/>
    </xf>
    <xf numFmtId="1" fontId="54" fillId="35" borderId="41" xfId="0" applyNumberFormat="1" applyFont="1" applyFill="1" applyBorder="1" applyAlignment="1">
      <alignment horizontal="center"/>
    </xf>
    <xf numFmtId="0" fontId="54" fillId="35" borderId="40" xfId="0" applyFont="1" applyFill="1" applyBorder="1" applyAlignment="1">
      <alignment horizontal="center"/>
    </xf>
    <xf numFmtId="0" fontId="54" fillId="35" borderId="41" xfId="0" applyFont="1" applyFill="1" applyBorder="1" applyAlignment="1">
      <alignment horizontal="center"/>
    </xf>
    <xf numFmtId="0" fontId="54" fillId="35" borderId="33" xfId="0" applyFont="1" applyFill="1" applyBorder="1" applyAlignment="1">
      <alignment horizontal="center"/>
    </xf>
    <xf numFmtId="0" fontId="54" fillId="35" borderId="37" xfId="0" applyFont="1" applyFill="1" applyBorder="1" applyAlignment="1">
      <alignment horizontal="center"/>
    </xf>
    <xf numFmtId="0" fontId="54" fillId="35" borderId="0" xfId="0" applyFont="1" applyFill="1" applyAlignment="1">
      <alignment horizontal="center"/>
    </xf>
    <xf numFmtId="0" fontId="85" fillId="49" borderId="0" xfId="101" applyFont="1" applyFill="1" applyAlignment="1" applyProtection="1">
      <alignment horizontal="center"/>
      <protection hidden="1"/>
    </xf>
    <xf numFmtId="0" fontId="85" fillId="49" borderId="0" xfId="101" applyFont="1" applyFill="1" applyAlignment="1" applyProtection="1">
      <alignment horizontal="center" vertical="center"/>
      <protection hidden="1"/>
    </xf>
  </cellXfs>
  <cellStyles count="122">
    <cellStyle name="20 % - Akzent1 2" xfId="1" xr:uid="{00000000-0005-0000-0000-000000000000}"/>
    <cellStyle name="20 % - Akzent2 2" xfId="2" xr:uid="{00000000-0005-0000-0000-000001000000}"/>
    <cellStyle name="20 % - Akzent3 2" xfId="3" xr:uid="{00000000-0005-0000-0000-000002000000}"/>
    <cellStyle name="20 % - Akzent4 2" xfId="4" xr:uid="{00000000-0005-0000-0000-000003000000}"/>
    <cellStyle name="20 % - Akzent5 2" xfId="5" xr:uid="{00000000-0005-0000-0000-000004000000}"/>
    <cellStyle name="20 % - Akzent6 2" xfId="6" xr:uid="{00000000-0005-0000-0000-000005000000}"/>
    <cellStyle name="20% - Akzent1" xfId="7" xr:uid="{00000000-0005-0000-0000-000006000000}"/>
    <cellStyle name="20% - Akzent2" xfId="8" xr:uid="{00000000-0005-0000-0000-000007000000}"/>
    <cellStyle name="20% - Akzent3" xfId="9" xr:uid="{00000000-0005-0000-0000-000008000000}"/>
    <cellStyle name="20% - Akzent4" xfId="10" xr:uid="{00000000-0005-0000-0000-000009000000}"/>
    <cellStyle name="20% - Akzent5" xfId="11" xr:uid="{00000000-0005-0000-0000-00000A000000}"/>
    <cellStyle name="20% - Akzent6" xfId="12" xr:uid="{00000000-0005-0000-0000-00000B000000}"/>
    <cellStyle name="2x indented GHG Textfiels" xfId="13" xr:uid="{00000000-0005-0000-0000-00000C000000}"/>
    <cellStyle name="40 % - Akzent1 2" xfId="14" xr:uid="{00000000-0005-0000-0000-00000D000000}"/>
    <cellStyle name="40 % - Akzent2 2" xfId="15" xr:uid="{00000000-0005-0000-0000-00000E000000}"/>
    <cellStyle name="40 % - Akzent3 2" xfId="16" xr:uid="{00000000-0005-0000-0000-00000F000000}"/>
    <cellStyle name="40 % - Akzent4 2" xfId="17" xr:uid="{00000000-0005-0000-0000-000010000000}"/>
    <cellStyle name="40 % - Akzent5 2" xfId="18" xr:uid="{00000000-0005-0000-0000-000011000000}"/>
    <cellStyle name="40 % - Akzent6 2" xfId="19" xr:uid="{00000000-0005-0000-0000-000012000000}"/>
    <cellStyle name="40% - Akzent1" xfId="20" xr:uid="{00000000-0005-0000-0000-000013000000}"/>
    <cellStyle name="40% - Akzent2" xfId="21" xr:uid="{00000000-0005-0000-0000-000014000000}"/>
    <cellStyle name="40% - Akzent3" xfId="22" xr:uid="{00000000-0005-0000-0000-000015000000}"/>
    <cellStyle name="40% - Akzent4" xfId="23" xr:uid="{00000000-0005-0000-0000-000016000000}"/>
    <cellStyle name="40% - Akzent5" xfId="24" xr:uid="{00000000-0005-0000-0000-000017000000}"/>
    <cellStyle name="40% - Akzent6" xfId="25" xr:uid="{00000000-0005-0000-0000-000018000000}"/>
    <cellStyle name="5x indented GHG Textfiels" xfId="26" xr:uid="{00000000-0005-0000-0000-000019000000}"/>
    <cellStyle name="60 % - Akzent1 2" xfId="27" xr:uid="{00000000-0005-0000-0000-00001A000000}"/>
    <cellStyle name="60 % - Akzent2 2" xfId="28" xr:uid="{00000000-0005-0000-0000-00001B000000}"/>
    <cellStyle name="60 % - Akzent3 2" xfId="29" xr:uid="{00000000-0005-0000-0000-00001C000000}"/>
    <cellStyle name="60 % - Akzent4 2" xfId="30" xr:uid="{00000000-0005-0000-0000-00001D000000}"/>
    <cellStyle name="60 % - Akzent5 2" xfId="31" xr:uid="{00000000-0005-0000-0000-00001E000000}"/>
    <cellStyle name="60 % - Akzent6 2" xfId="32" xr:uid="{00000000-0005-0000-0000-00001F000000}"/>
    <cellStyle name="60% - Akzent1" xfId="33" xr:uid="{00000000-0005-0000-0000-000020000000}"/>
    <cellStyle name="60% - Akzent2" xfId="34" xr:uid="{00000000-0005-0000-0000-000021000000}"/>
    <cellStyle name="60% - Akzent3" xfId="35" xr:uid="{00000000-0005-0000-0000-000022000000}"/>
    <cellStyle name="60% - Akzent4" xfId="36" xr:uid="{00000000-0005-0000-0000-000023000000}"/>
    <cellStyle name="60% - Akzent5" xfId="37" xr:uid="{00000000-0005-0000-0000-000024000000}"/>
    <cellStyle name="60% - Akzent6" xfId="38" xr:uid="{00000000-0005-0000-0000-000025000000}"/>
    <cellStyle name="Akzent1" xfId="39" builtinId="29" customBuiltin="1"/>
    <cellStyle name="Akzent2" xfId="40" builtinId="33" customBuiltin="1"/>
    <cellStyle name="Akzent3" xfId="41" builtinId="37" customBuiltin="1"/>
    <cellStyle name="Akzent4" xfId="42" builtinId="41" customBuiltin="1"/>
    <cellStyle name="Akzent5" xfId="43" builtinId="45" customBuiltin="1"/>
    <cellStyle name="Akzent6" xfId="44" builtinId="49" customBuiltin="1"/>
    <cellStyle name="Ausgabe" xfId="45" builtinId="21" customBuiltin="1"/>
    <cellStyle name="Berechnung" xfId="46" builtinId="22" customBuiltin="1"/>
    <cellStyle name="Boden" xfId="47" xr:uid="{00000000-0005-0000-0000-00002E000000}"/>
    <cellStyle name="Bold GHG Numbers (0.00)" xfId="48" xr:uid="{00000000-0005-0000-0000-00002F000000}"/>
    <cellStyle name="Comma [0]_CAS Ciba" xfId="49" xr:uid="{00000000-0005-0000-0000-000030000000}"/>
    <cellStyle name="Comma_CAS Ciba" xfId="50" xr:uid="{00000000-0005-0000-0000-000031000000}"/>
    <cellStyle name="comment" xfId="51" xr:uid="{00000000-0005-0000-0000-000032000000}"/>
    <cellStyle name="Currency [0]_CAS Ciba" xfId="52" xr:uid="{00000000-0005-0000-0000-000033000000}"/>
    <cellStyle name="Currency_CAS Ciba" xfId="53" xr:uid="{00000000-0005-0000-0000-000034000000}"/>
    <cellStyle name="dt" xfId="54" xr:uid="{00000000-0005-0000-0000-000035000000}"/>
    <cellStyle name="EcoTitel" xfId="55" xr:uid="{00000000-0005-0000-0000-000036000000}"/>
    <cellStyle name="Eingabe" xfId="56" builtinId="20" customBuiltin="1"/>
    <cellStyle name="Ergebnis" xfId="57" builtinId="25" customBuiltin="1"/>
    <cellStyle name="Erklärender Text" xfId="58" builtinId="53" customBuiltin="1"/>
    <cellStyle name="Euro" xfId="59" xr:uid="{00000000-0005-0000-0000-00003A000000}"/>
    <cellStyle name="Euro 2" xfId="60" xr:uid="{00000000-0005-0000-0000-00003B000000}"/>
    <cellStyle name="Gut" xfId="61" builtinId="26" customBuiltin="1"/>
    <cellStyle name="Headline" xfId="62" xr:uid="{00000000-0005-0000-0000-00003D000000}"/>
    <cellStyle name="Hyperlink 2" xfId="103" xr:uid="{00000000-0005-0000-0000-00003E000000}"/>
    <cellStyle name="kg" xfId="63" xr:uid="{00000000-0005-0000-0000-00003F000000}"/>
    <cellStyle name="Komma" xfId="116" builtinId="3"/>
    <cellStyle name="Komma 2" xfId="64" xr:uid="{00000000-0005-0000-0000-000040000000}"/>
    <cellStyle name="Komma 3" xfId="104" xr:uid="{00000000-0005-0000-0000-000041000000}"/>
    <cellStyle name="Komma 4" xfId="120" xr:uid="{6976C20C-5824-456C-854C-8D787EA3AADF}"/>
    <cellStyle name="l" xfId="65" xr:uid="{00000000-0005-0000-0000-000042000000}"/>
    <cellStyle name="Link" xfId="114" builtinId="8"/>
    <cellStyle name="Luft" xfId="66" xr:uid="{00000000-0005-0000-0000-000044000000}"/>
    <cellStyle name="m2" xfId="67" xr:uid="{00000000-0005-0000-0000-000045000000}"/>
    <cellStyle name="m2a" xfId="68" xr:uid="{00000000-0005-0000-0000-000046000000}"/>
    <cellStyle name="m3" xfId="69" xr:uid="{00000000-0005-0000-0000-000047000000}"/>
    <cellStyle name="Neutral" xfId="70" builtinId="28" customBuiltin="1"/>
    <cellStyle name="Niels" xfId="71" xr:uid="{00000000-0005-0000-0000-000049000000}"/>
    <cellStyle name="NielsProz" xfId="72" xr:uid="{00000000-0005-0000-0000-00004A000000}"/>
    <cellStyle name="NielsProzent" xfId="73" xr:uid="{00000000-0005-0000-0000-00004B000000}"/>
    <cellStyle name="Normal GHG Numbers (0.00)" xfId="74" xr:uid="{00000000-0005-0000-0000-00004C000000}"/>
    <cellStyle name="Normal GHG Textfiels Bold" xfId="75" xr:uid="{00000000-0005-0000-0000-00004D000000}"/>
    <cellStyle name="Normal GHG whole table" xfId="76" xr:uid="{00000000-0005-0000-0000-00004E000000}"/>
    <cellStyle name="Normal_CAS Ciba" xfId="77" xr:uid="{00000000-0005-0000-0000-00004F000000}"/>
    <cellStyle name="Notiz" xfId="78" builtinId="10" customBuiltin="1"/>
    <cellStyle name="Notiz 2" xfId="105" xr:uid="{00000000-0005-0000-0000-000051000000}"/>
    <cellStyle name="Prozent 2" xfId="106" xr:uid="{00000000-0005-0000-0000-000052000000}"/>
    <cellStyle name="Prozent 3" xfId="107" xr:uid="{00000000-0005-0000-0000-000053000000}"/>
    <cellStyle name="Prozent 4" xfId="119" xr:uid="{BBEDA176-1FF0-4DC6-9C08-A7700788B99A}"/>
    <cellStyle name="prozent+" xfId="79" xr:uid="{00000000-0005-0000-0000-000054000000}"/>
    <cellStyle name="Prüfung" xfId="80" xr:uid="{00000000-0005-0000-0000-000055000000}"/>
    <cellStyle name="Schlecht" xfId="81" builtinId="27" customBuiltin="1"/>
    <cellStyle name="Standard" xfId="0" builtinId="0"/>
    <cellStyle name="Standard 10" xfId="117" xr:uid="{B48EED8D-68E1-445D-A994-D4501D997E9B}"/>
    <cellStyle name="Standard 2" xfId="82" xr:uid="{00000000-0005-0000-0000-000058000000}"/>
    <cellStyle name="Standard 2 2" xfId="101" xr:uid="{00000000-0005-0000-0000-000059000000}"/>
    <cellStyle name="Standard 2 3" xfId="118" xr:uid="{1B97C5F9-7A22-484C-BDF5-FC49BC240387}"/>
    <cellStyle name="Standard 3" xfId="83" xr:uid="{00000000-0005-0000-0000-00005A000000}"/>
    <cellStyle name="Standard 3 2" xfId="102" xr:uid="{00000000-0005-0000-0000-00005B000000}"/>
    <cellStyle name="Standard 3 3" xfId="121" xr:uid="{C7574894-C5EB-4A54-8A2F-317C0412EDE6}"/>
    <cellStyle name="Standard 4" xfId="108" xr:uid="{00000000-0005-0000-0000-00005C000000}"/>
    <cellStyle name="Standard 5" xfId="109" xr:uid="{00000000-0005-0000-0000-00005D000000}"/>
    <cellStyle name="Standard 6" xfId="110" xr:uid="{00000000-0005-0000-0000-00005E000000}"/>
    <cellStyle name="Standard 7" xfId="111" xr:uid="{00000000-0005-0000-0000-00005F000000}"/>
    <cellStyle name="Standard 7 2" xfId="112" xr:uid="{00000000-0005-0000-0000-000060000000}"/>
    <cellStyle name="Standard 8" xfId="113" xr:uid="{00000000-0005-0000-0000-000061000000}"/>
    <cellStyle name="Standard 9" xfId="115" xr:uid="{00000000-0005-0000-0000-000062000000}"/>
    <cellStyle name="text" xfId="84" xr:uid="{00000000-0005-0000-0000-000063000000}"/>
    <cellStyle name="Text-Manual" xfId="85" xr:uid="{00000000-0005-0000-0000-000064000000}"/>
    <cellStyle name="Überschrift" xfId="86" builtinId="15" customBuiltin="1"/>
    <cellStyle name="Überschrift 1" xfId="87" builtinId="16" customBuiltin="1"/>
    <cellStyle name="Überschrift 2" xfId="88" builtinId="17" customBuiltin="1"/>
    <cellStyle name="Überschrift 3" xfId="89" builtinId="18" customBuiltin="1"/>
    <cellStyle name="Überschrift 4" xfId="90" builtinId="19" customBuiltin="1"/>
    <cellStyle name="unit" xfId="91" xr:uid="{00000000-0005-0000-0000-00006A000000}"/>
    <cellStyle name="Verknüpfte Zelle" xfId="92" builtinId="24" customBuiltin="1"/>
    <cellStyle name="Warnender Text" xfId="93" builtinId="11" customBuiltin="1"/>
    <cellStyle name="Wasser" xfId="94" xr:uid="{00000000-0005-0000-0000-00006D000000}"/>
    <cellStyle name="wis" xfId="95" xr:uid="{00000000-0005-0000-0000-00006E000000}"/>
    <cellStyle name="wissenschaft" xfId="96" xr:uid="{00000000-0005-0000-0000-00006F000000}"/>
    <cellStyle name="wissenschaft+" xfId="97" xr:uid="{00000000-0005-0000-0000-000070000000}"/>
    <cellStyle name="wissenschaft-Eingabe" xfId="98" xr:uid="{00000000-0005-0000-0000-000071000000}"/>
    <cellStyle name="Zelle überprüfen" xfId="99" builtinId="23" customBuiltin="1"/>
    <cellStyle name="zkh" xfId="100" xr:uid="{00000000-0005-0000-0000-000073000000}"/>
  </cellStyles>
  <dxfs count="3">
    <dxf>
      <font>
        <b val="0"/>
        <i val="0"/>
        <color auto="1"/>
        <name val="Cambria"/>
        <scheme val="none"/>
      </font>
    </dxf>
    <dxf>
      <font>
        <b val="0"/>
        <i val="0"/>
        <color auto="1"/>
        <name val="Cambria"/>
        <scheme val="none"/>
      </font>
    </dxf>
    <dxf>
      <fill>
        <patternFill>
          <bgColor theme="8" tint="0.39994506668294322"/>
        </patternFill>
      </fill>
    </dxf>
  </dxfs>
  <tableStyles count="0" defaultTableStyle="TableStyleMedium2" defaultPivotStyle="PivotStyleLight16"/>
  <colors>
    <mruColors>
      <color rgb="FFFFFF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Begriffe!$F$150</c:f>
          <c:strCache>
            <c:ptCount val="1"/>
            <c:pt idx="0">
              <c:v>Energiebedarf Luftförderung und Luftkonditionierung</c:v>
            </c:pt>
          </c:strCache>
        </c:strRef>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barChart>
        <c:barDir val="col"/>
        <c:grouping val="stacked"/>
        <c:varyColors val="0"/>
        <c:ser>
          <c:idx val="1"/>
          <c:order val="0"/>
          <c:tx>
            <c:strRef>
              <c:f>'Berechnung LU'!$I$265:$I$266</c:f>
              <c:strCache>
                <c:ptCount val="2"/>
                <c:pt idx="0">
                  <c:v>Luftförderung</c:v>
                </c:pt>
                <c:pt idx="1">
                  <c:v>kWh</c:v>
                </c:pt>
              </c:strCache>
            </c:strRef>
          </c:tx>
          <c:spPr>
            <a:solidFill>
              <a:schemeClr val="accent3"/>
            </a:solidFill>
            <a:ln>
              <a:noFill/>
            </a:ln>
            <a:effectLst/>
          </c:spPr>
          <c:invertIfNegative val="0"/>
          <c:cat>
            <c:numRef>
              <c:f>'Berechnung LU'!$H$267:$H$326</c:f>
              <c:numCache>
                <c:formatCode>#,##0</c:formatCode>
                <c:ptCount val="60"/>
                <c:pt idx="0">
                  <c:v>-25</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pt idx="24">
                  <c:v>-1</c:v>
                </c:pt>
                <c:pt idx="25">
                  <c:v>0</c:v>
                </c:pt>
                <c:pt idx="26">
                  <c:v>1</c:v>
                </c:pt>
                <c:pt idx="27">
                  <c:v>2</c:v>
                </c:pt>
                <c:pt idx="28">
                  <c:v>3</c:v>
                </c:pt>
                <c:pt idx="29">
                  <c:v>4</c:v>
                </c:pt>
                <c:pt idx="30">
                  <c:v>5</c:v>
                </c:pt>
                <c:pt idx="31">
                  <c:v>6</c:v>
                </c:pt>
                <c:pt idx="32">
                  <c:v>7</c:v>
                </c:pt>
                <c:pt idx="33">
                  <c:v>8</c:v>
                </c:pt>
                <c:pt idx="34">
                  <c:v>9</c:v>
                </c:pt>
                <c:pt idx="35">
                  <c:v>10</c:v>
                </c:pt>
                <c:pt idx="36">
                  <c:v>11</c:v>
                </c:pt>
                <c:pt idx="37">
                  <c:v>12</c:v>
                </c:pt>
                <c:pt idx="38">
                  <c:v>13</c:v>
                </c:pt>
                <c:pt idx="39">
                  <c:v>14</c:v>
                </c:pt>
                <c:pt idx="40">
                  <c:v>15</c:v>
                </c:pt>
                <c:pt idx="41">
                  <c:v>16</c:v>
                </c:pt>
                <c:pt idx="42">
                  <c:v>17</c:v>
                </c:pt>
                <c:pt idx="43">
                  <c:v>18</c:v>
                </c:pt>
                <c:pt idx="44">
                  <c:v>19</c:v>
                </c:pt>
                <c:pt idx="45">
                  <c:v>20</c:v>
                </c:pt>
                <c:pt idx="46">
                  <c:v>21</c:v>
                </c:pt>
                <c:pt idx="47">
                  <c:v>22</c:v>
                </c:pt>
                <c:pt idx="48">
                  <c:v>23</c:v>
                </c:pt>
                <c:pt idx="49">
                  <c:v>24</c:v>
                </c:pt>
                <c:pt idx="50">
                  <c:v>25</c:v>
                </c:pt>
                <c:pt idx="51">
                  <c:v>26</c:v>
                </c:pt>
                <c:pt idx="52">
                  <c:v>27</c:v>
                </c:pt>
                <c:pt idx="53">
                  <c:v>28</c:v>
                </c:pt>
                <c:pt idx="54">
                  <c:v>29</c:v>
                </c:pt>
                <c:pt idx="55">
                  <c:v>30</c:v>
                </c:pt>
                <c:pt idx="56">
                  <c:v>31</c:v>
                </c:pt>
                <c:pt idx="57">
                  <c:v>32</c:v>
                </c:pt>
                <c:pt idx="58">
                  <c:v>33</c:v>
                </c:pt>
                <c:pt idx="59">
                  <c:v>34</c:v>
                </c:pt>
              </c:numCache>
            </c:numRef>
          </c:cat>
          <c:val>
            <c:numRef>
              <c:f>'Berechnung LU'!$I$267:$I$327</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18.332289628180042</c:v>
                </c:pt>
                <c:pt idx="16">
                  <c:v>137.49217221135029</c:v>
                </c:pt>
                <c:pt idx="17">
                  <c:v>146.65831702544034</c:v>
                </c:pt>
                <c:pt idx="18">
                  <c:v>207.7659491193738</c:v>
                </c:pt>
                <c:pt idx="19">
                  <c:v>137.49217221135029</c:v>
                </c:pt>
                <c:pt idx="20">
                  <c:v>174.15675146771039</c:v>
                </c:pt>
                <c:pt idx="21">
                  <c:v>171.10136986301373</c:v>
                </c:pt>
                <c:pt idx="22">
                  <c:v>391.08884540117424</c:v>
                </c:pt>
                <c:pt idx="23">
                  <c:v>549.96868884540118</c:v>
                </c:pt>
                <c:pt idx="24">
                  <c:v>601.91017612524467</c:v>
                </c:pt>
                <c:pt idx="25">
                  <c:v>760.79001956947172</c:v>
                </c:pt>
                <c:pt idx="26">
                  <c:v>1014.3866927592957</c:v>
                </c:pt>
                <c:pt idx="27">
                  <c:v>1164.1003913894326</c:v>
                </c:pt>
                <c:pt idx="28">
                  <c:v>1377.9771037181997</c:v>
                </c:pt>
                <c:pt idx="29">
                  <c:v>1402.4201565557732</c:v>
                </c:pt>
                <c:pt idx="30">
                  <c:v>1023.5528375733855</c:v>
                </c:pt>
                <c:pt idx="31">
                  <c:v>1274.0941291585129</c:v>
                </c:pt>
                <c:pt idx="32">
                  <c:v>1240.4849315068495</c:v>
                </c:pt>
                <c:pt idx="33">
                  <c:v>1026.6082191780824</c:v>
                </c:pt>
                <c:pt idx="34">
                  <c:v>1035.7743639921725</c:v>
                </c:pt>
                <c:pt idx="35">
                  <c:v>971.61135029354216</c:v>
                </c:pt>
                <c:pt idx="36">
                  <c:v>1124.3804305283759</c:v>
                </c:pt>
                <c:pt idx="37">
                  <c:v>980.77749510763238</c:v>
                </c:pt>
                <c:pt idx="38">
                  <c:v>1069.3835616438357</c:v>
                </c:pt>
                <c:pt idx="39">
                  <c:v>1154.9342465753427</c:v>
                </c:pt>
                <c:pt idx="40">
                  <c:v>1008.2759295499025</c:v>
                </c:pt>
                <c:pt idx="41">
                  <c:v>1191.5988258317027</c:v>
                </c:pt>
                <c:pt idx="42">
                  <c:v>1115.2142857142858</c:v>
                </c:pt>
                <c:pt idx="43">
                  <c:v>901.33757338551879</c:v>
                </c:pt>
                <c:pt idx="44">
                  <c:v>727.18082191780832</c:v>
                </c:pt>
                <c:pt idx="45">
                  <c:v>574.41174168297471</c:v>
                </c:pt>
                <c:pt idx="46">
                  <c:v>446.08571428571435</c:v>
                </c:pt>
                <c:pt idx="47">
                  <c:v>409.42113502935428</c:v>
                </c:pt>
                <c:pt idx="48">
                  <c:v>348.31350293542079</c:v>
                </c:pt>
                <c:pt idx="49">
                  <c:v>314.70430528375738</c:v>
                </c:pt>
                <c:pt idx="50">
                  <c:v>140.54755381604699</c:v>
                </c:pt>
                <c:pt idx="51">
                  <c:v>143.60293542074368</c:v>
                </c:pt>
                <c:pt idx="52">
                  <c:v>88.606066536203542</c:v>
                </c:pt>
                <c:pt idx="53">
                  <c:v>73.32915851272017</c:v>
                </c:pt>
                <c:pt idx="54">
                  <c:v>42.775342465753432</c:v>
                </c:pt>
                <c:pt idx="55">
                  <c:v>48.88610567514678</c:v>
                </c:pt>
                <c:pt idx="56">
                  <c:v>18.332289628180042</c:v>
                </c:pt>
                <c:pt idx="57">
                  <c:v>6.1107632093933475</c:v>
                </c:pt>
                <c:pt idx="58">
                  <c:v>9.1661448140900212</c:v>
                </c:pt>
                <c:pt idx="59">
                  <c:v>0</c:v>
                </c:pt>
                <c:pt idx="60">
                  <c:v>0</c:v>
                </c:pt>
              </c:numCache>
            </c:numRef>
          </c:val>
          <c:extLst>
            <c:ext xmlns:c16="http://schemas.microsoft.com/office/drawing/2014/chart" uri="{C3380CC4-5D6E-409C-BE32-E72D297353CC}">
              <c16:uniqueId val="{00000000-B83F-4D56-81DA-8333105ABACD}"/>
            </c:ext>
          </c:extLst>
        </c:ser>
        <c:ser>
          <c:idx val="2"/>
          <c:order val="1"/>
          <c:tx>
            <c:strRef>
              <c:f>'Berechnung LU'!$J$265:$J$266</c:f>
              <c:strCache>
                <c:ptCount val="2"/>
                <c:pt idx="0">
                  <c:v>Lufterwärmung</c:v>
                </c:pt>
                <c:pt idx="1">
                  <c:v>kWh</c:v>
                </c:pt>
              </c:strCache>
            </c:strRef>
          </c:tx>
          <c:spPr>
            <a:solidFill>
              <a:schemeClr val="accent2">
                <a:lumMod val="60000"/>
                <a:lumOff val="40000"/>
              </a:schemeClr>
            </a:solidFill>
            <a:ln>
              <a:noFill/>
            </a:ln>
            <a:effectLst/>
          </c:spPr>
          <c:invertIfNegative val="0"/>
          <c:cat>
            <c:numRef>
              <c:f>'Berechnung LU'!$H$267:$H$326</c:f>
              <c:numCache>
                <c:formatCode>#,##0</c:formatCode>
                <c:ptCount val="60"/>
                <c:pt idx="0">
                  <c:v>-25</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pt idx="24">
                  <c:v>-1</c:v>
                </c:pt>
                <c:pt idx="25">
                  <c:v>0</c:v>
                </c:pt>
                <c:pt idx="26">
                  <c:v>1</c:v>
                </c:pt>
                <c:pt idx="27">
                  <c:v>2</c:v>
                </c:pt>
                <c:pt idx="28">
                  <c:v>3</c:v>
                </c:pt>
                <c:pt idx="29">
                  <c:v>4</c:v>
                </c:pt>
                <c:pt idx="30">
                  <c:v>5</c:v>
                </c:pt>
                <c:pt idx="31">
                  <c:v>6</c:v>
                </c:pt>
                <c:pt idx="32">
                  <c:v>7</c:v>
                </c:pt>
                <c:pt idx="33">
                  <c:v>8</c:v>
                </c:pt>
                <c:pt idx="34">
                  <c:v>9</c:v>
                </c:pt>
                <c:pt idx="35">
                  <c:v>10</c:v>
                </c:pt>
                <c:pt idx="36">
                  <c:v>11</c:v>
                </c:pt>
                <c:pt idx="37">
                  <c:v>12</c:v>
                </c:pt>
                <c:pt idx="38">
                  <c:v>13</c:v>
                </c:pt>
                <c:pt idx="39">
                  <c:v>14</c:v>
                </c:pt>
                <c:pt idx="40">
                  <c:v>15</c:v>
                </c:pt>
                <c:pt idx="41">
                  <c:v>16</c:v>
                </c:pt>
                <c:pt idx="42">
                  <c:v>17</c:v>
                </c:pt>
                <c:pt idx="43">
                  <c:v>18</c:v>
                </c:pt>
                <c:pt idx="44">
                  <c:v>19</c:v>
                </c:pt>
                <c:pt idx="45">
                  <c:v>20</c:v>
                </c:pt>
                <c:pt idx="46">
                  <c:v>21</c:v>
                </c:pt>
                <c:pt idx="47">
                  <c:v>22</c:v>
                </c:pt>
                <c:pt idx="48">
                  <c:v>23</c:v>
                </c:pt>
                <c:pt idx="49">
                  <c:v>24</c:v>
                </c:pt>
                <c:pt idx="50">
                  <c:v>25</c:v>
                </c:pt>
                <c:pt idx="51">
                  <c:v>26</c:v>
                </c:pt>
                <c:pt idx="52">
                  <c:v>27</c:v>
                </c:pt>
                <c:pt idx="53">
                  <c:v>28</c:v>
                </c:pt>
                <c:pt idx="54">
                  <c:v>29</c:v>
                </c:pt>
                <c:pt idx="55">
                  <c:v>30</c:v>
                </c:pt>
                <c:pt idx="56">
                  <c:v>31</c:v>
                </c:pt>
                <c:pt idx="57">
                  <c:v>32</c:v>
                </c:pt>
                <c:pt idx="58">
                  <c:v>33</c:v>
                </c:pt>
                <c:pt idx="59">
                  <c:v>34</c:v>
                </c:pt>
              </c:numCache>
            </c:numRef>
          </c:cat>
          <c:val>
            <c:numRef>
              <c:f>'Berechnung LU'!$J$267:$J$327</c:f>
              <c:numCache>
                <c:formatCode>General</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16.598150339354213</c:v>
                </c:pt>
                <c:pt idx="16">
                  <c:v>117.85300959902916</c:v>
                </c:pt>
                <c:pt idx="17">
                  <c:v>118.61723035607432</c:v>
                </c:pt>
                <c:pt idx="18">
                  <c:v>158.00093920535394</c:v>
                </c:pt>
                <c:pt idx="19">
                  <c:v>97.90127758191683</c:v>
                </c:pt>
                <c:pt idx="20">
                  <c:v>115.60993588877129</c:v>
                </c:pt>
                <c:pt idx="21">
                  <c:v>105.30619281902013</c:v>
                </c:pt>
                <c:pt idx="22">
                  <c:v>221.85295961776174</c:v>
                </c:pt>
                <c:pt idx="23">
                  <c:v>285.45561525000898</c:v>
                </c:pt>
                <c:pt idx="24">
                  <c:v>283.31490954956439</c:v>
                </c:pt>
                <c:pt idx="25">
                  <c:v>321.25095785945183</c:v>
                </c:pt>
                <c:pt idx="26">
                  <c:v>379.08653156570335</c:v>
                </c:pt>
                <c:pt idx="27">
                  <c:v>378.54187735103017</c:v>
                </c:pt>
                <c:pt idx="28">
                  <c:v>381.18547101117844</c:v>
                </c:pt>
                <c:pt idx="29">
                  <c:v>319.80380282903843</c:v>
                </c:pt>
                <c:pt idx="30">
                  <c:v>183.57707871434627</c:v>
                </c:pt>
                <c:pt idx="31">
                  <c:v>166.57440343328776</c:v>
                </c:pt>
                <c:pt idx="32">
                  <c:v>101.67920019847328</c:v>
                </c:pt>
                <c:pt idx="33">
                  <c:v>34.086185396246215</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c:ext xmlns:c16="http://schemas.microsoft.com/office/drawing/2014/chart" uri="{C3380CC4-5D6E-409C-BE32-E72D297353CC}">
              <c16:uniqueId val="{00000001-B83F-4D56-81DA-8333105ABACD}"/>
            </c:ext>
          </c:extLst>
        </c:ser>
        <c:ser>
          <c:idx val="4"/>
          <c:order val="3"/>
          <c:tx>
            <c:strRef>
              <c:f>'Berechnung LU'!$L$265:$L$266</c:f>
              <c:strCache>
                <c:ptCount val="2"/>
                <c:pt idx="0">
                  <c:v>Luftkühlung</c:v>
                </c:pt>
                <c:pt idx="1">
                  <c:v>kWh</c:v>
                </c:pt>
              </c:strCache>
            </c:strRef>
          </c:tx>
          <c:spPr>
            <a:solidFill>
              <a:schemeClr val="accent1"/>
            </a:solidFill>
            <a:ln>
              <a:noFill/>
            </a:ln>
            <a:effectLst/>
          </c:spPr>
          <c:invertIfNegative val="0"/>
          <c:cat>
            <c:numRef>
              <c:f>'Berechnung LU'!$H$267:$H$326</c:f>
              <c:numCache>
                <c:formatCode>#,##0</c:formatCode>
                <c:ptCount val="60"/>
                <c:pt idx="0">
                  <c:v>-25</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pt idx="24">
                  <c:v>-1</c:v>
                </c:pt>
                <c:pt idx="25">
                  <c:v>0</c:v>
                </c:pt>
                <c:pt idx="26">
                  <c:v>1</c:v>
                </c:pt>
                <c:pt idx="27">
                  <c:v>2</c:v>
                </c:pt>
                <c:pt idx="28">
                  <c:v>3</c:v>
                </c:pt>
                <c:pt idx="29">
                  <c:v>4</c:v>
                </c:pt>
                <c:pt idx="30">
                  <c:v>5</c:v>
                </c:pt>
                <c:pt idx="31">
                  <c:v>6</c:v>
                </c:pt>
                <c:pt idx="32">
                  <c:v>7</c:v>
                </c:pt>
                <c:pt idx="33">
                  <c:v>8</c:v>
                </c:pt>
                <c:pt idx="34">
                  <c:v>9</c:v>
                </c:pt>
                <c:pt idx="35">
                  <c:v>10</c:v>
                </c:pt>
                <c:pt idx="36">
                  <c:v>11</c:v>
                </c:pt>
                <c:pt idx="37">
                  <c:v>12</c:v>
                </c:pt>
                <c:pt idx="38">
                  <c:v>13</c:v>
                </c:pt>
                <c:pt idx="39">
                  <c:v>14</c:v>
                </c:pt>
                <c:pt idx="40">
                  <c:v>15</c:v>
                </c:pt>
                <c:pt idx="41">
                  <c:v>16</c:v>
                </c:pt>
                <c:pt idx="42">
                  <c:v>17</c:v>
                </c:pt>
                <c:pt idx="43">
                  <c:v>18</c:v>
                </c:pt>
                <c:pt idx="44">
                  <c:v>19</c:v>
                </c:pt>
                <c:pt idx="45">
                  <c:v>20</c:v>
                </c:pt>
                <c:pt idx="46">
                  <c:v>21</c:v>
                </c:pt>
                <c:pt idx="47">
                  <c:v>22</c:v>
                </c:pt>
                <c:pt idx="48">
                  <c:v>23</c:v>
                </c:pt>
                <c:pt idx="49">
                  <c:v>24</c:v>
                </c:pt>
                <c:pt idx="50">
                  <c:v>25</c:v>
                </c:pt>
                <c:pt idx="51">
                  <c:v>26</c:v>
                </c:pt>
                <c:pt idx="52">
                  <c:v>27</c:v>
                </c:pt>
                <c:pt idx="53">
                  <c:v>28</c:v>
                </c:pt>
                <c:pt idx="54">
                  <c:v>29</c:v>
                </c:pt>
                <c:pt idx="55">
                  <c:v>30</c:v>
                </c:pt>
                <c:pt idx="56">
                  <c:v>31</c:v>
                </c:pt>
                <c:pt idx="57">
                  <c:v>32</c:v>
                </c:pt>
                <c:pt idx="58">
                  <c:v>33</c:v>
                </c:pt>
                <c:pt idx="59">
                  <c:v>34</c:v>
                </c:pt>
              </c:numCache>
            </c:numRef>
          </c:cat>
          <c:val>
            <c:numRef>
              <c:f>'Berechnung LU'!$L$267:$L$327</c:f>
              <c:numCache>
                <c:formatCode>General</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112.12791200379229</c:v>
                </c:pt>
                <c:pt idx="47">
                  <c:v>217.94969719497817</c:v>
                </c:pt>
                <c:pt idx="48">
                  <c:v>286.10095966408954</c:v>
                </c:pt>
                <c:pt idx="49">
                  <c:v>323.64289332130477</c:v>
                </c:pt>
                <c:pt idx="50">
                  <c:v>188.37421965718033</c:v>
                </c:pt>
                <c:pt idx="51">
                  <c:v>197.97210964006095</c:v>
                </c:pt>
                <c:pt idx="52">
                  <c:v>125.54676239952623</c:v>
                </c:pt>
                <c:pt idx="53">
                  <c:v>102.49781872668031</c:v>
                </c:pt>
                <c:pt idx="54">
                  <c:v>65.060612515390687</c:v>
                </c:pt>
                <c:pt idx="55">
                  <c:v>79.229272478192172</c:v>
                </c:pt>
                <c:pt idx="56">
                  <c:v>30.659814307572653</c:v>
                </c:pt>
                <c:pt idx="57">
                  <c:v>8.8604100676011761</c:v>
                </c:pt>
                <c:pt idx="58">
                  <c:v>12.137221625450726</c:v>
                </c:pt>
                <c:pt idx="59">
                  <c:v>0</c:v>
                </c:pt>
                <c:pt idx="60">
                  <c:v>0</c:v>
                </c:pt>
              </c:numCache>
            </c:numRef>
          </c:val>
          <c:extLst>
            <c:ext xmlns:c16="http://schemas.microsoft.com/office/drawing/2014/chart" uri="{C3380CC4-5D6E-409C-BE32-E72D297353CC}">
              <c16:uniqueId val="{00000003-B83F-4D56-81DA-8333105ABACD}"/>
            </c:ext>
          </c:extLst>
        </c:ser>
        <c:dLbls>
          <c:showLegendKey val="0"/>
          <c:showVal val="0"/>
          <c:showCatName val="0"/>
          <c:showSerName val="0"/>
          <c:showPercent val="0"/>
          <c:showBubbleSize val="0"/>
        </c:dLbls>
        <c:gapWidth val="150"/>
        <c:overlap val="100"/>
        <c:axId val="1060583640"/>
        <c:axId val="1060582328"/>
        <c:extLst>
          <c:ext xmlns:c15="http://schemas.microsoft.com/office/drawing/2012/chart" uri="{02D57815-91ED-43cb-92C2-25804820EDAC}">
            <c15:filteredBarSeries>
              <c15:ser>
                <c:idx val="3"/>
                <c:order val="2"/>
                <c:tx>
                  <c:strRef>
                    <c:extLst>
                      <c:ext uri="{02D57815-91ED-43cb-92C2-25804820EDAC}">
                        <c15:formulaRef>
                          <c15:sqref>'Berechnung LU'!$K$265:$K$266</c15:sqref>
                        </c15:formulaRef>
                      </c:ext>
                    </c:extLst>
                    <c:strCache>
                      <c:ptCount val="2"/>
                      <c:pt idx="0">
                        <c:v>Erwärmung Befeuchtung</c:v>
                      </c:pt>
                      <c:pt idx="1">
                        <c:v>kWh</c:v>
                      </c:pt>
                    </c:strCache>
                  </c:strRef>
                </c:tx>
                <c:spPr>
                  <a:solidFill>
                    <a:schemeClr val="accent2"/>
                  </a:solidFill>
                  <a:ln>
                    <a:noFill/>
                  </a:ln>
                  <a:effectLst/>
                </c:spPr>
                <c:invertIfNegative val="0"/>
                <c:cat>
                  <c:numRef>
                    <c:extLst>
                      <c:ext uri="{02D57815-91ED-43cb-92C2-25804820EDAC}">
                        <c15:formulaRef>
                          <c15:sqref>'Berechnung LU'!$H$267:$H$326</c15:sqref>
                        </c15:formulaRef>
                      </c:ext>
                    </c:extLst>
                    <c:numCache>
                      <c:formatCode>#,##0</c:formatCode>
                      <c:ptCount val="60"/>
                      <c:pt idx="0">
                        <c:v>-25</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pt idx="24">
                        <c:v>-1</c:v>
                      </c:pt>
                      <c:pt idx="25">
                        <c:v>0</c:v>
                      </c:pt>
                      <c:pt idx="26">
                        <c:v>1</c:v>
                      </c:pt>
                      <c:pt idx="27">
                        <c:v>2</c:v>
                      </c:pt>
                      <c:pt idx="28">
                        <c:v>3</c:v>
                      </c:pt>
                      <c:pt idx="29">
                        <c:v>4</c:v>
                      </c:pt>
                      <c:pt idx="30">
                        <c:v>5</c:v>
                      </c:pt>
                      <c:pt idx="31">
                        <c:v>6</c:v>
                      </c:pt>
                      <c:pt idx="32">
                        <c:v>7</c:v>
                      </c:pt>
                      <c:pt idx="33">
                        <c:v>8</c:v>
                      </c:pt>
                      <c:pt idx="34">
                        <c:v>9</c:v>
                      </c:pt>
                      <c:pt idx="35">
                        <c:v>10</c:v>
                      </c:pt>
                      <c:pt idx="36">
                        <c:v>11</c:v>
                      </c:pt>
                      <c:pt idx="37">
                        <c:v>12</c:v>
                      </c:pt>
                      <c:pt idx="38">
                        <c:v>13</c:v>
                      </c:pt>
                      <c:pt idx="39">
                        <c:v>14</c:v>
                      </c:pt>
                      <c:pt idx="40">
                        <c:v>15</c:v>
                      </c:pt>
                      <c:pt idx="41">
                        <c:v>16</c:v>
                      </c:pt>
                      <c:pt idx="42">
                        <c:v>17</c:v>
                      </c:pt>
                      <c:pt idx="43">
                        <c:v>18</c:v>
                      </c:pt>
                      <c:pt idx="44">
                        <c:v>19</c:v>
                      </c:pt>
                      <c:pt idx="45">
                        <c:v>20</c:v>
                      </c:pt>
                      <c:pt idx="46">
                        <c:v>21</c:v>
                      </c:pt>
                      <c:pt idx="47">
                        <c:v>22</c:v>
                      </c:pt>
                      <c:pt idx="48">
                        <c:v>23</c:v>
                      </c:pt>
                      <c:pt idx="49">
                        <c:v>24</c:v>
                      </c:pt>
                      <c:pt idx="50">
                        <c:v>25</c:v>
                      </c:pt>
                      <c:pt idx="51">
                        <c:v>26</c:v>
                      </c:pt>
                      <c:pt idx="52">
                        <c:v>27</c:v>
                      </c:pt>
                      <c:pt idx="53">
                        <c:v>28</c:v>
                      </c:pt>
                      <c:pt idx="54">
                        <c:v>29</c:v>
                      </c:pt>
                      <c:pt idx="55">
                        <c:v>30</c:v>
                      </c:pt>
                      <c:pt idx="56">
                        <c:v>31</c:v>
                      </c:pt>
                      <c:pt idx="57">
                        <c:v>32</c:v>
                      </c:pt>
                      <c:pt idx="58">
                        <c:v>33</c:v>
                      </c:pt>
                      <c:pt idx="59">
                        <c:v>34</c:v>
                      </c:pt>
                    </c:numCache>
                  </c:numRef>
                </c:cat>
                <c:val>
                  <c:numRef>
                    <c:extLst>
                      <c:ext uri="{02D57815-91ED-43cb-92C2-25804820EDAC}">
                        <c15:formulaRef>
                          <c15:sqref>'Berechnung LU'!$K$267:$K$327</c15:sqref>
                        </c15:formulaRef>
                      </c:ext>
                    </c:extLst>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1.3122012099159596E-13</c:v>
                      </c:pt>
                      <c:pt idx="19">
                        <c:v>0</c:v>
                      </c:pt>
                      <c:pt idx="20">
                        <c:v>0</c:v>
                      </c:pt>
                      <c:pt idx="21">
                        <c:v>-1.0806362905190255E-13</c:v>
                      </c:pt>
                      <c:pt idx="22">
                        <c:v>0</c:v>
                      </c:pt>
                      <c:pt idx="23">
                        <c:v>0</c:v>
                      </c:pt>
                      <c:pt idx="24">
                        <c:v>0</c:v>
                      </c:pt>
                      <c:pt idx="25">
                        <c:v>0</c:v>
                      </c:pt>
                      <c:pt idx="26">
                        <c:v>0</c:v>
                      </c:pt>
                      <c:pt idx="27">
                        <c:v>0</c:v>
                      </c:pt>
                      <c:pt idx="28">
                        <c:v>0</c:v>
                      </c:pt>
                      <c:pt idx="29">
                        <c:v>-1.7714716333865454E-12</c:v>
                      </c:pt>
                      <c:pt idx="30">
                        <c:v>0</c:v>
                      </c:pt>
                      <c:pt idx="31">
                        <c:v>1.6093761898086914E-12</c:v>
                      </c:pt>
                      <c:pt idx="32">
                        <c:v>0</c:v>
                      </c:pt>
                      <c:pt idx="33">
                        <c:v>-1.2967635486228306E-12</c:v>
                      </c:pt>
                      <c:pt idx="34">
                        <c:v>0</c:v>
                      </c:pt>
                      <c:pt idx="35">
                        <c:v>0</c:v>
                      </c:pt>
                      <c:pt idx="36">
                        <c:v>-1.4202648389678623E-12</c:v>
                      </c:pt>
                      <c:pt idx="37">
                        <c:v>-1.2388723187735973E-12</c:v>
                      </c:pt>
                      <c:pt idx="38">
                        <c:v>0</c:v>
                      </c:pt>
                      <c:pt idx="39">
                        <c:v>0</c:v>
                      </c:pt>
                      <c:pt idx="40">
                        <c:v>0</c:v>
                      </c:pt>
                      <c:pt idx="41">
                        <c:v>0</c:v>
                      </c:pt>
                      <c:pt idx="42">
                        <c:v>1.4086865929980155E-12</c:v>
                      </c:pt>
                      <c:pt idx="43">
                        <c:v>0</c:v>
                      </c:pt>
                      <c:pt idx="44">
                        <c:v>0</c:v>
                      </c:pt>
                      <c:pt idx="45">
                        <c:v>-7.2557008077706014E-13</c:v>
                      </c:pt>
                      <c:pt idx="46">
                        <c:v>-5.6347463719920612E-13</c:v>
                      </c:pt>
                      <c:pt idx="47">
                        <c:v>5.1716165331981935E-13</c:v>
                      </c:pt>
                      <c:pt idx="48">
                        <c:v>0</c:v>
                      </c:pt>
                      <c:pt idx="49">
                        <c:v>-3.9751977829807005E-13</c:v>
                      </c:pt>
                      <c:pt idx="50">
                        <c:v>3.5506620974196558E-13</c:v>
                      </c:pt>
                      <c:pt idx="51">
                        <c:v>0</c:v>
                      </c:pt>
                      <c:pt idx="52">
                        <c:v>0</c:v>
                      </c:pt>
                      <c:pt idx="53">
                        <c:v>1.8525193551754723E-13</c:v>
                      </c:pt>
                      <c:pt idx="54">
                        <c:v>0</c:v>
                      </c:pt>
                      <c:pt idx="55">
                        <c:v>0</c:v>
                      </c:pt>
                      <c:pt idx="56">
                        <c:v>4.6312983879386808E-14</c:v>
                      </c:pt>
                      <c:pt idx="57">
                        <c:v>1.5437661293128936E-14</c:v>
                      </c:pt>
                      <c:pt idx="58">
                        <c:v>0</c:v>
                      </c:pt>
                      <c:pt idx="59">
                        <c:v>0</c:v>
                      </c:pt>
                      <c:pt idx="60">
                        <c:v>0</c:v>
                      </c:pt>
                    </c:numCache>
                  </c:numRef>
                </c:val>
                <c:extLst>
                  <c:ext xmlns:c16="http://schemas.microsoft.com/office/drawing/2014/chart" uri="{C3380CC4-5D6E-409C-BE32-E72D297353CC}">
                    <c16:uniqueId val="{00000002-B83F-4D56-81DA-8333105ABACD}"/>
                  </c:ext>
                </c:extLst>
              </c15:ser>
            </c15:filteredBarSeries>
            <c15:filteredBarSeries>
              <c15:ser>
                <c:idx val="5"/>
                <c:order val="4"/>
                <c:tx>
                  <c:strRef>
                    <c:extLst xmlns:c15="http://schemas.microsoft.com/office/drawing/2012/chart">
                      <c:ext xmlns:c15="http://schemas.microsoft.com/office/drawing/2012/chart" uri="{02D57815-91ED-43cb-92C2-25804820EDAC}">
                        <c15:formulaRef>
                          <c15:sqref>'Berechnung LU'!$M$265:$M$266</c15:sqref>
                        </c15:formulaRef>
                      </c:ext>
                    </c:extLst>
                    <c:strCache>
                      <c:ptCount val="2"/>
                      <c:pt idx="0">
                        <c:v>Kühlung Entfeuchtung</c:v>
                      </c:pt>
                      <c:pt idx="1">
                        <c:v>kWh</c:v>
                      </c:pt>
                    </c:strCache>
                  </c:strRef>
                </c:tx>
                <c:spPr>
                  <a:solidFill>
                    <a:schemeClr val="tx2">
                      <a:lumMod val="40000"/>
                      <a:lumOff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'Berechnung LU'!$H$267:$H$326</c15:sqref>
                        </c15:formulaRef>
                      </c:ext>
                    </c:extLst>
                    <c:numCache>
                      <c:formatCode>#,##0</c:formatCode>
                      <c:ptCount val="60"/>
                      <c:pt idx="0">
                        <c:v>-25</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pt idx="24">
                        <c:v>-1</c:v>
                      </c:pt>
                      <c:pt idx="25">
                        <c:v>0</c:v>
                      </c:pt>
                      <c:pt idx="26">
                        <c:v>1</c:v>
                      </c:pt>
                      <c:pt idx="27">
                        <c:v>2</c:v>
                      </c:pt>
                      <c:pt idx="28">
                        <c:v>3</c:v>
                      </c:pt>
                      <c:pt idx="29">
                        <c:v>4</c:v>
                      </c:pt>
                      <c:pt idx="30">
                        <c:v>5</c:v>
                      </c:pt>
                      <c:pt idx="31">
                        <c:v>6</c:v>
                      </c:pt>
                      <c:pt idx="32">
                        <c:v>7</c:v>
                      </c:pt>
                      <c:pt idx="33">
                        <c:v>8</c:v>
                      </c:pt>
                      <c:pt idx="34">
                        <c:v>9</c:v>
                      </c:pt>
                      <c:pt idx="35">
                        <c:v>10</c:v>
                      </c:pt>
                      <c:pt idx="36">
                        <c:v>11</c:v>
                      </c:pt>
                      <c:pt idx="37">
                        <c:v>12</c:v>
                      </c:pt>
                      <c:pt idx="38">
                        <c:v>13</c:v>
                      </c:pt>
                      <c:pt idx="39">
                        <c:v>14</c:v>
                      </c:pt>
                      <c:pt idx="40">
                        <c:v>15</c:v>
                      </c:pt>
                      <c:pt idx="41">
                        <c:v>16</c:v>
                      </c:pt>
                      <c:pt idx="42">
                        <c:v>17</c:v>
                      </c:pt>
                      <c:pt idx="43">
                        <c:v>18</c:v>
                      </c:pt>
                      <c:pt idx="44">
                        <c:v>19</c:v>
                      </c:pt>
                      <c:pt idx="45">
                        <c:v>20</c:v>
                      </c:pt>
                      <c:pt idx="46">
                        <c:v>21</c:v>
                      </c:pt>
                      <c:pt idx="47">
                        <c:v>22</c:v>
                      </c:pt>
                      <c:pt idx="48">
                        <c:v>23</c:v>
                      </c:pt>
                      <c:pt idx="49">
                        <c:v>24</c:v>
                      </c:pt>
                      <c:pt idx="50">
                        <c:v>25</c:v>
                      </c:pt>
                      <c:pt idx="51">
                        <c:v>26</c:v>
                      </c:pt>
                      <c:pt idx="52">
                        <c:v>27</c:v>
                      </c:pt>
                      <c:pt idx="53">
                        <c:v>28</c:v>
                      </c:pt>
                      <c:pt idx="54">
                        <c:v>29</c:v>
                      </c:pt>
                      <c:pt idx="55">
                        <c:v>30</c:v>
                      </c:pt>
                      <c:pt idx="56">
                        <c:v>31</c:v>
                      </c:pt>
                      <c:pt idx="57">
                        <c:v>32</c:v>
                      </c:pt>
                      <c:pt idx="58">
                        <c:v>33</c:v>
                      </c:pt>
                      <c:pt idx="59">
                        <c:v>34</c:v>
                      </c:pt>
                    </c:numCache>
                  </c:numRef>
                </c:cat>
                <c:val>
                  <c:numRef>
                    <c:extLst xmlns:c15="http://schemas.microsoft.com/office/drawing/2012/chart">
                      <c:ext xmlns:c15="http://schemas.microsoft.com/office/drawing/2012/chart" uri="{02D57815-91ED-43cb-92C2-25804820EDAC}">
                        <c15:formulaRef>
                          <c15:sqref>'Berechnung LU'!$M$267:$M$327</c15:sqref>
                        </c15:formulaRef>
                      </c:ext>
                    </c:extLst>
                    <c:numCache>
                      <c:formatCode>General</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xmlns:c15="http://schemas.microsoft.com/office/drawing/2012/chart">
                  <c:ext xmlns:c16="http://schemas.microsoft.com/office/drawing/2014/chart" uri="{C3380CC4-5D6E-409C-BE32-E72D297353CC}">
                    <c16:uniqueId val="{00000004-B83F-4D56-81DA-8333105ABACD}"/>
                  </c:ext>
                </c:extLst>
              </c15:ser>
            </c15:filteredBarSeries>
            <c15:filteredBarSeries>
              <c15:ser>
                <c:idx val="6"/>
                <c:order val="5"/>
                <c:tx>
                  <c:strRef>
                    <c:extLst xmlns:c15="http://schemas.microsoft.com/office/drawing/2012/chart">
                      <c:ext xmlns:c15="http://schemas.microsoft.com/office/drawing/2012/chart" uri="{02D57815-91ED-43cb-92C2-25804820EDAC}">
                        <c15:formulaRef>
                          <c15:sqref>'Berechnung LU'!$N$265:$N$266</c15:sqref>
                        </c15:formulaRef>
                      </c:ext>
                    </c:extLst>
                    <c:strCache>
                      <c:ptCount val="2"/>
                      <c:pt idx="0">
                        <c:v>Erwärmung Entfeuchtung</c:v>
                      </c:pt>
                      <c:pt idx="1">
                        <c:v>kWh</c:v>
                      </c:pt>
                    </c:strCache>
                  </c:strRef>
                </c:tx>
                <c:spPr>
                  <a:solidFill>
                    <a:schemeClr val="accent6">
                      <a:lumMod val="75000"/>
                    </a:schemeClr>
                  </a:solidFill>
                  <a:ln>
                    <a:noFill/>
                  </a:ln>
                  <a:effectLst/>
                </c:spPr>
                <c:invertIfNegative val="0"/>
                <c:cat>
                  <c:numRef>
                    <c:extLst xmlns:c15="http://schemas.microsoft.com/office/drawing/2012/chart">
                      <c:ext xmlns:c15="http://schemas.microsoft.com/office/drawing/2012/chart" uri="{02D57815-91ED-43cb-92C2-25804820EDAC}">
                        <c15:formulaRef>
                          <c15:sqref>'Berechnung LU'!$H$267:$H$326</c15:sqref>
                        </c15:formulaRef>
                      </c:ext>
                    </c:extLst>
                    <c:numCache>
                      <c:formatCode>#,##0</c:formatCode>
                      <c:ptCount val="60"/>
                      <c:pt idx="0">
                        <c:v>-25</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pt idx="24">
                        <c:v>-1</c:v>
                      </c:pt>
                      <c:pt idx="25">
                        <c:v>0</c:v>
                      </c:pt>
                      <c:pt idx="26">
                        <c:v>1</c:v>
                      </c:pt>
                      <c:pt idx="27">
                        <c:v>2</c:v>
                      </c:pt>
                      <c:pt idx="28">
                        <c:v>3</c:v>
                      </c:pt>
                      <c:pt idx="29">
                        <c:v>4</c:v>
                      </c:pt>
                      <c:pt idx="30">
                        <c:v>5</c:v>
                      </c:pt>
                      <c:pt idx="31">
                        <c:v>6</c:v>
                      </c:pt>
                      <c:pt idx="32">
                        <c:v>7</c:v>
                      </c:pt>
                      <c:pt idx="33">
                        <c:v>8</c:v>
                      </c:pt>
                      <c:pt idx="34">
                        <c:v>9</c:v>
                      </c:pt>
                      <c:pt idx="35">
                        <c:v>10</c:v>
                      </c:pt>
                      <c:pt idx="36">
                        <c:v>11</c:v>
                      </c:pt>
                      <c:pt idx="37">
                        <c:v>12</c:v>
                      </c:pt>
                      <c:pt idx="38">
                        <c:v>13</c:v>
                      </c:pt>
                      <c:pt idx="39">
                        <c:v>14</c:v>
                      </c:pt>
                      <c:pt idx="40">
                        <c:v>15</c:v>
                      </c:pt>
                      <c:pt idx="41">
                        <c:v>16</c:v>
                      </c:pt>
                      <c:pt idx="42">
                        <c:v>17</c:v>
                      </c:pt>
                      <c:pt idx="43">
                        <c:v>18</c:v>
                      </c:pt>
                      <c:pt idx="44">
                        <c:v>19</c:v>
                      </c:pt>
                      <c:pt idx="45">
                        <c:v>20</c:v>
                      </c:pt>
                      <c:pt idx="46">
                        <c:v>21</c:v>
                      </c:pt>
                      <c:pt idx="47">
                        <c:v>22</c:v>
                      </c:pt>
                      <c:pt idx="48">
                        <c:v>23</c:v>
                      </c:pt>
                      <c:pt idx="49">
                        <c:v>24</c:v>
                      </c:pt>
                      <c:pt idx="50">
                        <c:v>25</c:v>
                      </c:pt>
                      <c:pt idx="51">
                        <c:v>26</c:v>
                      </c:pt>
                      <c:pt idx="52">
                        <c:v>27</c:v>
                      </c:pt>
                      <c:pt idx="53">
                        <c:v>28</c:v>
                      </c:pt>
                      <c:pt idx="54">
                        <c:v>29</c:v>
                      </c:pt>
                      <c:pt idx="55">
                        <c:v>30</c:v>
                      </c:pt>
                      <c:pt idx="56">
                        <c:v>31</c:v>
                      </c:pt>
                      <c:pt idx="57">
                        <c:v>32</c:v>
                      </c:pt>
                      <c:pt idx="58">
                        <c:v>33</c:v>
                      </c:pt>
                      <c:pt idx="59">
                        <c:v>34</c:v>
                      </c:pt>
                    </c:numCache>
                  </c:numRef>
                </c:cat>
                <c:val>
                  <c:numRef>
                    <c:extLst xmlns:c15="http://schemas.microsoft.com/office/drawing/2012/chart">
                      <c:ext xmlns:c15="http://schemas.microsoft.com/office/drawing/2012/chart" uri="{02D57815-91ED-43cb-92C2-25804820EDAC}">
                        <c15:formulaRef>
                          <c15:sqref>'Berechnung LU'!$N$267:$N$327</c15:sqref>
                        </c15:formulaRef>
                      </c:ext>
                    </c:extLst>
                    <c:numCache>
                      <c:formatCode>General</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xmlns:c15="http://schemas.microsoft.com/office/drawing/2012/chart">
                  <c:ext xmlns:c16="http://schemas.microsoft.com/office/drawing/2014/chart" uri="{C3380CC4-5D6E-409C-BE32-E72D297353CC}">
                    <c16:uniqueId val="{00000005-B83F-4D56-81DA-8333105ABACD}"/>
                  </c:ext>
                </c:extLst>
              </c15:ser>
            </c15:filteredBarSeries>
          </c:ext>
        </c:extLst>
      </c:barChart>
      <c:catAx>
        <c:axId val="1060583640"/>
        <c:scaling>
          <c:orientation val="minMax"/>
        </c:scaling>
        <c:delete val="0"/>
        <c:axPos val="b"/>
        <c:title>
          <c:tx>
            <c:strRef>
              <c:f>Begriffe!$F$152</c:f>
              <c:strCache>
                <c:ptCount val="1"/>
                <c:pt idx="0">
                  <c:v>Aussentemperatur</c:v>
                </c:pt>
              </c:strCache>
            </c:strRef>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060582328"/>
        <c:crosses val="autoZero"/>
        <c:auto val="1"/>
        <c:lblAlgn val="ctr"/>
        <c:lblOffset val="100"/>
        <c:noMultiLvlLbl val="0"/>
      </c:catAx>
      <c:valAx>
        <c:axId val="1060582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Begriffe!$F$151</c:f>
              <c:strCache>
                <c:ptCount val="1"/>
                <c:pt idx="0">
                  <c:v>Energiebedarf pro Aussentemp., kWh</c:v>
                </c:pt>
              </c:strCache>
            </c:strRef>
          </c:tx>
          <c:layout>
            <c:manualLayout>
              <c:xMode val="edge"/>
              <c:yMode val="edge"/>
              <c:x val="1.2017725972172941E-2"/>
              <c:y val="0.13503852938445826"/>
            </c:manualLayout>
          </c:layout>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060583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0"/>
    <c:plotArea>
      <c:layout>
        <c:manualLayout>
          <c:layoutTarget val="inner"/>
          <c:xMode val="edge"/>
          <c:yMode val="edge"/>
          <c:x val="3.6194909830532244E-2"/>
          <c:y val="3.260273322718283E-2"/>
          <c:w val="0.94579985824298174"/>
          <c:h val="0.59405735092229373"/>
        </c:manualLayout>
      </c:layout>
      <c:pieChart>
        <c:varyColors val="1"/>
        <c:ser>
          <c:idx val="0"/>
          <c:order val="0"/>
          <c:dPt>
            <c:idx val="0"/>
            <c:bubble3D val="0"/>
            <c:spPr>
              <a:solidFill>
                <a:schemeClr val="accent5">
                  <a:shade val="38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00-E4C5-465B-9872-27D5298E9A31}"/>
              </c:ext>
            </c:extLst>
          </c:dPt>
          <c:dPt>
            <c:idx val="1"/>
            <c:bubble3D val="0"/>
            <c:spPr>
              <a:solidFill>
                <a:schemeClr val="accent5">
                  <a:shade val="47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01-E4C5-465B-9872-27D5298E9A31}"/>
              </c:ext>
            </c:extLst>
          </c:dPt>
          <c:dPt>
            <c:idx val="2"/>
            <c:bubble3D val="0"/>
            <c:spPr>
              <a:solidFill>
                <a:schemeClr val="accent5">
                  <a:shade val="56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02-E4C5-465B-9872-27D5298E9A31}"/>
              </c:ext>
            </c:extLst>
          </c:dPt>
          <c:dPt>
            <c:idx val="3"/>
            <c:bubble3D val="0"/>
            <c:spPr>
              <a:solidFill>
                <a:schemeClr val="accent5">
                  <a:shade val="65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03-E4C5-465B-9872-27D5298E9A31}"/>
              </c:ext>
            </c:extLst>
          </c:dPt>
          <c:dPt>
            <c:idx val="4"/>
            <c:bubble3D val="0"/>
            <c:spPr>
              <a:solidFill>
                <a:schemeClr val="accent5">
                  <a:shade val="73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04-E4C5-465B-9872-27D5298E9A31}"/>
              </c:ext>
            </c:extLst>
          </c:dPt>
          <c:dPt>
            <c:idx val="5"/>
            <c:bubble3D val="0"/>
            <c:spPr>
              <a:solidFill>
                <a:schemeClr val="accent5">
                  <a:shade val="82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05-E4C5-465B-9872-27D5298E9A31}"/>
              </c:ext>
            </c:extLst>
          </c:dPt>
          <c:dPt>
            <c:idx val="6"/>
            <c:bubble3D val="0"/>
            <c:spPr>
              <a:solidFill>
                <a:schemeClr val="accent5">
                  <a:shade val="91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06-E4C5-465B-9872-27D5298E9A31}"/>
              </c:ext>
            </c:extLst>
          </c:dPt>
          <c:dPt>
            <c:idx val="7"/>
            <c:bubble3D val="0"/>
            <c:spPr>
              <a:solidFill>
                <a:schemeClr val="accent5"/>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07-E4C5-465B-9872-27D5298E9A31}"/>
              </c:ext>
            </c:extLst>
          </c:dPt>
          <c:dPt>
            <c:idx val="8"/>
            <c:bubble3D val="0"/>
            <c:spPr>
              <a:solidFill>
                <a:schemeClr val="accent5">
                  <a:tint val="92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08-E4C5-465B-9872-27D5298E9A31}"/>
              </c:ext>
            </c:extLst>
          </c:dPt>
          <c:dPt>
            <c:idx val="9"/>
            <c:bubble3D val="0"/>
            <c:spPr>
              <a:solidFill>
                <a:schemeClr val="accent5">
                  <a:tint val="83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09-E4C5-465B-9872-27D5298E9A31}"/>
              </c:ext>
            </c:extLst>
          </c:dPt>
          <c:dPt>
            <c:idx val="10"/>
            <c:bubble3D val="0"/>
            <c:spPr>
              <a:solidFill>
                <a:schemeClr val="accent5">
                  <a:tint val="74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15-2241-4D31-B5E3-C324DE72A959}"/>
              </c:ext>
            </c:extLst>
          </c:dPt>
          <c:dPt>
            <c:idx val="11"/>
            <c:bubble3D val="0"/>
            <c:spPr>
              <a:solidFill>
                <a:schemeClr val="accent5">
                  <a:tint val="65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17-2241-4D31-B5E3-C324DE72A959}"/>
              </c:ext>
            </c:extLst>
          </c:dPt>
          <c:dPt>
            <c:idx val="12"/>
            <c:bubble3D val="0"/>
            <c:spPr>
              <a:solidFill>
                <a:schemeClr val="accent5">
                  <a:tint val="57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19-2241-4D31-B5E3-C324DE72A959}"/>
              </c:ext>
            </c:extLst>
          </c:dPt>
          <c:dPt>
            <c:idx val="13"/>
            <c:bubble3D val="0"/>
            <c:spPr>
              <a:solidFill>
                <a:schemeClr val="accent5">
                  <a:tint val="48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1B-2241-4D31-B5E3-C324DE72A959}"/>
              </c:ext>
            </c:extLst>
          </c:dPt>
          <c:dPt>
            <c:idx val="14"/>
            <c:bubble3D val="0"/>
            <c:spPr>
              <a:solidFill>
                <a:schemeClr val="accent5">
                  <a:tint val="39000"/>
                </a:schemeClr>
              </a:solidFill>
              <a:ln w="9525" cap="flat" cmpd="sng" algn="ctr">
                <a:solidFill>
                  <a:schemeClr val="lt1">
                    <a:shade val="95000"/>
                    <a:satMod val="105000"/>
                  </a:schemeClr>
                </a:solidFill>
                <a:prstDash val="solid"/>
                <a:round/>
              </a:ln>
              <a:effectLst>
                <a:outerShdw blurRad="40000" dist="20000" dir="5400000" rotWithShape="0">
                  <a:srgbClr val="000000">
                    <a:alpha val="38000"/>
                  </a:srgbClr>
                </a:outerShdw>
              </a:effectLst>
            </c:spPr>
            <c:extLst>
              <c:ext xmlns:c16="http://schemas.microsoft.com/office/drawing/2014/chart" uri="{C3380CC4-5D6E-409C-BE32-E72D297353CC}">
                <c16:uniqueId val="{0000001D-2241-4D31-B5E3-C324DE72A959}"/>
              </c:ext>
            </c:extLst>
          </c:dPt>
          <c:cat>
            <c:strRef>
              <c:f>Gebäude!$B$12:$B$32</c:f>
              <c:strCache>
                <c:ptCount val="10"/>
                <c:pt idx="0">
                  <c:v>Einzel-, Gruppenbüro</c:v>
                </c:pt>
                <c:pt idx="1">
                  <c:v>Grossraumbüro</c:v>
                </c:pt>
                <c:pt idx="2">
                  <c:v>Sitzungszimmer</c:v>
                </c:pt>
                <c:pt idx="3">
                  <c:v>Schalterhalle, Empfang</c:v>
                </c:pt>
                <c:pt idx="4">
                  <c:v>Verkehrsfläche</c:v>
                </c:pt>
                <c:pt idx="5">
                  <c:v>Treppenhaus</c:v>
                </c:pt>
                <c:pt idx="6">
                  <c:v>WC</c:v>
                </c:pt>
                <c:pt idx="7">
                  <c:v>Nebenraum</c:v>
                </c:pt>
                <c:pt idx="8">
                  <c:v>Serverraum</c:v>
                </c:pt>
                <c:pt idx="9">
                  <c:v>Parkhaus</c:v>
                </c:pt>
              </c:strCache>
            </c:strRef>
          </c:cat>
          <c:val>
            <c:numRef>
              <c:f>Gebäude!$D$12:$D$32</c:f>
              <c:numCache>
                <c:formatCode>#,##0</c:formatCode>
                <c:ptCount val="15"/>
                <c:pt idx="0">
                  <c:v>2500</c:v>
                </c:pt>
                <c:pt idx="1">
                  <c:v>1000</c:v>
                </c:pt>
                <c:pt idx="2">
                  <c:v>200</c:v>
                </c:pt>
                <c:pt idx="3">
                  <c:v>200</c:v>
                </c:pt>
                <c:pt idx="4">
                  <c:v>1000</c:v>
                </c:pt>
                <c:pt idx="5">
                  <c:v>400</c:v>
                </c:pt>
                <c:pt idx="6">
                  <c:v>100</c:v>
                </c:pt>
                <c:pt idx="7">
                  <c:v>500</c:v>
                </c:pt>
                <c:pt idx="8">
                  <c:v>20</c:v>
                </c:pt>
                <c:pt idx="9">
                  <c:v>670</c:v>
                </c:pt>
              </c:numCache>
            </c:numRef>
          </c:val>
          <c:extLst>
            <c:ext xmlns:c16="http://schemas.microsoft.com/office/drawing/2014/chart" uri="{C3380CC4-5D6E-409C-BE32-E72D297353CC}">
              <c16:uniqueId val="{0000000A-E4C5-465B-9872-27D5298E9A31}"/>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
          <c:y val="0.6574355614935411"/>
          <c:w val="1"/>
          <c:h val="0.3407993500053768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Arial" panose="020B0604020202020204" pitchFamily="34" charset="0"/>
              <a:ea typeface="+mn-ea"/>
              <a:cs typeface="Arial" panose="020B0604020202020204" pitchFamily="34" charset="0"/>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1.7085392741067372E-2"/>
          <c:y val="0.10980733791254817"/>
          <c:w val="0.7773714856048477"/>
          <c:h val="0.47856282083104007"/>
        </c:manualLayout>
      </c:layout>
      <c:barChart>
        <c:barDir val="bar"/>
        <c:grouping val="stacked"/>
        <c:varyColors val="0"/>
        <c:ser>
          <c:idx val="3"/>
          <c:order val="0"/>
          <c:tx>
            <c:strRef>
              <c:f>Resultate!$B$31</c:f>
              <c:strCache>
                <c:ptCount val="1"/>
                <c:pt idx="0">
                  <c:v>Raumkühlung</c:v>
                </c:pt>
              </c:strCache>
            </c:strRef>
          </c:tx>
          <c:spPr>
            <a:solidFill>
              <a:srgbClr val="0070C0"/>
            </a:solidFill>
          </c:spPr>
          <c:invertIfNegative val="0"/>
          <c:cat>
            <c:strRef>
              <c:f>Resultate!$B$30</c:f>
              <c:strCache>
                <c:ptCount val="1"/>
                <c:pt idx="0">
                  <c:v>Thermische Nutzenergie</c:v>
                </c:pt>
              </c:strCache>
            </c:strRef>
          </c:cat>
          <c:val>
            <c:numRef>
              <c:f>Resultate!$C$31</c:f>
              <c:numCache>
                <c:formatCode>#,##0.0</c:formatCode>
                <c:ptCount val="1"/>
                <c:pt idx="0">
                  <c:v>9.3991798107955749</c:v>
                </c:pt>
              </c:numCache>
            </c:numRef>
          </c:val>
          <c:extLst>
            <c:ext xmlns:c16="http://schemas.microsoft.com/office/drawing/2014/chart" uri="{C3380CC4-5D6E-409C-BE32-E72D297353CC}">
              <c16:uniqueId val="{00000000-A2B6-47DD-8F84-CABF95A5DFF1}"/>
            </c:ext>
          </c:extLst>
        </c:ser>
        <c:ser>
          <c:idx val="4"/>
          <c:order val="1"/>
          <c:tx>
            <c:strRef>
              <c:f>Resultate!$B$32</c:f>
              <c:strCache>
                <c:ptCount val="1"/>
                <c:pt idx="0">
                  <c:v>Luftkühlung</c:v>
                </c:pt>
              </c:strCache>
            </c:strRef>
          </c:tx>
          <c:spPr>
            <a:solidFill>
              <a:schemeClr val="tx2">
                <a:lumMod val="40000"/>
                <a:lumOff val="60000"/>
              </a:schemeClr>
            </a:solidFill>
          </c:spPr>
          <c:invertIfNegative val="0"/>
          <c:cat>
            <c:strRef>
              <c:f>Resultate!$B$30</c:f>
              <c:strCache>
                <c:ptCount val="1"/>
                <c:pt idx="0">
                  <c:v>Thermische Nutzenergie</c:v>
                </c:pt>
              </c:strCache>
            </c:strRef>
          </c:cat>
          <c:val>
            <c:numRef>
              <c:f>Resultate!$C$32</c:f>
              <c:numCache>
                <c:formatCode>#,##0.0</c:formatCode>
                <c:ptCount val="1"/>
                <c:pt idx="0">
                  <c:v>0.32453241558931978</c:v>
                </c:pt>
              </c:numCache>
            </c:numRef>
          </c:val>
          <c:extLst>
            <c:ext xmlns:c16="http://schemas.microsoft.com/office/drawing/2014/chart" uri="{C3380CC4-5D6E-409C-BE32-E72D297353CC}">
              <c16:uniqueId val="{00000004-A2B6-47DD-8F84-CABF95A5DFF1}"/>
            </c:ext>
          </c:extLst>
        </c:ser>
        <c:ser>
          <c:idx val="1"/>
          <c:order val="2"/>
          <c:tx>
            <c:strRef>
              <c:f>Resultate!$B$33</c:f>
              <c:strCache>
                <c:ptCount val="1"/>
                <c:pt idx="0">
                  <c:v>Raumheizung</c:v>
                </c:pt>
              </c:strCache>
            </c:strRef>
          </c:tx>
          <c:spPr>
            <a:solidFill>
              <a:srgbClr val="FF0000"/>
            </a:solidFill>
          </c:spPr>
          <c:invertIfNegative val="0"/>
          <c:cat>
            <c:strRef>
              <c:f>Resultate!$B$30</c:f>
              <c:strCache>
                <c:ptCount val="1"/>
                <c:pt idx="0">
                  <c:v>Thermische Nutzenergie</c:v>
                </c:pt>
              </c:strCache>
            </c:strRef>
          </c:cat>
          <c:val>
            <c:numRef>
              <c:f>Resultate!$C$33</c:f>
              <c:numCache>
                <c:formatCode>#,##0.0</c:formatCode>
                <c:ptCount val="1"/>
                <c:pt idx="0">
                  <c:v>10.570318041509172</c:v>
                </c:pt>
              </c:numCache>
            </c:numRef>
          </c:val>
          <c:extLst>
            <c:ext xmlns:c16="http://schemas.microsoft.com/office/drawing/2014/chart" uri="{C3380CC4-5D6E-409C-BE32-E72D297353CC}">
              <c16:uniqueId val="{00000001-A2B6-47DD-8F84-CABF95A5DFF1}"/>
            </c:ext>
          </c:extLst>
        </c:ser>
        <c:ser>
          <c:idx val="2"/>
          <c:order val="3"/>
          <c:tx>
            <c:strRef>
              <c:f>Resultate!$B$34</c:f>
              <c:strCache>
                <c:ptCount val="1"/>
                <c:pt idx="0">
                  <c:v>Lufterwärmung</c:v>
                </c:pt>
              </c:strCache>
            </c:strRef>
          </c:tx>
          <c:invertIfNegative val="0"/>
          <c:cat>
            <c:strRef>
              <c:f>Resultate!$B$30</c:f>
              <c:strCache>
                <c:ptCount val="1"/>
                <c:pt idx="0">
                  <c:v>Thermische Nutzenergie</c:v>
                </c:pt>
              </c:strCache>
            </c:strRef>
          </c:cat>
          <c:val>
            <c:numRef>
              <c:f>Resultate!$C$34</c:f>
              <c:numCache>
                <c:formatCode>#,##0.0</c:formatCode>
                <c:ptCount val="1"/>
                <c:pt idx="0">
                  <c:v>0.77427672485711052</c:v>
                </c:pt>
              </c:numCache>
            </c:numRef>
          </c:val>
          <c:extLst>
            <c:ext xmlns:c16="http://schemas.microsoft.com/office/drawing/2014/chart" uri="{C3380CC4-5D6E-409C-BE32-E72D297353CC}">
              <c16:uniqueId val="{00000002-A2B6-47DD-8F84-CABF95A5DFF1}"/>
            </c:ext>
          </c:extLst>
        </c:ser>
        <c:ser>
          <c:idx val="0"/>
          <c:order val="4"/>
          <c:tx>
            <c:strRef>
              <c:f>Resultate!$B$35</c:f>
              <c:strCache>
                <c:ptCount val="1"/>
                <c:pt idx="0">
                  <c:v>Warmwasser</c:v>
                </c:pt>
              </c:strCache>
            </c:strRef>
          </c:tx>
          <c:spPr>
            <a:solidFill>
              <a:srgbClr val="FFC000"/>
            </a:solidFill>
          </c:spPr>
          <c:invertIfNegative val="0"/>
          <c:cat>
            <c:strRef>
              <c:f>Resultate!$B$30</c:f>
              <c:strCache>
                <c:ptCount val="1"/>
                <c:pt idx="0">
                  <c:v>Thermische Nutzenergie</c:v>
                </c:pt>
              </c:strCache>
            </c:strRef>
          </c:cat>
          <c:val>
            <c:numRef>
              <c:f>Resultate!$C$35</c:f>
              <c:numCache>
                <c:formatCode>#,##0.0</c:formatCode>
                <c:ptCount val="1"/>
                <c:pt idx="0">
                  <c:v>1.5541821691821693</c:v>
                </c:pt>
              </c:numCache>
            </c:numRef>
          </c:val>
          <c:extLst>
            <c:ext xmlns:c16="http://schemas.microsoft.com/office/drawing/2014/chart" uri="{C3380CC4-5D6E-409C-BE32-E72D297353CC}">
              <c16:uniqueId val="{00000003-A2B6-47DD-8F84-CABF95A5DFF1}"/>
            </c:ext>
          </c:extLst>
        </c:ser>
        <c:ser>
          <c:idx val="5"/>
          <c:order val="5"/>
          <c:tx>
            <c:strRef>
              <c:f>Resultate!$B$37</c:f>
              <c:strCache>
                <c:ptCount val="1"/>
                <c:pt idx="0">
                  <c:v>Erwärmung Befeuchtung</c:v>
                </c:pt>
              </c:strCache>
            </c:strRef>
          </c:tx>
          <c:invertIfNegative val="0"/>
          <c:cat>
            <c:strRef>
              <c:f>Resultate!$B$30</c:f>
              <c:strCache>
                <c:ptCount val="1"/>
                <c:pt idx="0">
                  <c:v>Thermische Nutzenergie</c:v>
                </c:pt>
              </c:strCache>
            </c:strRef>
          </c:cat>
          <c:val>
            <c:numRef>
              <c:f>Resultate!$C$37</c:f>
              <c:numCache>
                <c:formatCode>#,##0.0</c:formatCode>
                <c:ptCount val="1"/>
                <c:pt idx="0">
                  <c:v>0</c:v>
                </c:pt>
              </c:numCache>
            </c:numRef>
          </c:val>
          <c:extLst>
            <c:ext xmlns:c16="http://schemas.microsoft.com/office/drawing/2014/chart" uri="{C3380CC4-5D6E-409C-BE32-E72D297353CC}">
              <c16:uniqueId val="{00000005-A2B6-47DD-8F84-CABF95A5DFF1}"/>
            </c:ext>
          </c:extLst>
        </c:ser>
        <c:ser>
          <c:idx val="6"/>
          <c:order val="6"/>
          <c:tx>
            <c:strRef>
              <c:f>Resultate!$B$38</c:f>
              <c:strCache>
                <c:ptCount val="1"/>
                <c:pt idx="0">
                  <c:v>Kühlung Entfeuchtung</c:v>
                </c:pt>
              </c:strCache>
            </c:strRef>
          </c:tx>
          <c:spPr>
            <a:solidFill>
              <a:schemeClr val="accent5"/>
            </a:solidFill>
          </c:spPr>
          <c:invertIfNegative val="0"/>
          <c:cat>
            <c:strRef>
              <c:f>Resultate!$B$30</c:f>
              <c:strCache>
                <c:ptCount val="1"/>
                <c:pt idx="0">
                  <c:v>Thermische Nutzenergie</c:v>
                </c:pt>
              </c:strCache>
            </c:strRef>
          </c:cat>
          <c:val>
            <c:numRef>
              <c:f>Resultate!$C$38</c:f>
              <c:numCache>
                <c:formatCode>#,##0.0</c:formatCode>
                <c:ptCount val="1"/>
                <c:pt idx="0">
                  <c:v>0</c:v>
                </c:pt>
              </c:numCache>
            </c:numRef>
          </c:val>
          <c:extLst>
            <c:ext xmlns:c16="http://schemas.microsoft.com/office/drawing/2014/chart" uri="{C3380CC4-5D6E-409C-BE32-E72D297353CC}">
              <c16:uniqueId val="{00000006-A2B6-47DD-8F84-CABF95A5DFF1}"/>
            </c:ext>
          </c:extLst>
        </c:ser>
        <c:dLbls>
          <c:showLegendKey val="0"/>
          <c:showVal val="0"/>
          <c:showCatName val="0"/>
          <c:showSerName val="0"/>
          <c:showPercent val="0"/>
          <c:showBubbleSize val="0"/>
        </c:dLbls>
        <c:gapWidth val="150"/>
        <c:overlap val="100"/>
        <c:axId val="237429888"/>
        <c:axId val="237431424"/>
      </c:barChart>
      <c:catAx>
        <c:axId val="237429888"/>
        <c:scaling>
          <c:orientation val="minMax"/>
        </c:scaling>
        <c:delete val="1"/>
        <c:axPos val="l"/>
        <c:numFmt formatCode="General" sourceLinked="1"/>
        <c:majorTickMark val="out"/>
        <c:minorTickMark val="none"/>
        <c:tickLblPos val="nextTo"/>
        <c:crossAx val="237431424"/>
        <c:crosses val="autoZero"/>
        <c:auto val="1"/>
        <c:lblAlgn val="ctr"/>
        <c:lblOffset val="100"/>
        <c:noMultiLvlLbl val="0"/>
      </c:catAx>
      <c:valAx>
        <c:axId val="237431424"/>
        <c:scaling>
          <c:orientation val="minMax"/>
          <c:min val="0"/>
        </c:scaling>
        <c:delete val="0"/>
        <c:axPos val="b"/>
        <c:majorGridlines/>
        <c:numFmt formatCode="#,##0" sourceLinked="0"/>
        <c:majorTickMark val="out"/>
        <c:minorTickMark val="none"/>
        <c:tickLblPos val="nextTo"/>
        <c:txPr>
          <a:bodyPr rot="0" vert="horz"/>
          <a:lstStyle/>
          <a:p>
            <a:pPr>
              <a:defRPr sz="900" b="0" i="0" u="none" strike="noStrike" baseline="0">
                <a:solidFill>
                  <a:srgbClr val="000000"/>
                </a:solidFill>
                <a:latin typeface="Arial" panose="020B0604020202020204" pitchFamily="34" charset="0"/>
                <a:ea typeface="Calibri"/>
                <a:cs typeface="Arial" panose="020B0604020202020204" pitchFamily="34" charset="0"/>
              </a:defRPr>
            </a:pPr>
            <a:endParaRPr lang="de-DE"/>
          </a:p>
        </c:txPr>
        <c:crossAx val="237429888"/>
        <c:crosses val="autoZero"/>
        <c:crossBetween val="between"/>
      </c:valAx>
    </c:plotArea>
    <c:legend>
      <c:legendPos val="r"/>
      <c:layout>
        <c:manualLayout>
          <c:xMode val="edge"/>
          <c:yMode val="edge"/>
          <c:x val="0.81035450641023921"/>
          <c:y val="6.5494231825672961E-2"/>
          <c:w val="0.14535355283713094"/>
          <c:h val="0.82848269547701903"/>
        </c:manualLayout>
      </c:layout>
      <c:overlay val="0"/>
      <c:txPr>
        <a:bodyPr/>
        <a:lstStyle/>
        <a:p>
          <a:pPr>
            <a:defRPr sz="900" b="0" i="0" u="none" strike="noStrike" baseline="0">
              <a:solidFill>
                <a:srgbClr val="000000"/>
              </a:solidFill>
              <a:latin typeface="Arial" pitchFamily="34" charset="0"/>
              <a:ea typeface="Calibri"/>
              <a:cs typeface="Arial" pitchFamily="34" charset="0"/>
            </a:defRPr>
          </a:pPr>
          <a:endParaRPr lang="de-DE"/>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de-DE"/>
    </a:p>
  </c:txPr>
  <c:printSettings>
    <c:headerFooter/>
    <c:pageMargins b="0.78740157499999996" l="0.7" r="0.7" t="0.78740157499999996"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2.0364758670489546E-2"/>
          <c:y val="0.14674415786302855"/>
          <c:w val="0.77463043593797032"/>
          <c:h val="0.40975045269423366"/>
        </c:manualLayout>
      </c:layout>
      <c:barChart>
        <c:barDir val="bar"/>
        <c:grouping val="stacked"/>
        <c:varyColors val="0"/>
        <c:ser>
          <c:idx val="0"/>
          <c:order val="0"/>
          <c:tx>
            <c:strRef>
              <c:f>Resultate!$B$52</c:f>
              <c:strCache>
                <c:ptCount val="1"/>
                <c:pt idx="0">
                  <c:v>Allg. Gebäudetechnik</c:v>
                </c:pt>
              </c:strCache>
            </c:strRef>
          </c:tx>
          <c:spPr>
            <a:solidFill>
              <a:schemeClr val="bg1">
                <a:lumMod val="85000"/>
              </a:schemeClr>
            </a:solidFill>
          </c:spPr>
          <c:invertIfNegative val="0"/>
          <c:val>
            <c:numRef>
              <c:f>Resultate!$C$52</c:f>
              <c:numCache>
                <c:formatCode>0</c:formatCode>
                <c:ptCount val="1"/>
                <c:pt idx="0">
                  <c:v>22.572619471744467</c:v>
                </c:pt>
              </c:numCache>
            </c:numRef>
          </c:val>
          <c:extLst>
            <c:ext xmlns:c16="http://schemas.microsoft.com/office/drawing/2014/chart" uri="{C3380CC4-5D6E-409C-BE32-E72D297353CC}">
              <c16:uniqueId val="{00000000-8B02-48FC-82E9-997162C9CB84}"/>
            </c:ext>
          </c:extLst>
        </c:ser>
        <c:ser>
          <c:idx val="1"/>
          <c:order val="1"/>
          <c:tx>
            <c:strRef>
              <c:f>Resultate!$B$53</c:f>
              <c:strCache>
                <c:ptCount val="1"/>
                <c:pt idx="0">
                  <c:v>Geräte</c:v>
                </c:pt>
              </c:strCache>
            </c:strRef>
          </c:tx>
          <c:spPr>
            <a:solidFill>
              <a:srgbClr val="92D050"/>
            </a:solidFill>
          </c:spPr>
          <c:invertIfNegative val="0"/>
          <c:cat>
            <c:strLit>
              <c:ptCount val="1"/>
              <c:pt idx="0">
                <c:v>Primärenergie nicht ern.</c:v>
              </c:pt>
            </c:strLit>
          </c:cat>
          <c:val>
            <c:numRef>
              <c:f>Resultate!$C$53</c:f>
              <c:numCache>
                <c:formatCode>0.0</c:formatCode>
                <c:ptCount val="1"/>
                <c:pt idx="0">
                  <c:v>22.572619471744467</c:v>
                </c:pt>
              </c:numCache>
            </c:numRef>
          </c:val>
          <c:extLst>
            <c:ext xmlns:c16="http://schemas.microsoft.com/office/drawing/2014/chart" uri="{C3380CC4-5D6E-409C-BE32-E72D297353CC}">
              <c16:uniqueId val="{00000001-8B02-48FC-82E9-997162C9CB84}"/>
            </c:ext>
          </c:extLst>
        </c:ser>
        <c:ser>
          <c:idx val="7"/>
          <c:order val="2"/>
          <c:tx>
            <c:strRef>
              <c:f>Resultate!$B$54</c:f>
              <c:strCache>
                <c:ptCount val="1"/>
                <c:pt idx="0">
                  <c:v>Prozessanlagen</c:v>
                </c:pt>
              </c:strCache>
            </c:strRef>
          </c:tx>
          <c:spPr>
            <a:solidFill>
              <a:schemeClr val="accent3">
                <a:lumMod val="40000"/>
                <a:lumOff val="60000"/>
              </a:schemeClr>
            </a:solidFill>
          </c:spPr>
          <c:invertIfNegative val="0"/>
          <c:val>
            <c:numRef>
              <c:f>Resultate!$C$54</c:f>
              <c:numCache>
                <c:formatCode>0.0</c:formatCode>
                <c:ptCount val="1"/>
                <c:pt idx="0">
                  <c:v>8.6871468058968055</c:v>
                </c:pt>
              </c:numCache>
            </c:numRef>
          </c:val>
          <c:extLst>
            <c:ext xmlns:c16="http://schemas.microsoft.com/office/drawing/2014/chart" uri="{C3380CC4-5D6E-409C-BE32-E72D297353CC}">
              <c16:uniqueId val="{00000002-8B02-48FC-82E9-997162C9CB84}"/>
            </c:ext>
          </c:extLst>
        </c:ser>
        <c:ser>
          <c:idx val="2"/>
          <c:order val="3"/>
          <c:tx>
            <c:strRef>
              <c:f>Resultate!$B$55</c:f>
              <c:strCache>
                <c:ptCount val="1"/>
                <c:pt idx="0">
                  <c:v>Beleuchtung</c:v>
                </c:pt>
              </c:strCache>
            </c:strRef>
          </c:tx>
          <c:spPr>
            <a:solidFill>
              <a:srgbClr val="FFFF66"/>
            </a:solidFill>
          </c:spPr>
          <c:invertIfNegative val="0"/>
          <c:cat>
            <c:strLit>
              <c:ptCount val="1"/>
              <c:pt idx="0">
                <c:v>Primärenergie nicht ern.</c:v>
              </c:pt>
            </c:strLit>
          </c:cat>
          <c:val>
            <c:numRef>
              <c:f>Resultate!$C$55</c:f>
              <c:numCache>
                <c:formatCode>0.0</c:formatCode>
                <c:ptCount val="1"/>
                <c:pt idx="0">
                  <c:v>24.744530000305158</c:v>
                </c:pt>
              </c:numCache>
            </c:numRef>
          </c:val>
          <c:extLst>
            <c:ext xmlns:c16="http://schemas.microsoft.com/office/drawing/2014/chart" uri="{C3380CC4-5D6E-409C-BE32-E72D297353CC}">
              <c16:uniqueId val="{00000003-8B02-48FC-82E9-997162C9CB84}"/>
            </c:ext>
          </c:extLst>
        </c:ser>
        <c:ser>
          <c:idx val="3"/>
          <c:order val="4"/>
          <c:tx>
            <c:strRef>
              <c:f>Resultate!$B$56</c:f>
              <c:strCache>
                <c:ptCount val="1"/>
                <c:pt idx="0">
                  <c:v>Lüftung</c:v>
                </c:pt>
              </c:strCache>
            </c:strRef>
          </c:tx>
          <c:spPr>
            <a:solidFill>
              <a:srgbClr val="00B0F0"/>
            </a:solidFill>
          </c:spPr>
          <c:invertIfNegative val="0"/>
          <c:cat>
            <c:strLit>
              <c:ptCount val="1"/>
              <c:pt idx="0">
                <c:v>Primärenergie nicht ern.</c:v>
              </c:pt>
            </c:strLit>
          </c:cat>
          <c:val>
            <c:numRef>
              <c:f>Resultate!$C$56</c:f>
              <c:numCache>
                <c:formatCode>0.0</c:formatCode>
                <c:ptCount val="1"/>
                <c:pt idx="0">
                  <c:v>13.418353473440975</c:v>
                </c:pt>
              </c:numCache>
            </c:numRef>
          </c:val>
          <c:extLst>
            <c:ext xmlns:c16="http://schemas.microsoft.com/office/drawing/2014/chart" uri="{C3380CC4-5D6E-409C-BE32-E72D297353CC}">
              <c16:uniqueId val="{00000004-8B02-48FC-82E9-997162C9CB84}"/>
            </c:ext>
          </c:extLst>
        </c:ser>
        <c:ser>
          <c:idx val="4"/>
          <c:order val="5"/>
          <c:tx>
            <c:strRef>
              <c:f>Resultate!$B$57</c:f>
              <c:strCache>
                <c:ptCount val="1"/>
                <c:pt idx="0">
                  <c:v>Kühlung (Raum, Luft)</c:v>
                </c:pt>
              </c:strCache>
            </c:strRef>
          </c:tx>
          <c:spPr>
            <a:solidFill>
              <a:srgbClr val="0070C0"/>
            </a:solidFill>
          </c:spPr>
          <c:invertIfNegative val="0"/>
          <c:cat>
            <c:strLit>
              <c:ptCount val="1"/>
              <c:pt idx="0">
                <c:v>Primärenergie nicht ern.</c:v>
              </c:pt>
            </c:strLit>
          </c:cat>
          <c:val>
            <c:numRef>
              <c:f>Resultate!$C$57</c:f>
              <c:numCache>
                <c:formatCode>0.0</c:formatCode>
                <c:ptCount val="1"/>
                <c:pt idx="0">
                  <c:v>3.3567875224185046</c:v>
                </c:pt>
              </c:numCache>
            </c:numRef>
          </c:val>
          <c:extLst>
            <c:ext xmlns:c16="http://schemas.microsoft.com/office/drawing/2014/chart" uri="{C3380CC4-5D6E-409C-BE32-E72D297353CC}">
              <c16:uniqueId val="{00000005-8B02-48FC-82E9-997162C9CB84}"/>
            </c:ext>
          </c:extLst>
        </c:ser>
        <c:ser>
          <c:idx val="5"/>
          <c:order val="6"/>
          <c:tx>
            <c:strRef>
              <c:f>Resultate!$B$58</c:f>
              <c:strCache>
                <c:ptCount val="1"/>
                <c:pt idx="0">
                  <c:v>Heizung (Raum, Luft)</c:v>
                </c:pt>
              </c:strCache>
            </c:strRef>
          </c:tx>
          <c:spPr>
            <a:solidFill>
              <a:srgbClr val="FF0000"/>
            </a:solidFill>
          </c:spPr>
          <c:invertIfNegative val="0"/>
          <c:cat>
            <c:strLit>
              <c:ptCount val="1"/>
              <c:pt idx="0">
                <c:v>Primärenergie nicht ern.</c:v>
              </c:pt>
            </c:strLit>
          </c:cat>
          <c:val>
            <c:numRef>
              <c:f>Resultate!$C$58</c:f>
              <c:numCache>
                <c:formatCode>0.0</c:formatCode>
                <c:ptCount val="1"/>
                <c:pt idx="0">
                  <c:v>5.5958024013299283</c:v>
                </c:pt>
              </c:numCache>
            </c:numRef>
          </c:val>
          <c:extLst>
            <c:ext xmlns:c16="http://schemas.microsoft.com/office/drawing/2014/chart" uri="{C3380CC4-5D6E-409C-BE32-E72D297353CC}">
              <c16:uniqueId val="{00000006-8B02-48FC-82E9-997162C9CB84}"/>
            </c:ext>
          </c:extLst>
        </c:ser>
        <c:ser>
          <c:idx val="6"/>
          <c:order val="7"/>
          <c:tx>
            <c:strRef>
              <c:f>Resultate!$B$59</c:f>
              <c:strCache>
                <c:ptCount val="1"/>
                <c:pt idx="0">
                  <c:v>Warmwasser</c:v>
                </c:pt>
              </c:strCache>
            </c:strRef>
          </c:tx>
          <c:spPr>
            <a:solidFill>
              <a:srgbClr val="FFC000"/>
            </a:solidFill>
          </c:spPr>
          <c:invertIfNegative val="0"/>
          <c:cat>
            <c:strLit>
              <c:ptCount val="1"/>
              <c:pt idx="0">
                <c:v>Primärenergie nicht ern.</c:v>
              </c:pt>
            </c:strLit>
          </c:cat>
          <c:val>
            <c:numRef>
              <c:f>Resultate!$C$59</c:f>
              <c:numCache>
                <c:formatCode>0.0</c:formatCode>
                <c:ptCount val="1"/>
                <c:pt idx="0">
                  <c:v>1.2177969287469288</c:v>
                </c:pt>
              </c:numCache>
            </c:numRef>
          </c:val>
          <c:extLst>
            <c:ext xmlns:c16="http://schemas.microsoft.com/office/drawing/2014/chart" uri="{C3380CC4-5D6E-409C-BE32-E72D297353CC}">
              <c16:uniqueId val="{00000007-8B02-48FC-82E9-997162C9CB84}"/>
            </c:ext>
          </c:extLst>
        </c:ser>
        <c:dLbls>
          <c:showLegendKey val="0"/>
          <c:showVal val="0"/>
          <c:showCatName val="0"/>
          <c:showSerName val="0"/>
          <c:showPercent val="0"/>
          <c:showBubbleSize val="0"/>
        </c:dLbls>
        <c:gapWidth val="150"/>
        <c:overlap val="100"/>
        <c:axId val="238051712"/>
        <c:axId val="238053248"/>
      </c:barChart>
      <c:catAx>
        <c:axId val="238051712"/>
        <c:scaling>
          <c:orientation val="minMax"/>
        </c:scaling>
        <c:delete val="1"/>
        <c:axPos val="l"/>
        <c:numFmt formatCode="General" sourceLinked="1"/>
        <c:majorTickMark val="out"/>
        <c:minorTickMark val="none"/>
        <c:tickLblPos val="nextTo"/>
        <c:crossAx val="238053248"/>
        <c:crosses val="autoZero"/>
        <c:auto val="1"/>
        <c:lblAlgn val="ctr"/>
        <c:lblOffset val="100"/>
        <c:noMultiLvlLbl val="0"/>
      </c:catAx>
      <c:valAx>
        <c:axId val="238053248"/>
        <c:scaling>
          <c:orientation val="minMax"/>
          <c:min val="0"/>
        </c:scaling>
        <c:delete val="0"/>
        <c:axPos val="b"/>
        <c:majorGridlines/>
        <c:numFmt formatCode="0" sourceLinked="0"/>
        <c:majorTickMark val="out"/>
        <c:minorTickMark val="none"/>
        <c:tickLblPos val="nextTo"/>
        <c:txPr>
          <a:bodyPr rot="0" vert="horz"/>
          <a:lstStyle/>
          <a:p>
            <a:pPr>
              <a:defRPr/>
            </a:pPr>
            <a:endParaRPr lang="de-DE"/>
          </a:p>
        </c:txPr>
        <c:crossAx val="238051712"/>
        <c:crosses val="autoZero"/>
        <c:crossBetween val="between"/>
        <c:minorUnit val="4"/>
      </c:valAx>
    </c:plotArea>
    <c:legend>
      <c:legendPos val="r"/>
      <c:layout>
        <c:manualLayout>
          <c:xMode val="edge"/>
          <c:yMode val="edge"/>
          <c:x val="0.81326774876045838"/>
          <c:y val="5.8672143496607916E-3"/>
          <c:w val="0.18377104508729272"/>
          <c:h val="0.95051480300771418"/>
        </c:manualLayout>
      </c:layout>
      <c:overlay val="0"/>
    </c:legend>
    <c:plotVisOnly val="1"/>
    <c:dispBlanksAs val="gap"/>
    <c:showDLblsOverMax val="0"/>
  </c:chart>
  <c:spPr>
    <a:ln>
      <a:noFill/>
    </a:ln>
  </c:spPr>
  <c:txPr>
    <a:bodyPr/>
    <a:lstStyle/>
    <a:p>
      <a:pPr>
        <a:defRPr sz="900" b="0" i="0" u="none" strike="noStrike" baseline="0">
          <a:solidFill>
            <a:srgbClr val="000000"/>
          </a:solidFill>
          <a:latin typeface="Arial" panose="020B0604020202020204" pitchFamily="34" charset="0"/>
          <a:ea typeface="Calibri"/>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1.3209841504411355E-2"/>
          <c:y val="0.13087330934793284"/>
          <c:w val="0.79224612079722445"/>
          <c:h val="0.40975045269423366"/>
        </c:manualLayout>
      </c:layout>
      <c:barChart>
        <c:barDir val="bar"/>
        <c:grouping val="stacked"/>
        <c:varyColors val="0"/>
        <c:ser>
          <c:idx val="0"/>
          <c:order val="0"/>
          <c:tx>
            <c:strRef>
              <c:f>Resultate!$B$64</c:f>
              <c:strCache>
                <c:ptCount val="1"/>
                <c:pt idx="0">
                  <c:v>Allg. Gebäudetechnik</c:v>
                </c:pt>
              </c:strCache>
            </c:strRef>
          </c:tx>
          <c:spPr>
            <a:solidFill>
              <a:schemeClr val="bg1">
                <a:lumMod val="85000"/>
              </a:schemeClr>
            </a:solidFill>
          </c:spPr>
          <c:invertIfNegative val="0"/>
          <c:val>
            <c:numRef>
              <c:f>Resultate!$C$64</c:f>
              <c:numCache>
                <c:formatCode>0.0</c:formatCode>
                <c:ptCount val="1"/>
                <c:pt idx="0">
                  <c:v>1.1663918611793611</c:v>
                </c:pt>
              </c:numCache>
            </c:numRef>
          </c:val>
          <c:extLst>
            <c:ext xmlns:c16="http://schemas.microsoft.com/office/drawing/2014/chart" uri="{C3380CC4-5D6E-409C-BE32-E72D297353CC}">
              <c16:uniqueId val="{00000000-6915-4646-80D9-D7BA385C15CA}"/>
            </c:ext>
          </c:extLst>
        </c:ser>
        <c:ser>
          <c:idx val="1"/>
          <c:order val="1"/>
          <c:tx>
            <c:strRef>
              <c:f>Resultate!$B$65</c:f>
              <c:strCache>
                <c:ptCount val="1"/>
                <c:pt idx="0">
                  <c:v>Geräte</c:v>
                </c:pt>
              </c:strCache>
            </c:strRef>
          </c:tx>
          <c:spPr>
            <a:solidFill>
              <a:srgbClr val="92D050"/>
            </a:solidFill>
          </c:spPr>
          <c:invertIfNegative val="0"/>
          <c:val>
            <c:numRef>
              <c:f>Resultate!$C$65</c:f>
              <c:numCache>
                <c:formatCode>0.0</c:formatCode>
                <c:ptCount val="1"/>
                <c:pt idx="0">
                  <c:v>2.7681768888206393</c:v>
                </c:pt>
              </c:numCache>
            </c:numRef>
          </c:val>
          <c:extLst>
            <c:ext xmlns:c16="http://schemas.microsoft.com/office/drawing/2014/chart" uri="{C3380CC4-5D6E-409C-BE32-E72D297353CC}">
              <c16:uniqueId val="{00000001-6915-4646-80D9-D7BA385C15CA}"/>
            </c:ext>
          </c:extLst>
        </c:ser>
        <c:ser>
          <c:idx val="7"/>
          <c:order val="2"/>
          <c:tx>
            <c:strRef>
              <c:f>Resultate!$B$66</c:f>
              <c:strCache>
                <c:ptCount val="1"/>
                <c:pt idx="0">
                  <c:v>Prozessanlagen</c:v>
                </c:pt>
              </c:strCache>
            </c:strRef>
          </c:tx>
          <c:invertIfNegative val="0"/>
          <c:val>
            <c:numRef>
              <c:f>Resultate!$C$66</c:f>
              <c:numCache>
                <c:formatCode>0.0</c:formatCode>
                <c:ptCount val="1"/>
                <c:pt idx="0">
                  <c:v>0.44888974201474197</c:v>
                </c:pt>
              </c:numCache>
            </c:numRef>
          </c:val>
          <c:extLst>
            <c:ext xmlns:c16="http://schemas.microsoft.com/office/drawing/2014/chart" uri="{C3380CC4-5D6E-409C-BE32-E72D297353CC}">
              <c16:uniqueId val="{00000002-6915-4646-80D9-D7BA385C15CA}"/>
            </c:ext>
          </c:extLst>
        </c:ser>
        <c:ser>
          <c:idx val="2"/>
          <c:order val="3"/>
          <c:tx>
            <c:strRef>
              <c:f>Resultate!$B$67</c:f>
              <c:strCache>
                <c:ptCount val="1"/>
                <c:pt idx="0">
                  <c:v>Beleuchtung</c:v>
                </c:pt>
              </c:strCache>
            </c:strRef>
          </c:tx>
          <c:spPr>
            <a:solidFill>
              <a:srgbClr val="FFFF66"/>
            </a:solidFill>
          </c:spPr>
          <c:invertIfNegative val="0"/>
          <c:val>
            <c:numRef>
              <c:f>Resultate!$C$67</c:f>
              <c:numCache>
                <c:formatCode>0.0</c:formatCode>
                <c:ptCount val="1"/>
                <c:pt idx="0">
                  <c:v>1.2786206951830543</c:v>
                </c:pt>
              </c:numCache>
            </c:numRef>
          </c:val>
          <c:extLst>
            <c:ext xmlns:c16="http://schemas.microsoft.com/office/drawing/2014/chart" uri="{C3380CC4-5D6E-409C-BE32-E72D297353CC}">
              <c16:uniqueId val="{00000003-6915-4646-80D9-D7BA385C15CA}"/>
            </c:ext>
          </c:extLst>
        </c:ser>
        <c:ser>
          <c:idx val="3"/>
          <c:order val="4"/>
          <c:tx>
            <c:strRef>
              <c:f>Resultate!$B$68</c:f>
              <c:strCache>
                <c:ptCount val="1"/>
                <c:pt idx="0">
                  <c:v>Lüftung</c:v>
                </c:pt>
              </c:strCache>
            </c:strRef>
          </c:tx>
          <c:spPr>
            <a:solidFill>
              <a:srgbClr val="00B0F0"/>
            </a:solidFill>
          </c:spPr>
          <c:invertIfNegative val="0"/>
          <c:val>
            <c:numRef>
              <c:f>Resultate!$C$68</c:f>
              <c:numCache>
                <c:formatCode>0.0</c:formatCode>
                <c:ptCount val="1"/>
                <c:pt idx="0">
                  <c:v>0.69336473338598359</c:v>
                </c:pt>
              </c:numCache>
            </c:numRef>
          </c:val>
          <c:extLst>
            <c:ext xmlns:c16="http://schemas.microsoft.com/office/drawing/2014/chart" uri="{C3380CC4-5D6E-409C-BE32-E72D297353CC}">
              <c16:uniqueId val="{00000004-6915-4646-80D9-D7BA385C15CA}"/>
            </c:ext>
          </c:extLst>
        </c:ser>
        <c:ser>
          <c:idx val="4"/>
          <c:order val="5"/>
          <c:tx>
            <c:strRef>
              <c:f>Resultate!$B$69</c:f>
              <c:strCache>
                <c:ptCount val="1"/>
                <c:pt idx="0">
                  <c:v>Kühlung (Raum, Luft)</c:v>
                </c:pt>
              </c:strCache>
            </c:strRef>
          </c:tx>
          <c:spPr>
            <a:solidFill>
              <a:srgbClr val="0070C0"/>
            </a:solidFill>
          </c:spPr>
          <c:invertIfNegative val="0"/>
          <c:val>
            <c:numRef>
              <c:f>Resultate!$C$69</c:f>
              <c:numCache>
                <c:formatCode>0.0</c:formatCode>
                <c:ptCount val="1"/>
                <c:pt idx="0">
                  <c:v>0.17345481993166256</c:v>
                </c:pt>
              </c:numCache>
            </c:numRef>
          </c:val>
          <c:extLst>
            <c:ext xmlns:c16="http://schemas.microsoft.com/office/drawing/2014/chart" uri="{C3380CC4-5D6E-409C-BE32-E72D297353CC}">
              <c16:uniqueId val="{00000005-6915-4646-80D9-D7BA385C15CA}"/>
            </c:ext>
          </c:extLst>
        </c:ser>
        <c:ser>
          <c:idx val="5"/>
          <c:order val="6"/>
          <c:tx>
            <c:strRef>
              <c:f>Resultate!$B$70</c:f>
              <c:strCache>
                <c:ptCount val="1"/>
                <c:pt idx="0">
                  <c:v>Heizung (Raum, Luft)</c:v>
                </c:pt>
              </c:strCache>
            </c:strRef>
          </c:tx>
          <c:spPr>
            <a:solidFill>
              <a:srgbClr val="FF0000"/>
            </a:solidFill>
          </c:spPr>
          <c:invertIfNegative val="0"/>
          <c:val>
            <c:numRef>
              <c:f>Resultate!$C$70</c:f>
              <c:numCache>
                <c:formatCode>0.0</c:formatCode>
                <c:ptCount val="1"/>
                <c:pt idx="0">
                  <c:v>0.373528885964586</c:v>
                </c:pt>
              </c:numCache>
            </c:numRef>
          </c:val>
          <c:extLst>
            <c:ext xmlns:c16="http://schemas.microsoft.com/office/drawing/2014/chart" uri="{C3380CC4-5D6E-409C-BE32-E72D297353CC}">
              <c16:uniqueId val="{00000006-6915-4646-80D9-D7BA385C15CA}"/>
            </c:ext>
          </c:extLst>
        </c:ser>
        <c:ser>
          <c:idx val="6"/>
          <c:order val="7"/>
          <c:tx>
            <c:strRef>
              <c:f>Resultate!$B$71</c:f>
              <c:strCache>
                <c:ptCount val="1"/>
                <c:pt idx="0">
                  <c:v>Warmwasser</c:v>
                </c:pt>
              </c:strCache>
            </c:strRef>
          </c:tx>
          <c:spPr>
            <a:solidFill>
              <a:srgbClr val="FFC000"/>
            </a:solidFill>
          </c:spPr>
          <c:invertIfNegative val="0"/>
          <c:val>
            <c:numRef>
              <c:f>Resultate!$C$71</c:f>
              <c:numCache>
                <c:formatCode>0.0</c:formatCode>
                <c:ptCount val="1"/>
                <c:pt idx="0">
                  <c:v>7.8770911547911562E-2</c:v>
                </c:pt>
              </c:numCache>
            </c:numRef>
          </c:val>
          <c:extLst>
            <c:ext xmlns:c16="http://schemas.microsoft.com/office/drawing/2014/chart" uri="{C3380CC4-5D6E-409C-BE32-E72D297353CC}">
              <c16:uniqueId val="{00000007-6915-4646-80D9-D7BA385C15CA}"/>
            </c:ext>
          </c:extLst>
        </c:ser>
        <c:dLbls>
          <c:showLegendKey val="0"/>
          <c:showVal val="0"/>
          <c:showCatName val="0"/>
          <c:showSerName val="0"/>
          <c:showPercent val="0"/>
          <c:showBubbleSize val="0"/>
        </c:dLbls>
        <c:gapWidth val="150"/>
        <c:overlap val="100"/>
        <c:axId val="238087168"/>
        <c:axId val="239141632"/>
      </c:barChart>
      <c:catAx>
        <c:axId val="238087168"/>
        <c:scaling>
          <c:orientation val="minMax"/>
        </c:scaling>
        <c:delete val="1"/>
        <c:axPos val="l"/>
        <c:numFmt formatCode="General" sourceLinked="1"/>
        <c:majorTickMark val="out"/>
        <c:minorTickMark val="none"/>
        <c:tickLblPos val="nextTo"/>
        <c:crossAx val="239141632"/>
        <c:crosses val="autoZero"/>
        <c:auto val="1"/>
        <c:lblAlgn val="ctr"/>
        <c:lblOffset val="100"/>
        <c:noMultiLvlLbl val="0"/>
      </c:catAx>
      <c:valAx>
        <c:axId val="239141632"/>
        <c:scaling>
          <c:orientation val="minMax"/>
          <c:min val="0"/>
        </c:scaling>
        <c:delete val="0"/>
        <c:axPos val="b"/>
        <c:majorGridlines/>
        <c:numFmt formatCode="0" sourceLinked="0"/>
        <c:majorTickMark val="out"/>
        <c:minorTickMark val="none"/>
        <c:tickLblPos val="nextTo"/>
        <c:txPr>
          <a:bodyPr rot="0" vert="horz"/>
          <a:lstStyle/>
          <a:p>
            <a:pPr>
              <a:defRPr/>
            </a:pPr>
            <a:endParaRPr lang="de-DE"/>
          </a:p>
        </c:txPr>
        <c:crossAx val="238087168"/>
        <c:crosses val="autoZero"/>
        <c:crossBetween val="between"/>
      </c:valAx>
    </c:plotArea>
    <c:legend>
      <c:legendPos val="r"/>
      <c:layout>
        <c:manualLayout>
          <c:xMode val="edge"/>
          <c:yMode val="edge"/>
          <c:x val="0.82353680204697544"/>
          <c:y val="1.8095272610030629E-3"/>
          <c:w val="0.17495790478811535"/>
          <c:h val="0.95051451202291593"/>
        </c:manualLayout>
      </c:layout>
      <c:overlay val="0"/>
    </c:legend>
    <c:plotVisOnly val="1"/>
    <c:dispBlanksAs val="gap"/>
    <c:showDLblsOverMax val="0"/>
  </c:chart>
  <c:spPr>
    <a:ln>
      <a:noFill/>
    </a:ln>
  </c:spPr>
  <c:txPr>
    <a:bodyPr/>
    <a:lstStyle/>
    <a:p>
      <a:pPr>
        <a:defRPr sz="900" b="0" i="0" u="none" strike="noStrike" baseline="0">
          <a:solidFill>
            <a:srgbClr val="000000"/>
          </a:solidFill>
          <a:latin typeface="Arial" panose="020B0604020202020204" pitchFamily="34" charset="0"/>
          <a:ea typeface="Calibri"/>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0"/>
    <c:plotArea>
      <c:layout>
        <c:manualLayout>
          <c:layoutTarget val="inner"/>
          <c:xMode val="edge"/>
          <c:yMode val="edge"/>
          <c:x val="2.2193137692935266E-2"/>
          <c:y val="0.14674415786302855"/>
          <c:w val="0.77280207075206142"/>
          <c:h val="0.40975045269423366"/>
        </c:manualLayout>
      </c:layout>
      <c:barChart>
        <c:barDir val="bar"/>
        <c:grouping val="stacked"/>
        <c:varyColors val="0"/>
        <c:ser>
          <c:idx val="0"/>
          <c:order val="0"/>
          <c:tx>
            <c:strRef>
              <c:f>Resultate!$B$40</c:f>
              <c:strCache>
                <c:ptCount val="1"/>
                <c:pt idx="0">
                  <c:v>Allg. Gebäudetechnik</c:v>
                </c:pt>
              </c:strCache>
            </c:strRef>
          </c:tx>
          <c:spPr>
            <a:solidFill>
              <a:schemeClr val="bg1">
                <a:lumMod val="85000"/>
              </a:schemeClr>
            </a:solidFill>
          </c:spPr>
          <c:invertIfNegative val="0"/>
          <c:val>
            <c:numRef>
              <c:f>Resultate!$C$40</c:f>
              <c:numCache>
                <c:formatCode>0.0</c:formatCode>
                <c:ptCount val="1"/>
                <c:pt idx="0">
                  <c:v>8.3913083538083519</c:v>
                </c:pt>
              </c:numCache>
            </c:numRef>
          </c:val>
          <c:extLst>
            <c:ext xmlns:c16="http://schemas.microsoft.com/office/drawing/2014/chart" uri="{C3380CC4-5D6E-409C-BE32-E72D297353CC}">
              <c16:uniqueId val="{00000000-D5B9-415D-88BA-C6096A0A8101}"/>
            </c:ext>
          </c:extLst>
        </c:ser>
        <c:ser>
          <c:idx val="1"/>
          <c:order val="1"/>
          <c:tx>
            <c:strRef>
              <c:f>Resultate!$B$41</c:f>
              <c:strCache>
                <c:ptCount val="1"/>
                <c:pt idx="0">
                  <c:v>Geräte</c:v>
                </c:pt>
              </c:strCache>
            </c:strRef>
          </c:tx>
          <c:spPr>
            <a:solidFill>
              <a:srgbClr val="92D050"/>
            </a:solidFill>
          </c:spPr>
          <c:invertIfNegative val="0"/>
          <c:val>
            <c:numRef>
              <c:f>Resultate!$C$41</c:f>
              <c:numCache>
                <c:formatCode>0.0</c:formatCode>
                <c:ptCount val="1"/>
                <c:pt idx="0">
                  <c:v>19.914941646191643</c:v>
                </c:pt>
              </c:numCache>
            </c:numRef>
          </c:val>
          <c:extLst>
            <c:ext xmlns:c16="http://schemas.microsoft.com/office/drawing/2014/chart" uri="{C3380CC4-5D6E-409C-BE32-E72D297353CC}">
              <c16:uniqueId val="{00000001-D5B9-415D-88BA-C6096A0A8101}"/>
            </c:ext>
          </c:extLst>
        </c:ser>
        <c:ser>
          <c:idx val="7"/>
          <c:order val="2"/>
          <c:tx>
            <c:strRef>
              <c:f>Resultate!$B$42</c:f>
              <c:strCache>
                <c:ptCount val="1"/>
                <c:pt idx="0">
                  <c:v>Prozessanlagen</c:v>
                </c:pt>
              </c:strCache>
            </c:strRef>
          </c:tx>
          <c:spPr>
            <a:solidFill>
              <a:schemeClr val="accent3">
                <a:lumMod val="40000"/>
                <a:lumOff val="60000"/>
              </a:schemeClr>
            </a:solidFill>
          </c:spPr>
          <c:invertIfNegative val="0"/>
          <c:val>
            <c:numRef>
              <c:f>Resultate!$C$42</c:f>
              <c:numCache>
                <c:formatCode>0.0</c:formatCode>
                <c:ptCount val="1"/>
                <c:pt idx="0">
                  <c:v>3.229422604422604</c:v>
                </c:pt>
              </c:numCache>
            </c:numRef>
          </c:val>
          <c:extLst>
            <c:ext xmlns:c16="http://schemas.microsoft.com/office/drawing/2014/chart" uri="{C3380CC4-5D6E-409C-BE32-E72D297353CC}">
              <c16:uniqueId val="{00000002-D5B9-415D-88BA-C6096A0A8101}"/>
            </c:ext>
          </c:extLst>
        </c:ser>
        <c:ser>
          <c:idx val="2"/>
          <c:order val="3"/>
          <c:tx>
            <c:strRef>
              <c:f>Resultate!$B$43</c:f>
              <c:strCache>
                <c:ptCount val="1"/>
                <c:pt idx="0">
                  <c:v>Beleuchtung</c:v>
                </c:pt>
              </c:strCache>
            </c:strRef>
          </c:tx>
          <c:spPr>
            <a:solidFill>
              <a:srgbClr val="FFFF66"/>
            </a:solidFill>
          </c:spPr>
          <c:invertIfNegative val="0"/>
          <c:val>
            <c:numRef>
              <c:f>Resultate!$C$43</c:f>
              <c:numCache>
                <c:formatCode>0.0</c:formatCode>
                <c:ptCount val="1"/>
                <c:pt idx="0">
                  <c:v>9.1987100372881621</c:v>
                </c:pt>
              </c:numCache>
            </c:numRef>
          </c:val>
          <c:extLst>
            <c:ext xmlns:c16="http://schemas.microsoft.com/office/drawing/2014/chart" uri="{C3380CC4-5D6E-409C-BE32-E72D297353CC}">
              <c16:uniqueId val="{00000003-D5B9-415D-88BA-C6096A0A8101}"/>
            </c:ext>
          </c:extLst>
        </c:ser>
        <c:ser>
          <c:idx val="3"/>
          <c:order val="4"/>
          <c:tx>
            <c:strRef>
              <c:f>Resultate!$B$44</c:f>
              <c:strCache>
                <c:ptCount val="1"/>
                <c:pt idx="0">
                  <c:v>Lüftung</c:v>
                </c:pt>
              </c:strCache>
            </c:strRef>
          </c:tx>
          <c:spPr>
            <a:solidFill>
              <a:srgbClr val="00B0F0"/>
            </a:solidFill>
          </c:spPr>
          <c:invertIfNegative val="0"/>
          <c:val>
            <c:numRef>
              <c:f>Resultate!$C$44</c:f>
              <c:numCache>
                <c:formatCode>0.0</c:formatCode>
                <c:ptCount val="1"/>
                <c:pt idx="0">
                  <c:v>4.9882354919854928</c:v>
                </c:pt>
              </c:numCache>
            </c:numRef>
          </c:val>
          <c:extLst>
            <c:ext xmlns:c16="http://schemas.microsoft.com/office/drawing/2014/chart" uri="{C3380CC4-5D6E-409C-BE32-E72D297353CC}">
              <c16:uniqueId val="{00000004-D5B9-415D-88BA-C6096A0A8101}"/>
            </c:ext>
          </c:extLst>
        </c:ser>
        <c:ser>
          <c:idx val="4"/>
          <c:order val="5"/>
          <c:tx>
            <c:strRef>
              <c:f>Resultate!$B$45</c:f>
              <c:strCache>
                <c:ptCount val="1"/>
                <c:pt idx="0">
                  <c:v>Kühlung (Raum, Luft)</c:v>
                </c:pt>
              </c:strCache>
            </c:strRef>
          </c:tx>
          <c:spPr>
            <a:solidFill>
              <a:srgbClr val="0070C0"/>
            </a:solidFill>
          </c:spPr>
          <c:invertIfNegative val="0"/>
          <c:val>
            <c:numRef>
              <c:f>Resultate!$C$45</c:f>
              <c:numCache>
                <c:formatCode>0.0</c:formatCode>
                <c:ptCount val="1"/>
                <c:pt idx="0">
                  <c:v>1.2478764023860613</c:v>
                </c:pt>
              </c:numCache>
            </c:numRef>
          </c:val>
          <c:extLst>
            <c:ext xmlns:c16="http://schemas.microsoft.com/office/drawing/2014/chart" uri="{C3380CC4-5D6E-409C-BE32-E72D297353CC}">
              <c16:uniqueId val="{00000005-D5B9-415D-88BA-C6096A0A8101}"/>
            </c:ext>
          </c:extLst>
        </c:ser>
        <c:ser>
          <c:idx val="5"/>
          <c:order val="6"/>
          <c:tx>
            <c:strRef>
              <c:f>Resultate!$B$46</c:f>
              <c:strCache>
                <c:ptCount val="1"/>
                <c:pt idx="0">
                  <c:v>Heizung (Raum, Luft)</c:v>
                </c:pt>
              </c:strCache>
            </c:strRef>
          </c:tx>
          <c:spPr>
            <a:solidFill>
              <a:srgbClr val="FF0000"/>
            </a:solidFill>
          </c:spPr>
          <c:invertIfNegative val="0"/>
          <c:val>
            <c:numRef>
              <c:f>Resultate!$C$46</c:f>
              <c:numCache>
                <c:formatCode>0.0</c:formatCode>
                <c:ptCount val="1"/>
                <c:pt idx="0">
                  <c:v>1.8151351626186056</c:v>
                </c:pt>
              </c:numCache>
            </c:numRef>
          </c:val>
          <c:extLst>
            <c:ext xmlns:c16="http://schemas.microsoft.com/office/drawing/2014/chart" uri="{C3380CC4-5D6E-409C-BE32-E72D297353CC}">
              <c16:uniqueId val="{00000006-D5B9-415D-88BA-C6096A0A8101}"/>
            </c:ext>
          </c:extLst>
        </c:ser>
        <c:ser>
          <c:idx val="6"/>
          <c:order val="7"/>
          <c:tx>
            <c:strRef>
              <c:f>Resultate!$B$47</c:f>
              <c:strCache>
                <c:ptCount val="1"/>
                <c:pt idx="0">
                  <c:v>Warmwasser</c:v>
                </c:pt>
              </c:strCache>
            </c:strRef>
          </c:tx>
          <c:spPr>
            <a:solidFill>
              <a:srgbClr val="FFC000"/>
            </a:solidFill>
          </c:spPr>
          <c:invertIfNegative val="0"/>
          <c:val>
            <c:numRef>
              <c:f>Resultate!$C$47</c:f>
              <c:numCache>
                <c:formatCode>0.0</c:formatCode>
                <c:ptCount val="1"/>
                <c:pt idx="0">
                  <c:v>0.40293611793611794</c:v>
                </c:pt>
              </c:numCache>
            </c:numRef>
          </c:val>
          <c:extLst>
            <c:ext xmlns:c16="http://schemas.microsoft.com/office/drawing/2014/chart" uri="{C3380CC4-5D6E-409C-BE32-E72D297353CC}">
              <c16:uniqueId val="{00000007-D5B9-415D-88BA-C6096A0A8101}"/>
            </c:ext>
          </c:extLst>
        </c:ser>
        <c:dLbls>
          <c:showLegendKey val="0"/>
          <c:showVal val="0"/>
          <c:showCatName val="0"/>
          <c:showSerName val="0"/>
          <c:showPercent val="0"/>
          <c:showBubbleSize val="0"/>
        </c:dLbls>
        <c:gapWidth val="150"/>
        <c:overlap val="100"/>
        <c:axId val="238051712"/>
        <c:axId val="238053248"/>
      </c:barChart>
      <c:catAx>
        <c:axId val="238051712"/>
        <c:scaling>
          <c:orientation val="minMax"/>
        </c:scaling>
        <c:delete val="1"/>
        <c:axPos val="l"/>
        <c:numFmt formatCode="General" sourceLinked="1"/>
        <c:majorTickMark val="out"/>
        <c:minorTickMark val="none"/>
        <c:tickLblPos val="nextTo"/>
        <c:crossAx val="238053248"/>
        <c:crosses val="autoZero"/>
        <c:auto val="1"/>
        <c:lblAlgn val="ctr"/>
        <c:lblOffset val="100"/>
        <c:noMultiLvlLbl val="0"/>
      </c:catAx>
      <c:valAx>
        <c:axId val="238053248"/>
        <c:scaling>
          <c:orientation val="minMax"/>
          <c:min val="0"/>
        </c:scaling>
        <c:delete val="0"/>
        <c:axPos val="b"/>
        <c:majorGridlines/>
        <c:numFmt formatCode="0" sourceLinked="0"/>
        <c:majorTickMark val="out"/>
        <c:minorTickMark val="none"/>
        <c:tickLblPos val="nextTo"/>
        <c:txPr>
          <a:bodyPr rot="0" vert="horz"/>
          <a:lstStyle/>
          <a:p>
            <a:pPr>
              <a:defRPr/>
            </a:pPr>
            <a:endParaRPr lang="de-DE"/>
          </a:p>
        </c:txPr>
        <c:crossAx val="238051712"/>
        <c:crosses val="autoZero"/>
        <c:crossBetween val="between"/>
        <c:minorUnit val="4"/>
      </c:valAx>
    </c:plotArea>
    <c:legend>
      <c:legendPos val="r"/>
      <c:layout>
        <c:manualLayout>
          <c:xMode val="edge"/>
          <c:yMode val="edge"/>
          <c:x val="0.81327364734709895"/>
          <c:y val="1.3136836031679524E-2"/>
          <c:w val="0.18523990881941638"/>
          <c:h val="0.95051480300771418"/>
        </c:manualLayout>
      </c:layout>
      <c:overlay val="0"/>
    </c:legend>
    <c:plotVisOnly val="1"/>
    <c:dispBlanksAs val="gap"/>
    <c:showDLblsOverMax val="0"/>
  </c:chart>
  <c:spPr>
    <a:ln>
      <a:noFill/>
    </a:ln>
  </c:spPr>
  <c:txPr>
    <a:bodyPr/>
    <a:lstStyle/>
    <a:p>
      <a:pPr>
        <a:defRPr sz="900" b="0" i="0" u="none" strike="noStrike" baseline="0">
          <a:solidFill>
            <a:srgbClr val="000000"/>
          </a:solidFill>
          <a:latin typeface="Arial" panose="020B0604020202020204" pitchFamily="34" charset="0"/>
          <a:ea typeface="Calibri"/>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Begriffe!$F$150</c:f>
          <c:strCache>
            <c:ptCount val="1"/>
            <c:pt idx="0">
              <c:v>Energiebedarf Luftförderung und Luftkonditionierung</c:v>
            </c:pt>
          </c:strCache>
        </c:strRef>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barChart>
        <c:barDir val="col"/>
        <c:grouping val="stacked"/>
        <c:varyColors val="0"/>
        <c:ser>
          <c:idx val="1"/>
          <c:order val="0"/>
          <c:tx>
            <c:strRef>
              <c:f>'Berechnung LU'!$I$265:$I$266</c:f>
              <c:strCache>
                <c:ptCount val="2"/>
                <c:pt idx="0">
                  <c:v>Luftförderung</c:v>
                </c:pt>
                <c:pt idx="1">
                  <c:v>kWh</c:v>
                </c:pt>
              </c:strCache>
            </c:strRef>
          </c:tx>
          <c:spPr>
            <a:solidFill>
              <a:schemeClr val="accent3"/>
            </a:solidFill>
            <a:ln>
              <a:noFill/>
            </a:ln>
            <a:effectLst/>
          </c:spPr>
          <c:invertIfNegative val="0"/>
          <c:cat>
            <c:numRef>
              <c:f>'Berechnung LU'!$H$267:$H$326</c:f>
              <c:numCache>
                <c:formatCode>#,##0</c:formatCode>
                <c:ptCount val="60"/>
                <c:pt idx="0">
                  <c:v>-25</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pt idx="24">
                  <c:v>-1</c:v>
                </c:pt>
                <c:pt idx="25">
                  <c:v>0</c:v>
                </c:pt>
                <c:pt idx="26">
                  <c:v>1</c:v>
                </c:pt>
                <c:pt idx="27">
                  <c:v>2</c:v>
                </c:pt>
                <c:pt idx="28">
                  <c:v>3</c:v>
                </c:pt>
                <c:pt idx="29">
                  <c:v>4</c:v>
                </c:pt>
                <c:pt idx="30">
                  <c:v>5</c:v>
                </c:pt>
                <c:pt idx="31">
                  <c:v>6</c:v>
                </c:pt>
                <c:pt idx="32">
                  <c:v>7</c:v>
                </c:pt>
                <c:pt idx="33">
                  <c:v>8</c:v>
                </c:pt>
                <c:pt idx="34">
                  <c:v>9</c:v>
                </c:pt>
                <c:pt idx="35">
                  <c:v>10</c:v>
                </c:pt>
                <c:pt idx="36">
                  <c:v>11</c:v>
                </c:pt>
                <c:pt idx="37">
                  <c:v>12</c:v>
                </c:pt>
                <c:pt idx="38">
                  <c:v>13</c:v>
                </c:pt>
                <c:pt idx="39">
                  <c:v>14</c:v>
                </c:pt>
                <c:pt idx="40">
                  <c:v>15</c:v>
                </c:pt>
                <c:pt idx="41">
                  <c:v>16</c:v>
                </c:pt>
                <c:pt idx="42">
                  <c:v>17</c:v>
                </c:pt>
                <c:pt idx="43">
                  <c:v>18</c:v>
                </c:pt>
                <c:pt idx="44">
                  <c:v>19</c:v>
                </c:pt>
                <c:pt idx="45">
                  <c:v>20</c:v>
                </c:pt>
                <c:pt idx="46">
                  <c:v>21</c:v>
                </c:pt>
                <c:pt idx="47">
                  <c:v>22</c:v>
                </c:pt>
                <c:pt idx="48">
                  <c:v>23</c:v>
                </c:pt>
                <c:pt idx="49">
                  <c:v>24</c:v>
                </c:pt>
                <c:pt idx="50">
                  <c:v>25</c:v>
                </c:pt>
                <c:pt idx="51">
                  <c:v>26</c:v>
                </c:pt>
                <c:pt idx="52">
                  <c:v>27</c:v>
                </c:pt>
                <c:pt idx="53">
                  <c:v>28</c:v>
                </c:pt>
                <c:pt idx="54">
                  <c:v>29</c:v>
                </c:pt>
                <c:pt idx="55">
                  <c:v>30</c:v>
                </c:pt>
                <c:pt idx="56">
                  <c:v>31</c:v>
                </c:pt>
                <c:pt idx="57">
                  <c:v>32</c:v>
                </c:pt>
                <c:pt idx="58">
                  <c:v>33</c:v>
                </c:pt>
                <c:pt idx="59">
                  <c:v>34</c:v>
                </c:pt>
              </c:numCache>
            </c:numRef>
          </c:cat>
          <c:val>
            <c:numRef>
              <c:f>'Berechnung LU'!$I$267:$I$327</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18.332289628180042</c:v>
                </c:pt>
                <c:pt idx="16">
                  <c:v>137.49217221135029</c:v>
                </c:pt>
                <c:pt idx="17">
                  <c:v>146.65831702544034</c:v>
                </c:pt>
                <c:pt idx="18">
                  <c:v>207.7659491193738</c:v>
                </c:pt>
                <c:pt idx="19">
                  <c:v>137.49217221135029</c:v>
                </c:pt>
                <c:pt idx="20">
                  <c:v>174.15675146771039</c:v>
                </c:pt>
                <c:pt idx="21">
                  <c:v>171.10136986301373</c:v>
                </c:pt>
                <c:pt idx="22">
                  <c:v>391.08884540117424</c:v>
                </c:pt>
                <c:pt idx="23">
                  <c:v>549.96868884540118</c:v>
                </c:pt>
                <c:pt idx="24">
                  <c:v>601.91017612524467</c:v>
                </c:pt>
                <c:pt idx="25">
                  <c:v>760.79001956947172</c:v>
                </c:pt>
                <c:pt idx="26">
                  <c:v>1014.3866927592957</c:v>
                </c:pt>
                <c:pt idx="27">
                  <c:v>1164.1003913894326</c:v>
                </c:pt>
                <c:pt idx="28">
                  <c:v>1377.9771037181997</c:v>
                </c:pt>
                <c:pt idx="29">
                  <c:v>1402.4201565557732</c:v>
                </c:pt>
                <c:pt idx="30">
                  <c:v>1023.5528375733855</c:v>
                </c:pt>
                <c:pt idx="31">
                  <c:v>1274.0941291585129</c:v>
                </c:pt>
                <c:pt idx="32">
                  <c:v>1240.4849315068495</c:v>
                </c:pt>
                <c:pt idx="33">
                  <c:v>1026.6082191780824</c:v>
                </c:pt>
                <c:pt idx="34">
                  <c:v>1035.7743639921725</c:v>
                </c:pt>
                <c:pt idx="35">
                  <c:v>971.61135029354216</c:v>
                </c:pt>
                <c:pt idx="36">
                  <c:v>1124.3804305283759</c:v>
                </c:pt>
                <c:pt idx="37">
                  <c:v>980.77749510763238</c:v>
                </c:pt>
                <c:pt idx="38">
                  <c:v>1069.3835616438357</c:v>
                </c:pt>
                <c:pt idx="39">
                  <c:v>1154.9342465753427</c:v>
                </c:pt>
                <c:pt idx="40">
                  <c:v>1008.2759295499025</c:v>
                </c:pt>
                <c:pt idx="41">
                  <c:v>1191.5988258317027</c:v>
                </c:pt>
                <c:pt idx="42">
                  <c:v>1115.2142857142858</c:v>
                </c:pt>
                <c:pt idx="43">
                  <c:v>901.33757338551879</c:v>
                </c:pt>
                <c:pt idx="44">
                  <c:v>727.18082191780832</c:v>
                </c:pt>
                <c:pt idx="45">
                  <c:v>574.41174168297471</c:v>
                </c:pt>
                <c:pt idx="46">
                  <c:v>446.08571428571435</c:v>
                </c:pt>
                <c:pt idx="47">
                  <c:v>409.42113502935428</c:v>
                </c:pt>
                <c:pt idx="48">
                  <c:v>348.31350293542079</c:v>
                </c:pt>
                <c:pt idx="49">
                  <c:v>314.70430528375738</c:v>
                </c:pt>
                <c:pt idx="50">
                  <c:v>140.54755381604699</c:v>
                </c:pt>
                <c:pt idx="51">
                  <c:v>143.60293542074368</c:v>
                </c:pt>
                <c:pt idx="52">
                  <c:v>88.606066536203542</c:v>
                </c:pt>
                <c:pt idx="53">
                  <c:v>73.32915851272017</c:v>
                </c:pt>
                <c:pt idx="54">
                  <c:v>42.775342465753432</c:v>
                </c:pt>
                <c:pt idx="55">
                  <c:v>48.88610567514678</c:v>
                </c:pt>
                <c:pt idx="56">
                  <c:v>18.332289628180042</c:v>
                </c:pt>
                <c:pt idx="57">
                  <c:v>6.1107632093933475</c:v>
                </c:pt>
                <c:pt idx="58">
                  <c:v>9.1661448140900212</c:v>
                </c:pt>
                <c:pt idx="59">
                  <c:v>0</c:v>
                </c:pt>
                <c:pt idx="60">
                  <c:v>0</c:v>
                </c:pt>
              </c:numCache>
            </c:numRef>
          </c:val>
          <c:extLst>
            <c:ext xmlns:c16="http://schemas.microsoft.com/office/drawing/2014/chart" uri="{C3380CC4-5D6E-409C-BE32-E72D297353CC}">
              <c16:uniqueId val="{00000000-C569-4E98-B717-09FF59AD5FBA}"/>
            </c:ext>
          </c:extLst>
        </c:ser>
        <c:ser>
          <c:idx val="2"/>
          <c:order val="1"/>
          <c:tx>
            <c:strRef>
              <c:f>'Berechnung LU'!$J$265:$J$266</c:f>
              <c:strCache>
                <c:ptCount val="2"/>
                <c:pt idx="0">
                  <c:v>Lufterwärmung</c:v>
                </c:pt>
                <c:pt idx="1">
                  <c:v>kWh</c:v>
                </c:pt>
              </c:strCache>
            </c:strRef>
          </c:tx>
          <c:spPr>
            <a:solidFill>
              <a:schemeClr val="accent2">
                <a:lumMod val="60000"/>
                <a:lumOff val="40000"/>
              </a:schemeClr>
            </a:solidFill>
            <a:ln>
              <a:noFill/>
            </a:ln>
            <a:effectLst/>
          </c:spPr>
          <c:invertIfNegative val="0"/>
          <c:cat>
            <c:numRef>
              <c:f>'Berechnung LU'!$H$267:$H$326</c:f>
              <c:numCache>
                <c:formatCode>#,##0</c:formatCode>
                <c:ptCount val="60"/>
                <c:pt idx="0">
                  <c:v>-25</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pt idx="24">
                  <c:v>-1</c:v>
                </c:pt>
                <c:pt idx="25">
                  <c:v>0</c:v>
                </c:pt>
                <c:pt idx="26">
                  <c:v>1</c:v>
                </c:pt>
                <c:pt idx="27">
                  <c:v>2</c:v>
                </c:pt>
                <c:pt idx="28">
                  <c:v>3</c:v>
                </c:pt>
                <c:pt idx="29">
                  <c:v>4</c:v>
                </c:pt>
                <c:pt idx="30">
                  <c:v>5</c:v>
                </c:pt>
                <c:pt idx="31">
                  <c:v>6</c:v>
                </c:pt>
                <c:pt idx="32">
                  <c:v>7</c:v>
                </c:pt>
                <c:pt idx="33">
                  <c:v>8</c:v>
                </c:pt>
                <c:pt idx="34">
                  <c:v>9</c:v>
                </c:pt>
                <c:pt idx="35">
                  <c:v>10</c:v>
                </c:pt>
                <c:pt idx="36">
                  <c:v>11</c:v>
                </c:pt>
                <c:pt idx="37">
                  <c:v>12</c:v>
                </c:pt>
                <c:pt idx="38">
                  <c:v>13</c:v>
                </c:pt>
                <c:pt idx="39">
                  <c:v>14</c:v>
                </c:pt>
                <c:pt idx="40">
                  <c:v>15</c:v>
                </c:pt>
                <c:pt idx="41">
                  <c:v>16</c:v>
                </c:pt>
                <c:pt idx="42">
                  <c:v>17</c:v>
                </c:pt>
                <c:pt idx="43">
                  <c:v>18</c:v>
                </c:pt>
                <c:pt idx="44">
                  <c:v>19</c:v>
                </c:pt>
                <c:pt idx="45">
                  <c:v>20</c:v>
                </c:pt>
                <c:pt idx="46">
                  <c:v>21</c:v>
                </c:pt>
                <c:pt idx="47">
                  <c:v>22</c:v>
                </c:pt>
                <c:pt idx="48">
                  <c:v>23</c:v>
                </c:pt>
                <c:pt idx="49">
                  <c:v>24</c:v>
                </c:pt>
                <c:pt idx="50">
                  <c:v>25</c:v>
                </c:pt>
                <c:pt idx="51">
                  <c:v>26</c:v>
                </c:pt>
                <c:pt idx="52">
                  <c:v>27</c:v>
                </c:pt>
                <c:pt idx="53">
                  <c:v>28</c:v>
                </c:pt>
                <c:pt idx="54">
                  <c:v>29</c:v>
                </c:pt>
                <c:pt idx="55">
                  <c:v>30</c:v>
                </c:pt>
                <c:pt idx="56">
                  <c:v>31</c:v>
                </c:pt>
                <c:pt idx="57">
                  <c:v>32</c:v>
                </c:pt>
                <c:pt idx="58">
                  <c:v>33</c:v>
                </c:pt>
                <c:pt idx="59">
                  <c:v>34</c:v>
                </c:pt>
              </c:numCache>
            </c:numRef>
          </c:cat>
          <c:val>
            <c:numRef>
              <c:f>'Berechnung LU'!$J$267:$J$327</c:f>
              <c:numCache>
                <c:formatCode>General</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16.598150339354213</c:v>
                </c:pt>
                <c:pt idx="16">
                  <c:v>117.85300959902916</c:v>
                </c:pt>
                <c:pt idx="17">
                  <c:v>118.61723035607432</c:v>
                </c:pt>
                <c:pt idx="18">
                  <c:v>158.00093920535394</c:v>
                </c:pt>
                <c:pt idx="19">
                  <c:v>97.90127758191683</c:v>
                </c:pt>
                <c:pt idx="20">
                  <c:v>115.60993588877129</c:v>
                </c:pt>
                <c:pt idx="21">
                  <c:v>105.30619281902013</c:v>
                </c:pt>
                <c:pt idx="22">
                  <c:v>221.85295961776174</c:v>
                </c:pt>
                <c:pt idx="23">
                  <c:v>285.45561525000898</c:v>
                </c:pt>
                <c:pt idx="24">
                  <c:v>283.31490954956439</c:v>
                </c:pt>
                <c:pt idx="25">
                  <c:v>321.25095785945183</c:v>
                </c:pt>
                <c:pt idx="26">
                  <c:v>379.08653156570335</c:v>
                </c:pt>
                <c:pt idx="27">
                  <c:v>378.54187735103017</c:v>
                </c:pt>
                <c:pt idx="28">
                  <c:v>381.18547101117844</c:v>
                </c:pt>
                <c:pt idx="29">
                  <c:v>319.80380282903843</c:v>
                </c:pt>
                <c:pt idx="30">
                  <c:v>183.57707871434627</c:v>
                </c:pt>
                <c:pt idx="31">
                  <c:v>166.57440343328776</c:v>
                </c:pt>
                <c:pt idx="32">
                  <c:v>101.67920019847328</c:v>
                </c:pt>
                <c:pt idx="33">
                  <c:v>34.086185396246215</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c:ext xmlns:c16="http://schemas.microsoft.com/office/drawing/2014/chart" uri="{C3380CC4-5D6E-409C-BE32-E72D297353CC}">
              <c16:uniqueId val="{00000001-C569-4E98-B717-09FF59AD5FBA}"/>
            </c:ext>
          </c:extLst>
        </c:ser>
        <c:ser>
          <c:idx val="3"/>
          <c:order val="2"/>
          <c:tx>
            <c:strRef>
              <c:f>'Berechnung LU'!$K$265:$K$266</c:f>
              <c:strCache>
                <c:ptCount val="2"/>
                <c:pt idx="0">
                  <c:v>Erwärmung Befeuchtung</c:v>
                </c:pt>
                <c:pt idx="1">
                  <c:v>kWh</c:v>
                </c:pt>
              </c:strCache>
            </c:strRef>
          </c:tx>
          <c:spPr>
            <a:solidFill>
              <a:schemeClr val="accent2"/>
            </a:solidFill>
            <a:ln>
              <a:noFill/>
            </a:ln>
            <a:effectLst/>
          </c:spPr>
          <c:invertIfNegative val="0"/>
          <c:cat>
            <c:numRef>
              <c:f>'Berechnung LU'!$H$267:$H$326</c:f>
              <c:numCache>
                <c:formatCode>#,##0</c:formatCode>
                <c:ptCount val="60"/>
                <c:pt idx="0">
                  <c:v>-25</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pt idx="24">
                  <c:v>-1</c:v>
                </c:pt>
                <c:pt idx="25">
                  <c:v>0</c:v>
                </c:pt>
                <c:pt idx="26">
                  <c:v>1</c:v>
                </c:pt>
                <c:pt idx="27">
                  <c:v>2</c:v>
                </c:pt>
                <c:pt idx="28">
                  <c:v>3</c:v>
                </c:pt>
                <c:pt idx="29">
                  <c:v>4</c:v>
                </c:pt>
                <c:pt idx="30">
                  <c:v>5</c:v>
                </c:pt>
                <c:pt idx="31">
                  <c:v>6</c:v>
                </c:pt>
                <c:pt idx="32">
                  <c:v>7</c:v>
                </c:pt>
                <c:pt idx="33">
                  <c:v>8</c:v>
                </c:pt>
                <c:pt idx="34">
                  <c:v>9</c:v>
                </c:pt>
                <c:pt idx="35">
                  <c:v>10</c:v>
                </c:pt>
                <c:pt idx="36">
                  <c:v>11</c:v>
                </c:pt>
                <c:pt idx="37">
                  <c:v>12</c:v>
                </c:pt>
                <c:pt idx="38">
                  <c:v>13</c:v>
                </c:pt>
                <c:pt idx="39">
                  <c:v>14</c:v>
                </c:pt>
                <c:pt idx="40">
                  <c:v>15</c:v>
                </c:pt>
                <c:pt idx="41">
                  <c:v>16</c:v>
                </c:pt>
                <c:pt idx="42">
                  <c:v>17</c:v>
                </c:pt>
                <c:pt idx="43">
                  <c:v>18</c:v>
                </c:pt>
                <c:pt idx="44">
                  <c:v>19</c:v>
                </c:pt>
                <c:pt idx="45">
                  <c:v>20</c:v>
                </c:pt>
                <c:pt idx="46">
                  <c:v>21</c:v>
                </c:pt>
                <c:pt idx="47">
                  <c:v>22</c:v>
                </c:pt>
                <c:pt idx="48">
                  <c:v>23</c:v>
                </c:pt>
                <c:pt idx="49">
                  <c:v>24</c:v>
                </c:pt>
                <c:pt idx="50">
                  <c:v>25</c:v>
                </c:pt>
                <c:pt idx="51">
                  <c:v>26</c:v>
                </c:pt>
                <c:pt idx="52">
                  <c:v>27</c:v>
                </c:pt>
                <c:pt idx="53">
                  <c:v>28</c:v>
                </c:pt>
                <c:pt idx="54">
                  <c:v>29</c:v>
                </c:pt>
                <c:pt idx="55">
                  <c:v>30</c:v>
                </c:pt>
                <c:pt idx="56">
                  <c:v>31</c:v>
                </c:pt>
                <c:pt idx="57">
                  <c:v>32</c:v>
                </c:pt>
                <c:pt idx="58">
                  <c:v>33</c:v>
                </c:pt>
                <c:pt idx="59">
                  <c:v>34</c:v>
                </c:pt>
              </c:numCache>
            </c:numRef>
          </c:cat>
          <c:val>
            <c:numRef>
              <c:f>'Berechnung LU'!$K$267:$K$327</c:f>
              <c:numCache>
                <c:formatCode>#,##0</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1.3122012099159596E-13</c:v>
                </c:pt>
                <c:pt idx="19">
                  <c:v>0</c:v>
                </c:pt>
                <c:pt idx="20">
                  <c:v>0</c:v>
                </c:pt>
                <c:pt idx="21">
                  <c:v>-1.0806362905190255E-13</c:v>
                </c:pt>
                <c:pt idx="22">
                  <c:v>0</c:v>
                </c:pt>
                <c:pt idx="23">
                  <c:v>0</c:v>
                </c:pt>
                <c:pt idx="24">
                  <c:v>0</c:v>
                </c:pt>
                <c:pt idx="25">
                  <c:v>0</c:v>
                </c:pt>
                <c:pt idx="26">
                  <c:v>0</c:v>
                </c:pt>
                <c:pt idx="27">
                  <c:v>0</c:v>
                </c:pt>
                <c:pt idx="28">
                  <c:v>0</c:v>
                </c:pt>
                <c:pt idx="29">
                  <c:v>-1.7714716333865454E-12</c:v>
                </c:pt>
                <c:pt idx="30">
                  <c:v>0</c:v>
                </c:pt>
                <c:pt idx="31">
                  <c:v>1.6093761898086914E-12</c:v>
                </c:pt>
                <c:pt idx="32">
                  <c:v>0</c:v>
                </c:pt>
                <c:pt idx="33">
                  <c:v>-1.2967635486228306E-12</c:v>
                </c:pt>
                <c:pt idx="34">
                  <c:v>0</c:v>
                </c:pt>
                <c:pt idx="35">
                  <c:v>0</c:v>
                </c:pt>
                <c:pt idx="36">
                  <c:v>-1.4202648389678623E-12</c:v>
                </c:pt>
                <c:pt idx="37">
                  <c:v>-1.2388723187735973E-12</c:v>
                </c:pt>
                <c:pt idx="38">
                  <c:v>0</c:v>
                </c:pt>
                <c:pt idx="39">
                  <c:v>0</c:v>
                </c:pt>
                <c:pt idx="40">
                  <c:v>0</c:v>
                </c:pt>
                <c:pt idx="41">
                  <c:v>0</c:v>
                </c:pt>
                <c:pt idx="42">
                  <c:v>1.4086865929980155E-12</c:v>
                </c:pt>
                <c:pt idx="43">
                  <c:v>0</c:v>
                </c:pt>
                <c:pt idx="44">
                  <c:v>0</c:v>
                </c:pt>
                <c:pt idx="45">
                  <c:v>-7.2557008077706014E-13</c:v>
                </c:pt>
                <c:pt idx="46">
                  <c:v>-5.6347463719920612E-13</c:v>
                </c:pt>
                <c:pt idx="47">
                  <c:v>5.1716165331981935E-13</c:v>
                </c:pt>
                <c:pt idx="48">
                  <c:v>0</c:v>
                </c:pt>
                <c:pt idx="49">
                  <c:v>-3.9751977829807005E-13</c:v>
                </c:pt>
                <c:pt idx="50">
                  <c:v>3.5506620974196558E-13</c:v>
                </c:pt>
                <c:pt idx="51">
                  <c:v>0</c:v>
                </c:pt>
                <c:pt idx="52">
                  <c:v>0</c:v>
                </c:pt>
                <c:pt idx="53">
                  <c:v>1.8525193551754723E-13</c:v>
                </c:pt>
                <c:pt idx="54">
                  <c:v>0</c:v>
                </c:pt>
                <c:pt idx="55">
                  <c:v>0</c:v>
                </c:pt>
                <c:pt idx="56">
                  <c:v>4.6312983879386808E-14</c:v>
                </c:pt>
                <c:pt idx="57">
                  <c:v>1.5437661293128936E-14</c:v>
                </c:pt>
                <c:pt idx="58">
                  <c:v>0</c:v>
                </c:pt>
                <c:pt idx="59">
                  <c:v>0</c:v>
                </c:pt>
                <c:pt idx="60">
                  <c:v>0</c:v>
                </c:pt>
              </c:numCache>
            </c:numRef>
          </c:val>
          <c:extLst>
            <c:ext xmlns:c16="http://schemas.microsoft.com/office/drawing/2014/chart" uri="{C3380CC4-5D6E-409C-BE32-E72D297353CC}">
              <c16:uniqueId val="{00000002-C569-4E98-B717-09FF59AD5FBA}"/>
            </c:ext>
          </c:extLst>
        </c:ser>
        <c:ser>
          <c:idx val="4"/>
          <c:order val="3"/>
          <c:tx>
            <c:strRef>
              <c:f>'Berechnung LU'!$L$265:$L$266</c:f>
              <c:strCache>
                <c:ptCount val="2"/>
                <c:pt idx="0">
                  <c:v>Luftkühlung</c:v>
                </c:pt>
                <c:pt idx="1">
                  <c:v>kWh</c:v>
                </c:pt>
              </c:strCache>
            </c:strRef>
          </c:tx>
          <c:spPr>
            <a:solidFill>
              <a:schemeClr val="accent1"/>
            </a:solidFill>
            <a:ln>
              <a:noFill/>
            </a:ln>
            <a:effectLst/>
          </c:spPr>
          <c:invertIfNegative val="0"/>
          <c:cat>
            <c:numRef>
              <c:f>'Berechnung LU'!$H$267:$H$326</c:f>
              <c:numCache>
                <c:formatCode>#,##0</c:formatCode>
                <c:ptCount val="60"/>
                <c:pt idx="0">
                  <c:v>-25</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pt idx="24">
                  <c:v>-1</c:v>
                </c:pt>
                <c:pt idx="25">
                  <c:v>0</c:v>
                </c:pt>
                <c:pt idx="26">
                  <c:v>1</c:v>
                </c:pt>
                <c:pt idx="27">
                  <c:v>2</c:v>
                </c:pt>
                <c:pt idx="28">
                  <c:v>3</c:v>
                </c:pt>
                <c:pt idx="29">
                  <c:v>4</c:v>
                </c:pt>
                <c:pt idx="30">
                  <c:v>5</c:v>
                </c:pt>
                <c:pt idx="31">
                  <c:v>6</c:v>
                </c:pt>
                <c:pt idx="32">
                  <c:v>7</c:v>
                </c:pt>
                <c:pt idx="33">
                  <c:v>8</c:v>
                </c:pt>
                <c:pt idx="34">
                  <c:v>9</c:v>
                </c:pt>
                <c:pt idx="35">
                  <c:v>10</c:v>
                </c:pt>
                <c:pt idx="36">
                  <c:v>11</c:v>
                </c:pt>
                <c:pt idx="37">
                  <c:v>12</c:v>
                </c:pt>
                <c:pt idx="38">
                  <c:v>13</c:v>
                </c:pt>
                <c:pt idx="39">
                  <c:v>14</c:v>
                </c:pt>
                <c:pt idx="40">
                  <c:v>15</c:v>
                </c:pt>
                <c:pt idx="41">
                  <c:v>16</c:v>
                </c:pt>
                <c:pt idx="42">
                  <c:v>17</c:v>
                </c:pt>
                <c:pt idx="43">
                  <c:v>18</c:v>
                </c:pt>
                <c:pt idx="44">
                  <c:v>19</c:v>
                </c:pt>
                <c:pt idx="45">
                  <c:v>20</c:v>
                </c:pt>
                <c:pt idx="46">
                  <c:v>21</c:v>
                </c:pt>
                <c:pt idx="47">
                  <c:v>22</c:v>
                </c:pt>
                <c:pt idx="48">
                  <c:v>23</c:v>
                </c:pt>
                <c:pt idx="49">
                  <c:v>24</c:v>
                </c:pt>
                <c:pt idx="50">
                  <c:v>25</c:v>
                </c:pt>
                <c:pt idx="51">
                  <c:v>26</c:v>
                </c:pt>
                <c:pt idx="52">
                  <c:v>27</c:v>
                </c:pt>
                <c:pt idx="53">
                  <c:v>28</c:v>
                </c:pt>
                <c:pt idx="54">
                  <c:v>29</c:v>
                </c:pt>
                <c:pt idx="55">
                  <c:v>30</c:v>
                </c:pt>
                <c:pt idx="56">
                  <c:v>31</c:v>
                </c:pt>
                <c:pt idx="57">
                  <c:v>32</c:v>
                </c:pt>
                <c:pt idx="58">
                  <c:v>33</c:v>
                </c:pt>
                <c:pt idx="59">
                  <c:v>34</c:v>
                </c:pt>
              </c:numCache>
            </c:numRef>
          </c:cat>
          <c:val>
            <c:numRef>
              <c:f>'Berechnung LU'!$L$267:$L$327</c:f>
              <c:numCache>
                <c:formatCode>General</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112.12791200379229</c:v>
                </c:pt>
                <c:pt idx="47">
                  <c:v>217.94969719497817</c:v>
                </c:pt>
                <c:pt idx="48">
                  <c:v>286.10095966408954</c:v>
                </c:pt>
                <c:pt idx="49">
                  <c:v>323.64289332130477</c:v>
                </c:pt>
                <c:pt idx="50">
                  <c:v>188.37421965718033</c:v>
                </c:pt>
                <c:pt idx="51">
                  <c:v>197.97210964006095</c:v>
                </c:pt>
                <c:pt idx="52">
                  <c:v>125.54676239952623</c:v>
                </c:pt>
                <c:pt idx="53">
                  <c:v>102.49781872668031</c:v>
                </c:pt>
                <c:pt idx="54">
                  <c:v>65.060612515390687</c:v>
                </c:pt>
                <c:pt idx="55">
                  <c:v>79.229272478192172</c:v>
                </c:pt>
                <c:pt idx="56">
                  <c:v>30.659814307572653</c:v>
                </c:pt>
                <c:pt idx="57">
                  <c:v>8.8604100676011761</c:v>
                </c:pt>
                <c:pt idx="58">
                  <c:v>12.137221625450726</c:v>
                </c:pt>
                <c:pt idx="59">
                  <c:v>0</c:v>
                </c:pt>
                <c:pt idx="60">
                  <c:v>0</c:v>
                </c:pt>
              </c:numCache>
            </c:numRef>
          </c:val>
          <c:extLst>
            <c:ext xmlns:c16="http://schemas.microsoft.com/office/drawing/2014/chart" uri="{C3380CC4-5D6E-409C-BE32-E72D297353CC}">
              <c16:uniqueId val="{00000003-C569-4E98-B717-09FF59AD5FBA}"/>
            </c:ext>
          </c:extLst>
        </c:ser>
        <c:ser>
          <c:idx val="5"/>
          <c:order val="4"/>
          <c:tx>
            <c:strRef>
              <c:f>'Berechnung LU'!$M$265:$M$266</c:f>
              <c:strCache>
                <c:ptCount val="2"/>
                <c:pt idx="0">
                  <c:v>Kühlung Entfeuchtung</c:v>
                </c:pt>
                <c:pt idx="1">
                  <c:v>kWh</c:v>
                </c:pt>
              </c:strCache>
            </c:strRef>
          </c:tx>
          <c:spPr>
            <a:solidFill>
              <a:schemeClr val="tx2">
                <a:lumMod val="40000"/>
                <a:lumOff val="60000"/>
              </a:schemeClr>
            </a:solidFill>
            <a:ln>
              <a:noFill/>
            </a:ln>
            <a:effectLst/>
          </c:spPr>
          <c:invertIfNegative val="0"/>
          <c:cat>
            <c:numRef>
              <c:f>'Berechnung LU'!$H$267:$H$326</c:f>
              <c:numCache>
                <c:formatCode>#,##0</c:formatCode>
                <c:ptCount val="60"/>
                <c:pt idx="0">
                  <c:v>-25</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pt idx="24">
                  <c:v>-1</c:v>
                </c:pt>
                <c:pt idx="25">
                  <c:v>0</c:v>
                </c:pt>
                <c:pt idx="26">
                  <c:v>1</c:v>
                </c:pt>
                <c:pt idx="27">
                  <c:v>2</c:v>
                </c:pt>
                <c:pt idx="28">
                  <c:v>3</c:v>
                </c:pt>
                <c:pt idx="29">
                  <c:v>4</c:v>
                </c:pt>
                <c:pt idx="30">
                  <c:v>5</c:v>
                </c:pt>
                <c:pt idx="31">
                  <c:v>6</c:v>
                </c:pt>
                <c:pt idx="32">
                  <c:v>7</c:v>
                </c:pt>
                <c:pt idx="33">
                  <c:v>8</c:v>
                </c:pt>
                <c:pt idx="34">
                  <c:v>9</c:v>
                </c:pt>
                <c:pt idx="35">
                  <c:v>10</c:v>
                </c:pt>
                <c:pt idx="36">
                  <c:v>11</c:v>
                </c:pt>
                <c:pt idx="37">
                  <c:v>12</c:v>
                </c:pt>
                <c:pt idx="38">
                  <c:v>13</c:v>
                </c:pt>
                <c:pt idx="39">
                  <c:v>14</c:v>
                </c:pt>
                <c:pt idx="40">
                  <c:v>15</c:v>
                </c:pt>
                <c:pt idx="41">
                  <c:v>16</c:v>
                </c:pt>
                <c:pt idx="42">
                  <c:v>17</c:v>
                </c:pt>
                <c:pt idx="43">
                  <c:v>18</c:v>
                </c:pt>
                <c:pt idx="44">
                  <c:v>19</c:v>
                </c:pt>
                <c:pt idx="45">
                  <c:v>20</c:v>
                </c:pt>
                <c:pt idx="46">
                  <c:v>21</c:v>
                </c:pt>
                <c:pt idx="47">
                  <c:v>22</c:v>
                </c:pt>
                <c:pt idx="48">
                  <c:v>23</c:v>
                </c:pt>
                <c:pt idx="49">
                  <c:v>24</c:v>
                </c:pt>
                <c:pt idx="50">
                  <c:v>25</c:v>
                </c:pt>
                <c:pt idx="51">
                  <c:v>26</c:v>
                </c:pt>
                <c:pt idx="52">
                  <c:v>27</c:v>
                </c:pt>
                <c:pt idx="53">
                  <c:v>28</c:v>
                </c:pt>
                <c:pt idx="54">
                  <c:v>29</c:v>
                </c:pt>
                <c:pt idx="55">
                  <c:v>30</c:v>
                </c:pt>
                <c:pt idx="56">
                  <c:v>31</c:v>
                </c:pt>
                <c:pt idx="57">
                  <c:v>32</c:v>
                </c:pt>
                <c:pt idx="58">
                  <c:v>33</c:v>
                </c:pt>
                <c:pt idx="59">
                  <c:v>34</c:v>
                </c:pt>
              </c:numCache>
            </c:numRef>
          </c:cat>
          <c:val>
            <c:numRef>
              <c:f>'Berechnung LU'!$M$267:$M$327</c:f>
              <c:numCache>
                <c:formatCode>General</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c:ext xmlns:c16="http://schemas.microsoft.com/office/drawing/2014/chart" uri="{C3380CC4-5D6E-409C-BE32-E72D297353CC}">
              <c16:uniqueId val="{00000004-C569-4E98-B717-09FF59AD5FBA}"/>
            </c:ext>
          </c:extLst>
        </c:ser>
        <c:ser>
          <c:idx val="6"/>
          <c:order val="5"/>
          <c:tx>
            <c:strRef>
              <c:f>'Berechnung LU'!$N$265:$N$266</c:f>
              <c:strCache>
                <c:ptCount val="2"/>
                <c:pt idx="0">
                  <c:v>Erwärmung Entfeuchtung</c:v>
                </c:pt>
                <c:pt idx="1">
                  <c:v>kWh</c:v>
                </c:pt>
              </c:strCache>
            </c:strRef>
          </c:tx>
          <c:spPr>
            <a:solidFill>
              <a:schemeClr val="accent6">
                <a:lumMod val="75000"/>
              </a:schemeClr>
            </a:solidFill>
            <a:ln>
              <a:noFill/>
            </a:ln>
            <a:effectLst/>
          </c:spPr>
          <c:invertIfNegative val="0"/>
          <c:cat>
            <c:numRef>
              <c:f>'Berechnung LU'!$H$267:$H$326</c:f>
              <c:numCache>
                <c:formatCode>#,##0</c:formatCode>
                <c:ptCount val="60"/>
                <c:pt idx="0">
                  <c:v>-25</c:v>
                </c:pt>
                <c:pt idx="1">
                  <c:v>-24</c:v>
                </c:pt>
                <c:pt idx="2">
                  <c:v>-23</c:v>
                </c:pt>
                <c:pt idx="3">
                  <c:v>-22</c:v>
                </c:pt>
                <c:pt idx="4">
                  <c:v>-21</c:v>
                </c:pt>
                <c:pt idx="5">
                  <c:v>-20</c:v>
                </c:pt>
                <c:pt idx="6">
                  <c:v>-19</c:v>
                </c:pt>
                <c:pt idx="7">
                  <c:v>-18</c:v>
                </c:pt>
                <c:pt idx="8">
                  <c:v>-17</c:v>
                </c:pt>
                <c:pt idx="9">
                  <c:v>-16</c:v>
                </c:pt>
                <c:pt idx="10">
                  <c:v>-15</c:v>
                </c:pt>
                <c:pt idx="11">
                  <c:v>-14</c:v>
                </c:pt>
                <c:pt idx="12">
                  <c:v>-13</c:v>
                </c:pt>
                <c:pt idx="13">
                  <c:v>-12</c:v>
                </c:pt>
                <c:pt idx="14">
                  <c:v>-11</c:v>
                </c:pt>
                <c:pt idx="15">
                  <c:v>-10</c:v>
                </c:pt>
                <c:pt idx="16">
                  <c:v>-9</c:v>
                </c:pt>
                <c:pt idx="17">
                  <c:v>-8</c:v>
                </c:pt>
                <c:pt idx="18">
                  <c:v>-7</c:v>
                </c:pt>
                <c:pt idx="19">
                  <c:v>-6</c:v>
                </c:pt>
                <c:pt idx="20">
                  <c:v>-5</c:v>
                </c:pt>
                <c:pt idx="21">
                  <c:v>-4</c:v>
                </c:pt>
                <c:pt idx="22">
                  <c:v>-3</c:v>
                </c:pt>
                <c:pt idx="23">
                  <c:v>-2</c:v>
                </c:pt>
                <c:pt idx="24">
                  <c:v>-1</c:v>
                </c:pt>
                <c:pt idx="25">
                  <c:v>0</c:v>
                </c:pt>
                <c:pt idx="26">
                  <c:v>1</c:v>
                </c:pt>
                <c:pt idx="27">
                  <c:v>2</c:v>
                </c:pt>
                <c:pt idx="28">
                  <c:v>3</c:v>
                </c:pt>
                <c:pt idx="29">
                  <c:v>4</c:v>
                </c:pt>
                <c:pt idx="30">
                  <c:v>5</c:v>
                </c:pt>
                <c:pt idx="31">
                  <c:v>6</c:v>
                </c:pt>
                <c:pt idx="32">
                  <c:v>7</c:v>
                </c:pt>
                <c:pt idx="33">
                  <c:v>8</c:v>
                </c:pt>
                <c:pt idx="34">
                  <c:v>9</c:v>
                </c:pt>
                <c:pt idx="35">
                  <c:v>10</c:v>
                </c:pt>
                <c:pt idx="36">
                  <c:v>11</c:v>
                </c:pt>
                <c:pt idx="37">
                  <c:v>12</c:v>
                </c:pt>
                <c:pt idx="38">
                  <c:v>13</c:v>
                </c:pt>
                <c:pt idx="39">
                  <c:v>14</c:v>
                </c:pt>
                <c:pt idx="40">
                  <c:v>15</c:v>
                </c:pt>
                <c:pt idx="41">
                  <c:v>16</c:v>
                </c:pt>
                <c:pt idx="42">
                  <c:v>17</c:v>
                </c:pt>
                <c:pt idx="43">
                  <c:v>18</c:v>
                </c:pt>
                <c:pt idx="44">
                  <c:v>19</c:v>
                </c:pt>
                <c:pt idx="45">
                  <c:v>20</c:v>
                </c:pt>
                <c:pt idx="46">
                  <c:v>21</c:v>
                </c:pt>
                <c:pt idx="47">
                  <c:v>22</c:v>
                </c:pt>
                <c:pt idx="48">
                  <c:v>23</c:v>
                </c:pt>
                <c:pt idx="49">
                  <c:v>24</c:v>
                </c:pt>
                <c:pt idx="50">
                  <c:v>25</c:v>
                </c:pt>
                <c:pt idx="51">
                  <c:v>26</c:v>
                </c:pt>
                <c:pt idx="52">
                  <c:v>27</c:v>
                </c:pt>
                <c:pt idx="53">
                  <c:v>28</c:v>
                </c:pt>
                <c:pt idx="54">
                  <c:v>29</c:v>
                </c:pt>
                <c:pt idx="55">
                  <c:v>30</c:v>
                </c:pt>
                <c:pt idx="56">
                  <c:v>31</c:v>
                </c:pt>
                <c:pt idx="57">
                  <c:v>32</c:v>
                </c:pt>
                <c:pt idx="58">
                  <c:v>33</c:v>
                </c:pt>
                <c:pt idx="59">
                  <c:v>34</c:v>
                </c:pt>
              </c:numCache>
            </c:numRef>
          </c:cat>
          <c:val>
            <c:numRef>
              <c:f>'Berechnung LU'!$N$267:$N$327</c:f>
              <c:numCache>
                <c:formatCode>General</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numCache>
            </c:numRef>
          </c:val>
          <c:extLst>
            <c:ext xmlns:c16="http://schemas.microsoft.com/office/drawing/2014/chart" uri="{C3380CC4-5D6E-409C-BE32-E72D297353CC}">
              <c16:uniqueId val="{00000005-C569-4E98-B717-09FF59AD5FBA}"/>
            </c:ext>
          </c:extLst>
        </c:ser>
        <c:dLbls>
          <c:showLegendKey val="0"/>
          <c:showVal val="0"/>
          <c:showCatName val="0"/>
          <c:showSerName val="0"/>
          <c:showPercent val="0"/>
          <c:showBubbleSize val="0"/>
        </c:dLbls>
        <c:gapWidth val="150"/>
        <c:overlap val="100"/>
        <c:axId val="1060583640"/>
        <c:axId val="1060582328"/>
      </c:barChart>
      <c:catAx>
        <c:axId val="1060583640"/>
        <c:scaling>
          <c:orientation val="minMax"/>
        </c:scaling>
        <c:delete val="0"/>
        <c:axPos val="b"/>
        <c:title>
          <c:tx>
            <c:strRef>
              <c:f>Begriffe!$F$152</c:f>
              <c:strCache>
                <c:ptCount val="1"/>
                <c:pt idx="0">
                  <c:v>Aussentemperatur</c:v>
                </c:pt>
              </c:strCache>
            </c:strRef>
          </c:tx>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060582328"/>
        <c:crosses val="autoZero"/>
        <c:auto val="1"/>
        <c:lblAlgn val="ctr"/>
        <c:lblOffset val="100"/>
        <c:noMultiLvlLbl val="0"/>
      </c:catAx>
      <c:valAx>
        <c:axId val="1060582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Energiebedarf pro Aussentemp., kWh </a:t>
                </a:r>
              </a:p>
            </c:rich>
          </c:tx>
          <c:overlay val="0"/>
          <c:spPr>
            <a:noFill/>
            <a:ln>
              <a:noFill/>
            </a:ln>
            <a:effectLst/>
          </c:spPr>
          <c:txPr>
            <a:bodyPr rot="-54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060583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10">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1">
      <a:schemeClr val="lt1"/>
    </cs:lnRef>
    <cs:fillRef idx="1">
      <cs:styleClr val="auto"/>
    </cs:fillRef>
    <cs:effectRef idx="1">
      <a:schemeClr val="dk1"/>
    </cs:effectRef>
    <cs:fontRef idx="minor">
      <a:schemeClr val="tx1"/>
    </cs:fontRef>
    <cs:spPr>
      <a:ln>
        <a:round/>
      </a:ln>
    </cs:spPr>
  </cs:dataPoint>
  <cs:dataPoint3D>
    <cs:lnRef idx="1">
      <a:schemeClr val="lt1"/>
    </cs:lnRef>
    <cs:fillRef idx="1">
      <cs:styleClr val="auto"/>
    </cs:fillRef>
    <cs:effectRef idx="1">
      <a:schemeClr val="dk1"/>
    </cs:effectRef>
    <cs:fontRef idx="minor">
      <a:schemeClr val="tx1"/>
    </cs:fontRef>
    <cs:spPr>
      <a:ln>
        <a:round/>
      </a:ln>
    </cs:spPr>
  </cs:dataPoint3D>
  <cs:dataPointLine>
    <cs:lnRef idx="1">
      <cs:styleClr val="auto"/>
    </cs:lnRef>
    <cs:lineWidthScale>5</cs:lineWidthScale>
    <cs:fillRef idx="0"/>
    <cs:effectRef idx="0"/>
    <cs:fontRef idx="minor">
      <a:schemeClr val="tx1"/>
    </cs:fontRef>
    <cs:spPr>
      <a:ln cap="rnd">
        <a:round/>
      </a:ln>
    </cs:spPr>
  </cs:dataPointLine>
  <cs:dataPointMarker>
    <cs:lnRef idx="1">
      <cs:styleClr val="auto"/>
    </cs:lnRef>
    <cs:fillRef idx="1">
      <cs:styleClr val="auto"/>
    </cs:fillRef>
    <cs:effectRef idx="1">
      <a:schemeClr val="dk1"/>
    </cs:effectRef>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1">
      <a:schemeClr val="dk1"/>
    </cs:effectRef>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1">
      <a:schemeClr val="dk1"/>
    </cs:effectRef>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Anleitung!$D$4" fmlaRange="$I$3:$I$5" noThreeD="1" sel="1" val="0"/>
</file>

<file path=xl/ctrlProps/ctrlProp2.xml><?xml version="1.0" encoding="utf-8"?>
<formControlPr xmlns="http://schemas.microsoft.com/office/spreadsheetml/2009/9/main" objectType="CheckBox" checked="Checked" fmlaLink="C12" lockText="1" noThreeD="1"/>
</file>

<file path=xl/ctrlProps/ctrlProp3.xml><?xml version="1.0" encoding="utf-8"?>
<formControlPr xmlns="http://schemas.microsoft.com/office/spreadsheetml/2009/9/main" objectType="CheckBox" checked="Checked" fmlaLink="P12" lockText="1" noThreeD="1"/>
</file>

<file path=xl/ctrlProps/ctrlProp4.xml><?xml version="1.0" encoding="utf-8"?>
<formControlPr xmlns="http://schemas.microsoft.com/office/spreadsheetml/2009/9/main" objectType="CheckBox" checked="Checked" fmlaLink="P13" lockText="1" noThreeD="1"/>
</file>

<file path=xl/ctrlProps/ctrlProp5.xml><?xml version="1.0" encoding="utf-8"?>
<formControlPr xmlns="http://schemas.microsoft.com/office/spreadsheetml/2009/9/main" objectType="CheckBox" checked="Checked" fmlaLink="P14" lockText="1" noThreeD="1"/>
</file>

<file path=xl/ctrlProps/ctrlProp6.xml><?xml version="1.0" encoding="utf-8"?>
<formControlPr xmlns="http://schemas.microsoft.com/office/spreadsheetml/2009/9/main" objectType="CheckBox" checked="Checked" fmlaLink="P15" lockText="1" noThreeD="1"/>
</file>

<file path=xl/ctrlProps/ctrlProp7.xml><?xml version="1.0" encoding="utf-8"?>
<formControlPr xmlns="http://schemas.microsoft.com/office/spreadsheetml/2009/9/main" objectType="CheckBox" fmlaLink="P16" lockText="1" noThreeD="1"/>
</file>

<file path=xl/ctrlProps/ctrlProp8.xml><?xml version="1.0" encoding="utf-8"?>
<formControlPr xmlns="http://schemas.microsoft.com/office/spreadsheetml/2009/9/main" objectType="CheckBox" fmlaLink="P17" lockText="1" noThreeD="1"/>
</file>

<file path=xl/ctrlProps/ctrlProp9.xml><?xml version="1.0" encoding="utf-8"?>
<formControlPr xmlns="http://schemas.microsoft.com/office/spreadsheetml/2009/9/main" objectType="CheckBox" fmlaLink="P18" lockText="1" noThreeD="1"/>
</file>

<file path=xl/ctrlProps/ctrlProp10.xml><?xml version="1.0" encoding="utf-8"?>
<formControlPr xmlns="http://schemas.microsoft.com/office/spreadsheetml/2009/9/main" objectType="CheckBox" fmlaLink="P19" lockText="1" noThreeD="1"/>
</file>

<file path=xl/ctrlProps/ctrlProp11.xml><?xml version="1.0" encoding="utf-8"?>
<formControlPr xmlns="http://schemas.microsoft.com/office/spreadsheetml/2009/9/main" objectType="CheckBox" checked="Checked" fmlaLink="P20" lockText="1" noThreeD="1"/>
</file>

<file path=xl/ctrlProps/ctrlProp12.xml><?xml version="1.0" encoding="utf-8"?>
<formControlPr xmlns="http://schemas.microsoft.com/office/spreadsheetml/2009/9/main" objectType="CheckBox" fmlaLink="C21" lockText="1" noThreeD="1"/>
</file>

<file path=xl/ctrlProps/ctrlProp13.xml><?xml version="1.0" encoding="utf-8"?>
<formControlPr xmlns="http://schemas.microsoft.com/office/spreadsheetml/2009/9/main" objectType="CheckBox" fmlaLink="P21" lockText="1" noThreeD="1"/>
</file>

<file path=xl/ctrlProps/ctrlProp14.xml><?xml version="1.0" encoding="utf-8"?>
<formControlPr xmlns="http://schemas.microsoft.com/office/spreadsheetml/2009/9/main" objectType="CheckBox" fmlaLink="C21" lockText="1" noThreeD="1"/>
</file>

<file path=xl/ctrlProps/ctrlProp15.xml><?xml version="1.0" encoding="utf-8"?>
<formControlPr xmlns="http://schemas.microsoft.com/office/spreadsheetml/2009/9/main" objectType="CheckBox" fmlaLink="P30" lockText="1" noThreeD="1"/>
</file>

<file path=xl/ctrlProps/ctrlProp16.xml><?xml version="1.0" encoding="utf-8"?>
<formControlPr xmlns="http://schemas.microsoft.com/office/spreadsheetml/2009/9/main" objectType="CheckBox" fmlaLink="C21" lockText="1" noThreeD="1"/>
</file>

<file path=xl/ctrlProps/ctrlProp17.xml><?xml version="1.0" encoding="utf-8"?>
<formControlPr xmlns="http://schemas.microsoft.com/office/spreadsheetml/2009/9/main" objectType="CheckBox" checked="Checked" fmlaLink="C20" lockText="1" noThreeD="1"/>
</file>

<file path=xl/ctrlProps/ctrlProp18.xml><?xml version="1.0" encoding="utf-8"?>
<formControlPr xmlns="http://schemas.microsoft.com/office/spreadsheetml/2009/9/main" objectType="CheckBox" fmlaLink="P31" lockText="1" noThreeD="1"/>
</file>

<file path=xl/ctrlProps/ctrlProp19.xml><?xml version="1.0" encoding="utf-8"?>
<formControlPr xmlns="http://schemas.microsoft.com/office/spreadsheetml/2009/9/main" objectType="CheckBox" fmlaLink="C21" lockText="1" noThreeD="1"/>
</file>

<file path=xl/ctrlProps/ctrlProp20.xml><?xml version="1.0" encoding="utf-8"?>
<formControlPr xmlns="http://schemas.microsoft.com/office/spreadsheetml/2009/9/main" objectType="CheckBox" fmlaLink="P32" lockText="1" noThreeD="1"/>
</file>

<file path=xl/ctrlProps/ctrlProp21.xml><?xml version="1.0" encoding="utf-8"?>
<formControlPr xmlns="http://schemas.microsoft.com/office/spreadsheetml/2009/9/main" objectType="CheckBox" checked="Checked" fmlaLink="C12" lockText="1" noThreeD="1"/>
</file>

<file path=xl/ctrlProps/ctrlProp22.xml><?xml version="1.0" encoding="utf-8"?>
<formControlPr xmlns="http://schemas.microsoft.com/office/spreadsheetml/2009/9/main" objectType="CheckBox" checked="Checked" fmlaLink="S12" lockText="1" noThreeD="1"/>
</file>

<file path=xl/ctrlProps/ctrlProp23.xml><?xml version="1.0" encoding="utf-8"?>
<formControlPr xmlns="http://schemas.microsoft.com/office/spreadsheetml/2009/9/main" objectType="CheckBox" checked="Checked" fmlaLink="S13" lockText="1" noThreeD="1"/>
</file>

<file path=xl/ctrlProps/ctrlProp24.xml><?xml version="1.0" encoding="utf-8"?>
<formControlPr xmlns="http://schemas.microsoft.com/office/spreadsheetml/2009/9/main" objectType="CheckBox" checked="Checked" fmlaLink="S14" lockText="1" noThreeD="1"/>
</file>

<file path=xl/ctrlProps/ctrlProp25.xml><?xml version="1.0" encoding="utf-8"?>
<formControlPr xmlns="http://schemas.microsoft.com/office/spreadsheetml/2009/9/main" objectType="CheckBox" checked="Checked" fmlaLink="S15" lockText="1" noThreeD="1"/>
</file>

<file path=xl/ctrlProps/ctrlProp26.xml><?xml version="1.0" encoding="utf-8"?>
<formControlPr xmlns="http://schemas.microsoft.com/office/spreadsheetml/2009/9/main" objectType="CheckBox" checked="Checked" fmlaLink="S16" lockText="1" noThreeD="1"/>
</file>

<file path=xl/ctrlProps/ctrlProp27.xml><?xml version="1.0" encoding="utf-8"?>
<formControlPr xmlns="http://schemas.microsoft.com/office/spreadsheetml/2009/9/main" objectType="CheckBox" checked="Checked" fmlaLink="S17" lockText="1" noThreeD="1"/>
</file>

<file path=xl/ctrlProps/ctrlProp28.xml><?xml version="1.0" encoding="utf-8"?>
<formControlPr xmlns="http://schemas.microsoft.com/office/spreadsheetml/2009/9/main" objectType="CheckBox" checked="Checked" fmlaLink="S18" lockText="1" noThreeD="1"/>
</file>

<file path=xl/ctrlProps/ctrlProp29.xml><?xml version="1.0" encoding="utf-8"?>
<formControlPr xmlns="http://schemas.microsoft.com/office/spreadsheetml/2009/9/main" objectType="CheckBox" checked="Checked" fmlaLink="S19" lockText="1" noThreeD="1"/>
</file>

<file path=xl/ctrlProps/ctrlProp30.xml><?xml version="1.0" encoding="utf-8"?>
<formControlPr xmlns="http://schemas.microsoft.com/office/spreadsheetml/2009/9/main" objectType="CheckBox" checked="Checked" fmlaLink="S20" lockText="1" noThreeD="1"/>
</file>

<file path=xl/ctrlProps/ctrlProp31.xml><?xml version="1.0" encoding="utf-8"?>
<formControlPr xmlns="http://schemas.microsoft.com/office/spreadsheetml/2009/9/main" objectType="CheckBox" fmlaLink="C21" lockText="1" noThreeD="1"/>
</file>

<file path=xl/ctrlProps/ctrlProp32.xml><?xml version="1.0" encoding="utf-8"?>
<formControlPr xmlns="http://schemas.microsoft.com/office/spreadsheetml/2009/9/main" objectType="CheckBox" fmlaLink="S21" lockText="1" noThreeD="1"/>
</file>

<file path=xl/ctrlProps/ctrlProp33.xml><?xml version="1.0" encoding="utf-8"?>
<formControlPr xmlns="http://schemas.microsoft.com/office/spreadsheetml/2009/9/main" objectType="CheckBox" fmlaLink="C21" lockText="1" noThreeD="1"/>
</file>

<file path=xl/ctrlProps/ctrlProp34.xml><?xml version="1.0" encoding="utf-8"?>
<formControlPr xmlns="http://schemas.microsoft.com/office/spreadsheetml/2009/9/main" objectType="CheckBox" fmlaLink="S30" lockText="1" noThreeD="1"/>
</file>

<file path=xl/ctrlProps/ctrlProp35.xml><?xml version="1.0" encoding="utf-8"?>
<formControlPr xmlns="http://schemas.microsoft.com/office/spreadsheetml/2009/9/main" objectType="CheckBox" fmlaLink="C21" lockText="1" noThreeD="1"/>
</file>

<file path=xl/ctrlProps/ctrlProp36.xml><?xml version="1.0" encoding="utf-8"?>
<formControlPr xmlns="http://schemas.microsoft.com/office/spreadsheetml/2009/9/main" objectType="CheckBox" checked="Checked" fmlaLink="C20" lockText="1" noThreeD="1"/>
</file>

<file path=xl/ctrlProps/ctrlProp37.xml><?xml version="1.0" encoding="utf-8"?>
<formControlPr xmlns="http://schemas.microsoft.com/office/spreadsheetml/2009/9/main" objectType="CheckBox" fmlaLink="S31" lockText="1" noThreeD="1"/>
</file>

<file path=xl/ctrlProps/ctrlProp38.xml><?xml version="1.0" encoding="utf-8"?>
<formControlPr xmlns="http://schemas.microsoft.com/office/spreadsheetml/2009/9/main" objectType="CheckBox" fmlaLink="C21" lockText="1" noThreeD="1"/>
</file>

<file path=xl/ctrlProps/ctrlProp39.xml><?xml version="1.0" encoding="utf-8"?>
<formControlPr xmlns="http://schemas.microsoft.com/office/spreadsheetml/2009/9/main" objectType="CheckBox" fmlaLink="S32" lockText="1" noThreeD="1"/>
</file>

<file path=xl/ctrlProps/ctrlProp40.xml><?xml version="1.0" encoding="utf-8"?>
<formControlPr xmlns="http://schemas.microsoft.com/office/spreadsheetml/2009/9/main" objectType="CheckBox" fmlaLink="C21" lockText="1" noThreeD="1"/>
</file>

<file path=xl/ctrlProps/ctrlProp41.xml><?xml version="1.0" encoding="utf-8"?>
<formControlPr xmlns="http://schemas.microsoft.com/office/spreadsheetml/2009/9/main" objectType="CheckBox" fmlaLink="P22" lockText="1" noThreeD="1"/>
</file>

<file path=xl/ctrlProps/ctrlProp42.xml><?xml version="1.0" encoding="utf-8"?>
<formControlPr xmlns="http://schemas.microsoft.com/office/spreadsheetml/2009/9/main" objectType="CheckBox" fmlaLink="C21" lockText="1" noThreeD="1"/>
</file>

<file path=xl/ctrlProps/ctrlProp43.xml><?xml version="1.0" encoding="utf-8"?>
<formControlPr xmlns="http://schemas.microsoft.com/office/spreadsheetml/2009/9/main" objectType="CheckBox" fmlaLink="S22" lockText="1" noThreeD="1"/>
</file>

<file path=xl/ctrlProps/ctrlProp44.xml><?xml version="1.0" encoding="utf-8"?>
<formControlPr xmlns="http://schemas.microsoft.com/office/spreadsheetml/2009/9/main" objectType="CheckBox" fmlaLink="C21" lockText="1" noThreeD="1"/>
</file>

<file path=xl/ctrlProps/ctrlProp45.xml><?xml version="1.0" encoding="utf-8"?>
<formControlPr xmlns="http://schemas.microsoft.com/office/spreadsheetml/2009/9/main" objectType="CheckBox" fmlaLink="P23" lockText="1" noThreeD="1"/>
</file>

<file path=xl/ctrlProps/ctrlProp46.xml><?xml version="1.0" encoding="utf-8"?>
<formControlPr xmlns="http://schemas.microsoft.com/office/spreadsheetml/2009/9/main" objectType="CheckBox" fmlaLink="C21" lockText="1" noThreeD="1"/>
</file>

<file path=xl/ctrlProps/ctrlProp47.xml><?xml version="1.0" encoding="utf-8"?>
<formControlPr xmlns="http://schemas.microsoft.com/office/spreadsheetml/2009/9/main" objectType="CheckBox" fmlaLink="S23" lockText="1" noThreeD="1"/>
</file>

<file path=xl/ctrlProps/ctrlProp48.xml><?xml version="1.0" encoding="utf-8"?>
<formControlPr xmlns="http://schemas.microsoft.com/office/spreadsheetml/2009/9/main" objectType="CheckBox" fmlaLink="C21" lockText="1" noThreeD="1"/>
</file>

<file path=xl/ctrlProps/ctrlProp49.xml><?xml version="1.0" encoding="utf-8"?>
<formControlPr xmlns="http://schemas.microsoft.com/office/spreadsheetml/2009/9/main" objectType="CheckBox" fmlaLink="P24" lockText="1" noThreeD="1"/>
</file>

<file path=xl/ctrlProps/ctrlProp50.xml><?xml version="1.0" encoding="utf-8"?>
<formControlPr xmlns="http://schemas.microsoft.com/office/spreadsheetml/2009/9/main" objectType="CheckBox" fmlaLink="C21" lockText="1" noThreeD="1"/>
</file>

<file path=xl/ctrlProps/ctrlProp51.xml><?xml version="1.0" encoding="utf-8"?>
<formControlPr xmlns="http://schemas.microsoft.com/office/spreadsheetml/2009/9/main" objectType="CheckBox" fmlaLink="S24" lockText="1" noThreeD="1"/>
</file>

<file path=xl/ctrlProps/ctrlProp52.xml><?xml version="1.0" encoding="utf-8"?>
<formControlPr xmlns="http://schemas.microsoft.com/office/spreadsheetml/2009/9/main" objectType="CheckBox" fmlaLink="C21" lockText="1" noThreeD="1"/>
</file>

<file path=xl/ctrlProps/ctrlProp53.xml><?xml version="1.0" encoding="utf-8"?>
<formControlPr xmlns="http://schemas.microsoft.com/office/spreadsheetml/2009/9/main" objectType="CheckBox" fmlaLink="P25" lockText="1" noThreeD="1"/>
</file>

<file path=xl/ctrlProps/ctrlProp54.xml><?xml version="1.0" encoding="utf-8"?>
<formControlPr xmlns="http://schemas.microsoft.com/office/spreadsheetml/2009/9/main" objectType="CheckBox" fmlaLink="C21" lockText="1" noThreeD="1"/>
</file>

<file path=xl/ctrlProps/ctrlProp55.xml><?xml version="1.0" encoding="utf-8"?>
<formControlPr xmlns="http://schemas.microsoft.com/office/spreadsheetml/2009/9/main" objectType="CheckBox" fmlaLink="S25" lockText="1" noThreeD="1"/>
</file>

<file path=xl/ctrlProps/ctrlProp56.xml><?xml version="1.0" encoding="utf-8"?>
<formControlPr xmlns="http://schemas.microsoft.com/office/spreadsheetml/2009/9/main" objectType="CheckBox" fmlaLink="C21" lockText="1" noThreeD="1"/>
</file>

<file path=xl/ctrlProps/ctrlProp57.xml><?xml version="1.0" encoding="utf-8"?>
<formControlPr xmlns="http://schemas.microsoft.com/office/spreadsheetml/2009/9/main" objectType="CheckBox" fmlaLink="P26" lockText="1" noThreeD="1"/>
</file>

<file path=xl/ctrlProps/ctrlProp58.xml><?xml version="1.0" encoding="utf-8"?>
<formControlPr xmlns="http://schemas.microsoft.com/office/spreadsheetml/2009/9/main" objectType="CheckBox" fmlaLink="C21" lockText="1" noThreeD="1"/>
</file>

<file path=xl/ctrlProps/ctrlProp59.xml><?xml version="1.0" encoding="utf-8"?>
<formControlPr xmlns="http://schemas.microsoft.com/office/spreadsheetml/2009/9/main" objectType="CheckBox" fmlaLink="S26" lockText="1" noThreeD="1"/>
</file>

<file path=xl/ctrlProps/ctrlProp60.xml><?xml version="1.0" encoding="utf-8"?>
<formControlPr xmlns="http://schemas.microsoft.com/office/spreadsheetml/2009/9/main" objectType="CheckBox" fmlaLink="C21" lockText="1" noThreeD="1"/>
</file>

<file path=xl/ctrlProps/ctrlProp61.xml><?xml version="1.0" encoding="utf-8"?>
<formControlPr xmlns="http://schemas.microsoft.com/office/spreadsheetml/2009/9/main" objectType="CheckBox" fmlaLink="P27" lockText="1" noThreeD="1"/>
</file>

<file path=xl/ctrlProps/ctrlProp62.xml><?xml version="1.0" encoding="utf-8"?>
<formControlPr xmlns="http://schemas.microsoft.com/office/spreadsheetml/2009/9/main" objectType="CheckBox" fmlaLink="C21" lockText="1" noThreeD="1"/>
</file>

<file path=xl/ctrlProps/ctrlProp63.xml><?xml version="1.0" encoding="utf-8"?>
<formControlPr xmlns="http://schemas.microsoft.com/office/spreadsheetml/2009/9/main" objectType="CheckBox" fmlaLink="S27" lockText="1" noThreeD="1"/>
</file>

<file path=xl/ctrlProps/ctrlProp64.xml><?xml version="1.0" encoding="utf-8"?>
<formControlPr xmlns="http://schemas.microsoft.com/office/spreadsheetml/2009/9/main" objectType="CheckBox" fmlaLink="C21" lockText="1" noThreeD="1"/>
</file>

<file path=xl/ctrlProps/ctrlProp65.xml><?xml version="1.0" encoding="utf-8"?>
<formControlPr xmlns="http://schemas.microsoft.com/office/spreadsheetml/2009/9/main" objectType="CheckBox" fmlaLink="P28" lockText="1" noThreeD="1"/>
</file>

<file path=xl/ctrlProps/ctrlProp66.xml><?xml version="1.0" encoding="utf-8"?>
<formControlPr xmlns="http://schemas.microsoft.com/office/spreadsheetml/2009/9/main" objectType="CheckBox" fmlaLink="C21" lockText="1" noThreeD="1"/>
</file>

<file path=xl/ctrlProps/ctrlProp67.xml><?xml version="1.0" encoding="utf-8"?>
<formControlPr xmlns="http://schemas.microsoft.com/office/spreadsheetml/2009/9/main" objectType="CheckBox" fmlaLink="S28" lockText="1" noThreeD="1"/>
</file>

<file path=xl/ctrlProps/ctrlProp68.xml><?xml version="1.0" encoding="utf-8"?>
<formControlPr xmlns="http://schemas.microsoft.com/office/spreadsheetml/2009/9/main" objectType="CheckBox" fmlaLink="C21" lockText="1" noThreeD="1"/>
</file>

<file path=xl/ctrlProps/ctrlProp69.xml><?xml version="1.0" encoding="utf-8"?>
<formControlPr xmlns="http://schemas.microsoft.com/office/spreadsheetml/2009/9/main" objectType="CheckBox" fmlaLink="P29" lockText="1" noThreeD="1"/>
</file>

<file path=xl/ctrlProps/ctrlProp70.xml><?xml version="1.0" encoding="utf-8"?>
<formControlPr xmlns="http://schemas.microsoft.com/office/spreadsheetml/2009/9/main" objectType="CheckBox" fmlaLink="C21" lockText="1" noThreeD="1"/>
</file>

<file path=xl/ctrlProps/ctrlProp71.xml><?xml version="1.0" encoding="utf-8"?>
<formControlPr xmlns="http://schemas.microsoft.com/office/spreadsheetml/2009/9/main" objectType="CheckBox" fmlaLink="S29" lockText="1" noThreeD="1"/>
</file>

<file path=xl/ctrlProps/ctrlProp72.xml><?xml version="1.0" encoding="utf-8"?>
<formControlPr xmlns="http://schemas.microsoft.com/office/spreadsheetml/2009/9/main" objectType="CheckBox" checked="Checked" fmlaLink="C12" lockText="1" noThreeD="1"/>
</file>

<file path=xl/ctrlProps/ctrlProp73.xml><?xml version="1.0" encoding="utf-8"?>
<formControlPr xmlns="http://schemas.microsoft.com/office/spreadsheetml/2009/9/main" objectType="CheckBox" checked="Checked" fmlaLink="$C13" lockText="1" noThreeD="1"/>
</file>

<file path=xl/ctrlProps/ctrlProp74.xml><?xml version="1.0" encoding="utf-8"?>
<formControlPr xmlns="http://schemas.microsoft.com/office/spreadsheetml/2009/9/main" objectType="CheckBox" checked="Checked" fmlaLink="C14" lockText="1" noThreeD="1"/>
</file>

<file path=xl/ctrlProps/ctrlProp75.xml><?xml version="1.0" encoding="utf-8"?>
<formControlPr xmlns="http://schemas.microsoft.com/office/spreadsheetml/2009/9/main" objectType="CheckBox" checked="Checked" fmlaLink="C15" lockText="1" noThreeD="1"/>
</file>

<file path=xl/ctrlProps/ctrlProp76.xml><?xml version="1.0" encoding="utf-8"?>
<formControlPr xmlns="http://schemas.microsoft.com/office/spreadsheetml/2009/9/main" objectType="CheckBox" checked="Checked" fmlaLink="C16" lockText="1" noThreeD="1"/>
</file>

<file path=xl/ctrlProps/ctrlProp77.xml><?xml version="1.0" encoding="utf-8"?>
<formControlPr xmlns="http://schemas.microsoft.com/office/spreadsheetml/2009/9/main" objectType="CheckBox" checked="Checked" fmlaLink="C17" lockText="1" noThreeD="1"/>
</file>

<file path=xl/ctrlProps/ctrlProp78.xml><?xml version="1.0" encoding="utf-8"?>
<formControlPr xmlns="http://schemas.microsoft.com/office/spreadsheetml/2009/9/main" objectType="CheckBox" checked="Checked" fmlaLink="C18" lockText="1" noThreeD="1"/>
</file>

<file path=xl/ctrlProps/ctrlProp79.xml><?xml version="1.0" encoding="utf-8"?>
<formControlPr xmlns="http://schemas.microsoft.com/office/spreadsheetml/2009/9/main" objectType="CheckBox" checked="Checked" fmlaLink="C19" lockText="1" noThreeD="1"/>
</file>

<file path=xl/ctrlProps/ctrlProp80.xml><?xml version="1.0" encoding="utf-8"?>
<formControlPr xmlns="http://schemas.microsoft.com/office/spreadsheetml/2009/9/main" objectType="CheckBox" checked="Checked" fmlaLink="C20" lockText="1" noThreeD="1"/>
</file>

<file path=xl/ctrlProps/ctrlProp81.xml><?xml version="1.0" encoding="utf-8"?>
<formControlPr xmlns="http://schemas.microsoft.com/office/spreadsheetml/2009/9/main" objectType="CheckBox" fmlaLink="C21" lockText="1" noThreeD="1"/>
</file>

<file path=xl/ctrlProps/ctrlProp82.xml><?xml version="1.0" encoding="utf-8"?>
<formControlPr xmlns="http://schemas.microsoft.com/office/spreadsheetml/2009/9/main" objectType="CheckBox" fmlaLink="C21" lockText="1" noThreeD="1"/>
</file>

<file path=xl/ctrlProps/ctrlProp83.xml><?xml version="1.0" encoding="utf-8"?>
<formControlPr xmlns="http://schemas.microsoft.com/office/spreadsheetml/2009/9/main" objectType="CheckBox" fmlaLink="C21" lockText="1" noThreeD="1"/>
</file>

<file path=xl/ctrlProps/ctrlProp84.xml><?xml version="1.0" encoding="utf-8"?>
<formControlPr xmlns="http://schemas.microsoft.com/office/spreadsheetml/2009/9/main" objectType="CheckBox" fmlaLink="C30" lockText="1" noThreeD="1"/>
</file>

<file path=xl/ctrlProps/ctrlProp85.xml><?xml version="1.0" encoding="utf-8"?>
<formControlPr xmlns="http://schemas.microsoft.com/office/spreadsheetml/2009/9/main" objectType="CheckBox" fmlaLink="C21" lockText="1" noThreeD="1"/>
</file>

<file path=xl/ctrlProps/ctrlProp86.xml><?xml version="1.0" encoding="utf-8"?>
<formControlPr xmlns="http://schemas.microsoft.com/office/spreadsheetml/2009/9/main" objectType="CheckBox" checked="Checked" fmlaLink="C20" lockText="1" noThreeD="1"/>
</file>

<file path=xl/ctrlProps/ctrlProp87.xml><?xml version="1.0" encoding="utf-8"?>
<formControlPr xmlns="http://schemas.microsoft.com/office/spreadsheetml/2009/9/main" objectType="CheckBox" fmlaLink="C31" lockText="1" noThreeD="1"/>
</file>

<file path=xl/ctrlProps/ctrlProp88.xml><?xml version="1.0" encoding="utf-8"?>
<formControlPr xmlns="http://schemas.microsoft.com/office/spreadsheetml/2009/9/main" objectType="CheckBox" fmlaLink="C21" lockText="1" noThreeD="1"/>
</file>

<file path=xl/ctrlProps/ctrlProp89.xml><?xml version="1.0" encoding="utf-8"?>
<formControlPr xmlns="http://schemas.microsoft.com/office/spreadsheetml/2009/9/main" objectType="CheckBox" fmlaLink="C32" lockText="1" noThreeD="1"/>
</file>

<file path=xl/ctrlProps/ctrlProp90.xml><?xml version="1.0" encoding="utf-8"?>
<formControlPr xmlns="http://schemas.microsoft.com/office/spreadsheetml/2009/9/main" objectType="CheckBox" fmlaLink="C21" lockText="1" noThreeD="1"/>
</file>

<file path=xl/ctrlProps/ctrlProp91.xml><?xml version="1.0" encoding="utf-8"?>
<formControlPr xmlns="http://schemas.microsoft.com/office/spreadsheetml/2009/9/main" objectType="CheckBox" fmlaLink="C22" lockText="1" noThreeD="1"/>
</file>

<file path=xl/ctrlProps/ctrlProp92.xml><?xml version="1.0" encoding="utf-8"?>
<formControlPr xmlns="http://schemas.microsoft.com/office/spreadsheetml/2009/9/main" objectType="CheckBox" fmlaLink="C21" lockText="1" noThreeD="1"/>
</file>

<file path=xl/ctrlProps/ctrlProp93.xml><?xml version="1.0" encoding="utf-8"?>
<formControlPr xmlns="http://schemas.microsoft.com/office/spreadsheetml/2009/9/main" objectType="CheckBox" fmlaLink="C23" lockText="1" noThreeD="1"/>
</file>

<file path=xl/ctrlProps/ctrlProp94.xml><?xml version="1.0" encoding="utf-8"?>
<formControlPr xmlns="http://schemas.microsoft.com/office/spreadsheetml/2009/9/main" objectType="CheckBox" fmlaLink="C21" lockText="1" noThreeD="1"/>
</file>

<file path=xl/ctrlProps/ctrlProp95.xml><?xml version="1.0" encoding="utf-8"?>
<formControlPr xmlns="http://schemas.microsoft.com/office/spreadsheetml/2009/9/main" objectType="CheckBox" fmlaLink="C24" lockText="1" noThreeD="1"/>
</file>

<file path=xl/ctrlProps/ctrlProp96.xml><?xml version="1.0" encoding="utf-8"?>
<formControlPr xmlns="http://schemas.microsoft.com/office/spreadsheetml/2009/9/main" objectType="CheckBox" fmlaLink="C21" lockText="1" noThreeD="1"/>
</file>

<file path=xl/ctrlProps/ctrlProp97.xml><?xml version="1.0" encoding="utf-8"?>
<formControlPr xmlns="http://schemas.microsoft.com/office/spreadsheetml/2009/9/main" objectType="CheckBox" fmlaLink="C25" lockText="1" noThreeD="1"/>
</file>

<file path=xl/ctrlProps/ctrlProp98.xml><?xml version="1.0" encoding="utf-8"?>
<formControlPr xmlns="http://schemas.microsoft.com/office/spreadsheetml/2009/9/main" objectType="CheckBox" fmlaLink="C21" lockText="1" noThreeD="1"/>
</file>

<file path=xl/ctrlProps/ctrlProp99.xml><?xml version="1.0" encoding="utf-8"?>
<formControlPr xmlns="http://schemas.microsoft.com/office/spreadsheetml/2009/9/main" objectType="CheckBox" fmlaLink="C26" lockText="1" noThreeD="1"/>
</file>

<file path=xl/ctrlProps/ctrlProp100.xml><?xml version="1.0" encoding="utf-8"?>
<formControlPr xmlns="http://schemas.microsoft.com/office/spreadsheetml/2009/9/main" objectType="CheckBox" fmlaLink="C21" lockText="1" noThreeD="1"/>
</file>

<file path=xl/ctrlProps/ctrlProp101.xml><?xml version="1.0" encoding="utf-8"?>
<formControlPr xmlns="http://schemas.microsoft.com/office/spreadsheetml/2009/9/main" objectType="CheckBox" fmlaLink="C27" lockText="1" noThreeD="1"/>
</file>

<file path=xl/ctrlProps/ctrlProp102.xml><?xml version="1.0" encoding="utf-8"?>
<formControlPr xmlns="http://schemas.microsoft.com/office/spreadsheetml/2009/9/main" objectType="CheckBox" fmlaLink="C21" lockText="1" noThreeD="1"/>
</file>

<file path=xl/ctrlProps/ctrlProp103.xml><?xml version="1.0" encoding="utf-8"?>
<formControlPr xmlns="http://schemas.microsoft.com/office/spreadsheetml/2009/9/main" objectType="CheckBox" fmlaLink="C28" lockText="1" noThreeD="1"/>
</file>

<file path=xl/ctrlProps/ctrlProp104.xml><?xml version="1.0" encoding="utf-8"?>
<formControlPr xmlns="http://schemas.microsoft.com/office/spreadsheetml/2009/9/main" objectType="CheckBox" fmlaLink="C21" lockText="1" noThreeD="1"/>
</file>

<file path=xl/ctrlProps/ctrlProp105.xml><?xml version="1.0" encoding="utf-8"?>
<formControlPr xmlns="http://schemas.microsoft.com/office/spreadsheetml/2009/9/main" objectType="CheckBox" fmlaLink="C29" lockText="1" noThreeD="1"/>
</file>

<file path=xl/ctrlProps/ctrlProp106.xml><?xml version="1.0" encoding="utf-8"?>
<formControlPr xmlns="http://schemas.microsoft.com/office/spreadsheetml/2009/9/main" objectType="Drop" dropStyle="combo" dx="16" fmlaLink="$D$2" fmlaRange="Klimadaten!$B$4:$B$43" noThreeD="1" sel="40" val="32"/>
</file>

<file path=xl/ctrlProps/ctrlProp10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1502229</xdr:colOff>
          <xdr:row>13</xdr:row>
          <xdr:rowOff>0</xdr:rowOff>
        </xdr:from>
        <xdr:to>
          <xdr:col>1</xdr:col>
          <xdr:colOff>3031671</xdr:colOff>
          <xdr:row>14</xdr:row>
          <xdr:rowOff>125186</xdr:rowOff>
        </xdr:to>
        <xdr:sp macro="" textlink="">
          <xdr:nvSpPr>
            <xdr:cNvPr id="19457" name="cmdLizenzBestellen" hidden="1">
              <a:extLst>
                <a:ext uri="{63B3BB69-23CF-44E3-9099-C40C66FF867C}">
                  <a14:compatExt spid="_x0000_s19457"/>
                </a:ext>
                <a:ext uri="{FF2B5EF4-FFF2-40B4-BE49-F238E27FC236}">
                  <a16:creationId xmlns:a16="http://schemas.microsoft.com/office/drawing/2014/main" id="{00000000-0008-0000-00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1502229</xdr:colOff>
          <xdr:row>20</xdr:row>
          <xdr:rowOff>0</xdr:rowOff>
        </xdr:from>
        <xdr:to>
          <xdr:col>1</xdr:col>
          <xdr:colOff>3031671</xdr:colOff>
          <xdr:row>21</xdr:row>
          <xdr:rowOff>125186</xdr:rowOff>
        </xdr:to>
        <xdr:sp macro="" textlink="">
          <xdr:nvSpPr>
            <xdr:cNvPr id="19458" name="cmdLizenzieren" hidden="1">
              <a:extLst>
                <a:ext uri="{63B3BB69-23CF-44E3-9099-C40C66FF867C}">
                  <a14:compatExt spid="_x0000_s19458"/>
                </a:ext>
                <a:ext uri="{FF2B5EF4-FFF2-40B4-BE49-F238E27FC236}">
                  <a16:creationId xmlns:a16="http://schemas.microsoft.com/office/drawing/2014/main" id="{00000000-0008-0000-00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1502229</xdr:colOff>
          <xdr:row>18</xdr:row>
          <xdr:rowOff>0</xdr:rowOff>
        </xdr:from>
        <xdr:to>
          <xdr:col>1</xdr:col>
          <xdr:colOff>3412671</xdr:colOff>
          <xdr:row>19</xdr:row>
          <xdr:rowOff>48986</xdr:rowOff>
        </xdr:to>
        <xdr:sp macro="" textlink="">
          <xdr:nvSpPr>
            <xdr:cNvPr id="19459" name="txtFreigabeschluessel" hidden="1">
              <a:extLst>
                <a:ext uri="{63B3BB69-23CF-44E3-9099-C40C66FF867C}">
                  <a14:compatExt spid="_x0000_s19459"/>
                </a:ext>
                <a:ext uri="{FF2B5EF4-FFF2-40B4-BE49-F238E27FC236}">
                  <a16:creationId xmlns:a16="http://schemas.microsoft.com/office/drawing/2014/main" id="{00000000-0008-0000-00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5197929</xdr:colOff>
          <xdr:row>1</xdr:row>
          <xdr:rowOff>0</xdr:rowOff>
        </xdr:from>
        <xdr:to>
          <xdr:col>1</xdr:col>
          <xdr:colOff>6727371</xdr:colOff>
          <xdr:row>2</xdr:row>
          <xdr:rowOff>125186</xdr:rowOff>
        </xdr:to>
        <xdr:sp macro="" textlink="">
          <xdr:nvSpPr>
            <xdr:cNvPr id="19460" name="cmdStart" hidden="1">
              <a:extLst>
                <a:ext uri="{63B3BB69-23CF-44E3-9099-C40C66FF867C}">
                  <a14:compatExt spid="_x0000_s19460"/>
                </a:ext>
                <a:ext uri="{FF2B5EF4-FFF2-40B4-BE49-F238E27FC236}">
                  <a16:creationId xmlns:a16="http://schemas.microsoft.com/office/drawing/2014/main" id="{00000000-0008-0000-00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1654629</xdr:colOff>
          <xdr:row>1</xdr:row>
          <xdr:rowOff>16329</xdr:rowOff>
        </xdr:from>
        <xdr:to>
          <xdr:col>1</xdr:col>
          <xdr:colOff>3565071</xdr:colOff>
          <xdr:row>2</xdr:row>
          <xdr:rowOff>65314</xdr:rowOff>
        </xdr:to>
        <xdr:sp macro="" textlink="">
          <xdr:nvSpPr>
            <xdr:cNvPr id="19461" name="cboSprachwahl" hidden="1">
              <a:extLst>
                <a:ext uri="{63B3BB69-23CF-44E3-9099-C40C66FF867C}">
                  <a14:compatExt spid="_x0000_s19461"/>
                </a:ext>
                <a:ext uri="{FF2B5EF4-FFF2-40B4-BE49-F238E27FC236}">
                  <a16:creationId xmlns:a16="http://schemas.microsoft.com/office/drawing/2014/main" id="{00000000-0008-0000-00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1502229</xdr:colOff>
          <xdr:row>11</xdr:row>
          <xdr:rowOff>0</xdr:rowOff>
        </xdr:from>
        <xdr:to>
          <xdr:col>1</xdr:col>
          <xdr:colOff>3412671</xdr:colOff>
          <xdr:row>12</xdr:row>
          <xdr:rowOff>48986</xdr:rowOff>
        </xdr:to>
        <xdr:sp macro="" textlink="">
          <xdr:nvSpPr>
            <xdr:cNvPr id="19462" name="txtFirmenname" hidden="1">
              <a:extLst>
                <a:ext uri="{63B3BB69-23CF-44E3-9099-C40C66FF867C}">
                  <a14:compatExt spid="_x0000_s19462"/>
                </a:ext>
                <a:ext uri="{FF2B5EF4-FFF2-40B4-BE49-F238E27FC236}">
                  <a16:creationId xmlns:a16="http://schemas.microsoft.com/office/drawing/2014/main" id="{00000000-0008-0000-00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174171</xdr:colOff>
          <xdr:row>0</xdr:row>
          <xdr:rowOff>174171</xdr:rowOff>
        </xdr:to>
        <xdr:sp macro="" textlink="">
          <xdr:nvSpPr>
            <xdr:cNvPr id="19463" name="lblAnfangsbedingungen" hidden="1">
              <a:extLst>
                <a:ext uri="{63B3BB69-23CF-44E3-9099-C40C66FF867C}">
                  <a14:compatExt spid="_x0000_s19463"/>
                </a:ext>
                <a:ext uri="{FF2B5EF4-FFF2-40B4-BE49-F238E27FC236}">
                  <a16:creationId xmlns:a16="http://schemas.microsoft.com/office/drawing/2014/main" id="{00000000-0008-0000-0000-00000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581025</xdr:colOff>
      <xdr:row>1</xdr:row>
      <xdr:rowOff>9525</xdr:rowOff>
    </xdr:from>
    <xdr:to>
      <xdr:col>7</xdr:col>
      <xdr:colOff>1561465</xdr:colOff>
      <xdr:row>1</xdr:row>
      <xdr:rowOff>447040</xdr:rowOff>
    </xdr:to>
    <xdr:grpSp>
      <xdr:nvGrpSpPr>
        <xdr:cNvPr id="4" name="Group 21">
          <a:extLst>
            <a:ext uri="{FF2B5EF4-FFF2-40B4-BE49-F238E27FC236}">
              <a16:creationId xmlns:a16="http://schemas.microsoft.com/office/drawing/2014/main" id="{00000000-0008-0000-0100-000004000000}"/>
            </a:ext>
          </a:extLst>
        </xdr:cNvPr>
        <xdr:cNvGrpSpPr>
          <a:grpSpLocks noChangeAspect="1"/>
        </xdr:cNvGrpSpPr>
      </xdr:nvGrpSpPr>
      <xdr:grpSpPr bwMode="auto">
        <a:xfrm>
          <a:off x="6608989" y="112939"/>
          <a:ext cx="978626" cy="433887"/>
          <a:chOff x="1" y="1"/>
          <a:chExt cx="1544" cy="689"/>
        </a:xfrm>
      </xdr:grpSpPr>
      <xdr:sp macro="" textlink="">
        <xdr:nvSpPr>
          <xdr:cNvPr id="5" name="AutoShape 22">
            <a:extLst>
              <a:ext uri="{FF2B5EF4-FFF2-40B4-BE49-F238E27FC236}">
                <a16:creationId xmlns:a16="http://schemas.microsoft.com/office/drawing/2014/main" id="{00000000-0008-0000-0100-000005000000}"/>
              </a:ext>
            </a:extLst>
          </xdr:cNvPr>
          <xdr:cNvSpPr>
            <a:spLocks noChangeAspect="1" noChangeArrowheads="1" noTextEdit="1"/>
          </xdr:cNvSpPr>
        </xdr:nvSpPr>
        <xdr:spPr bwMode="auto">
          <a:xfrm>
            <a:off x="1" y="1"/>
            <a:ext cx="1544" cy="6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de-CH"/>
          </a:p>
        </xdr:txBody>
      </xdr:sp>
      <xdr:sp macro="" textlink="">
        <xdr:nvSpPr>
          <xdr:cNvPr id="6" name="Freeform 23">
            <a:extLst>
              <a:ext uri="{FF2B5EF4-FFF2-40B4-BE49-F238E27FC236}">
                <a16:creationId xmlns:a16="http://schemas.microsoft.com/office/drawing/2014/main" id="{00000000-0008-0000-0100-000006000000}"/>
              </a:ext>
            </a:extLst>
          </xdr:cNvPr>
          <xdr:cNvSpPr>
            <a:spLocks/>
          </xdr:cNvSpPr>
        </xdr:nvSpPr>
        <xdr:spPr bwMode="auto">
          <a:xfrm>
            <a:off x="1" y="200"/>
            <a:ext cx="341" cy="488"/>
          </a:xfrm>
          <a:custGeom>
            <a:avLst/>
            <a:gdLst>
              <a:gd name="T0" fmla="*/ 44 w 659"/>
              <a:gd name="T1" fmla="*/ 266 h 943"/>
              <a:gd name="T2" fmla="*/ 359 w 659"/>
              <a:gd name="T3" fmla="*/ 0 h 943"/>
              <a:gd name="T4" fmla="*/ 645 w 659"/>
              <a:gd name="T5" fmla="*/ 78 h 943"/>
              <a:gd name="T6" fmla="*/ 560 w 659"/>
              <a:gd name="T7" fmla="*/ 252 h 943"/>
              <a:gd name="T8" fmla="*/ 370 w 659"/>
              <a:gd name="T9" fmla="*/ 187 h 943"/>
              <a:gd name="T10" fmla="*/ 277 w 659"/>
              <a:gd name="T11" fmla="*/ 254 h 943"/>
              <a:gd name="T12" fmla="*/ 659 w 659"/>
              <a:gd name="T13" fmla="*/ 652 h 943"/>
              <a:gd name="T14" fmla="*/ 334 w 659"/>
              <a:gd name="T15" fmla="*/ 943 h 943"/>
              <a:gd name="T16" fmla="*/ 0 w 659"/>
              <a:gd name="T17" fmla="*/ 849 h 943"/>
              <a:gd name="T18" fmla="*/ 95 w 659"/>
              <a:gd name="T19" fmla="*/ 654 h 943"/>
              <a:gd name="T20" fmla="*/ 324 w 659"/>
              <a:gd name="T21" fmla="*/ 741 h 943"/>
              <a:gd name="T22" fmla="*/ 422 w 659"/>
              <a:gd name="T23" fmla="*/ 672 h 943"/>
              <a:gd name="T24" fmla="*/ 44 w 659"/>
              <a:gd name="T25" fmla="*/ 266 h 9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659" h="943">
                <a:moveTo>
                  <a:pt x="44" y="266"/>
                </a:moveTo>
                <a:cubicBezTo>
                  <a:pt x="44" y="96"/>
                  <a:pt x="181" y="0"/>
                  <a:pt x="359" y="0"/>
                </a:cubicBezTo>
                <a:cubicBezTo>
                  <a:pt x="473" y="0"/>
                  <a:pt x="578" y="38"/>
                  <a:pt x="645" y="78"/>
                </a:cubicBezTo>
                <a:cubicBezTo>
                  <a:pt x="560" y="252"/>
                  <a:pt x="560" y="252"/>
                  <a:pt x="560" y="252"/>
                </a:cubicBezTo>
                <a:cubicBezTo>
                  <a:pt x="500" y="214"/>
                  <a:pt x="442" y="187"/>
                  <a:pt x="370" y="187"/>
                </a:cubicBezTo>
                <a:cubicBezTo>
                  <a:pt x="314" y="187"/>
                  <a:pt x="277" y="214"/>
                  <a:pt x="277" y="254"/>
                </a:cubicBezTo>
                <a:cubicBezTo>
                  <a:pt x="277" y="384"/>
                  <a:pt x="659" y="350"/>
                  <a:pt x="659" y="652"/>
                </a:cubicBezTo>
                <a:cubicBezTo>
                  <a:pt x="659" y="831"/>
                  <a:pt x="520" y="943"/>
                  <a:pt x="334" y="943"/>
                </a:cubicBezTo>
                <a:cubicBezTo>
                  <a:pt x="220" y="943"/>
                  <a:pt x="98" y="907"/>
                  <a:pt x="0" y="849"/>
                </a:cubicBezTo>
                <a:cubicBezTo>
                  <a:pt x="95" y="654"/>
                  <a:pt x="95" y="654"/>
                  <a:pt x="95" y="654"/>
                </a:cubicBezTo>
                <a:cubicBezTo>
                  <a:pt x="180" y="712"/>
                  <a:pt x="245" y="741"/>
                  <a:pt x="324" y="741"/>
                </a:cubicBezTo>
                <a:cubicBezTo>
                  <a:pt x="384" y="741"/>
                  <a:pt x="422" y="714"/>
                  <a:pt x="422" y="672"/>
                </a:cubicBezTo>
                <a:cubicBezTo>
                  <a:pt x="422" y="529"/>
                  <a:pt x="44" y="569"/>
                  <a:pt x="44" y="266"/>
                </a:cubicBezTo>
                <a:close/>
              </a:path>
            </a:pathLst>
          </a:custGeom>
          <a:solidFill>
            <a:srgbClr val="FE000C"/>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de-CH"/>
          </a:p>
        </xdr:txBody>
      </xdr:sp>
      <xdr:sp macro="" textlink="">
        <xdr:nvSpPr>
          <xdr:cNvPr id="7" name="Freeform 24">
            <a:extLst>
              <a:ext uri="{FF2B5EF4-FFF2-40B4-BE49-F238E27FC236}">
                <a16:creationId xmlns:a16="http://schemas.microsoft.com/office/drawing/2014/main" id="{00000000-0008-0000-0100-000007000000}"/>
              </a:ext>
            </a:extLst>
          </xdr:cNvPr>
          <xdr:cNvSpPr>
            <a:spLocks noEditPoints="1"/>
          </xdr:cNvSpPr>
        </xdr:nvSpPr>
        <xdr:spPr bwMode="auto">
          <a:xfrm>
            <a:off x="613" y="1"/>
            <a:ext cx="251" cy="678"/>
          </a:xfrm>
          <a:custGeom>
            <a:avLst/>
            <a:gdLst>
              <a:gd name="T0" fmla="*/ 234 w 484"/>
              <a:gd name="T1" fmla="*/ 586 h 1310"/>
              <a:gd name="T2" fmla="*/ 0 w 484"/>
              <a:gd name="T3" fmla="*/ 586 h 1310"/>
              <a:gd name="T4" fmla="*/ 0 w 484"/>
              <a:gd name="T5" fmla="*/ 403 h 1310"/>
              <a:gd name="T6" fmla="*/ 469 w 484"/>
              <a:gd name="T7" fmla="*/ 403 h 1310"/>
              <a:gd name="T8" fmla="*/ 469 w 484"/>
              <a:gd name="T9" fmla="*/ 1310 h 1310"/>
              <a:gd name="T10" fmla="*/ 234 w 484"/>
              <a:gd name="T11" fmla="*/ 1310 h 1310"/>
              <a:gd name="T12" fmla="*/ 234 w 484"/>
              <a:gd name="T13" fmla="*/ 586 h 1310"/>
              <a:gd name="T14" fmla="*/ 343 w 484"/>
              <a:gd name="T15" fmla="*/ 280 h 1310"/>
              <a:gd name="T16" fmla="*/ 203 w 484"/>
              <a:gd name="T17" fmla="*/ 139 h 1310"/>
              <a:gd name="T18" fmla="*/ 343 w 484"/>
              <a:gd name="T19" fmla="*/ 0 h 1310"/>
              <a:gd name="T20" fmla="*/ 484 w 484"/>
              <a:gd name="T21" fmla="*/ 139 h 1310"/>
              <a:gd name="T22" fmla="*/ 343 w 484"/>
              <a:gd name="T23" fmla="*/ 280 h 131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84" h="1310">
                <a:moveTo>
                  <a:pt x="234" y="586"/>
                </a:moveTo>
                <a:cubicBezTo>
                  <a:pt x="0" y="586"/>
                  <a:pt x="0" y="586"/>
                  <a:pt x="0" y="586"/>
                </a:cubicBezTo>
                <a:cubicBezTo>
                  <a:pt x="0" y="403"/>
                  <a:pt x="0" y="403"/>
                  <a:pt x="0" y="403"/>
                </a:cubicBezTo>
                <a:cubicBezTo>
                  <a:pt x="469" y="403"/>
                  <a:pt x="469" y="403"/>
                  <a:pt x="469" y="403"/>
                </a:cubicBezTo>
                <a:cubicBezTo>
                  <a:pt x="469" y="1310"/>
                  <a:pt x="469" y="1310"/>
                  <a:pt x="469" y="1310"/>
                </a:cubicBezTo>
                <a:cubicBezTo>
                  <a:pt x="234" y="1310"/>
                  <a:pt x="234" y="1310"/>
                  <a:pt x="234" y="1310"/>
                </a:cubicBezTo>
                <a:lnTo>
                  <a:pt x="234" y="586"/>
                </a:lnTo>
                <a:close/>
                <a:moveTo>
                  <a:pt x="343" y="280"/>
                </a:moveTo>
                <a:cubicBezTo>
                  <a:pt x="265" y="280"/>
                  <a:pt x="203" y="217"/>
                  <a:pt x="203" y="139"/>
                </a:cubicBezTo>
                <a:cubicBezTo>
                  <a:pt x="203" y="63"/>
                  <a:pt x="265" y="0"/>
                  <a:pt x="343" y="0"/>
                </a:cubicBezTo>
                <a:cubicBezTo>
                  <a:pt x="422" y="0"/>
                  <a:pt x="484" y="61"/>
                  <a:pt x="484" y="139"/>
                </a:cubicBezTo>
                <a:cubicBezTo>
                  <a:pt x="484" y="217"/>
                  <a:pt x="422" y="280"/>
                  <a:pt x="343" y="280"/>
                </a:cubicBezTo>
                <a:close/>
              </a:path>
            </a:pathLst>
          </a:custGeom>
          <a:solidFill>
            <a:srgbClr val="FE000C"/>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de-CH"/>
          </a:p>
        </xdr:txBody>
      </xdr:sp>
      <xdr:sp macro="" textlink="">
        <xdr:nvSpPr>
          <xdr:cNvPr id="8" name="Freeform 25">
            <a:extLst>
              <a:ext uri="{FF2B5EF4-FFF2-40B4-BE49-F238E27FC236}">
                <a16:creationId xmlns:a16="http://schemas.microsoft.com/office/drawing/2014/main" id="{00000000-0008-0000-0100-000008000000}"/>
              </a:ext>
            </a:extLst>
          </xdr:cNvPr>
          <xdr:cNvSpPr>
            <a:spLocks noEditPoints="1"/>
          </xdr:cNvSpPr>
        </xdr:nvSpPr>
        <xdr:spPr bwMode="auto">
          <a:xfrm>
            <a:off x="1157" y="200"/>
            <a:ext cx="387" cy="488"/>
          </a:xfrm>
          <a:custGeom>
            <a:avLst/>
            <a:gdLst>
              <a:gd name="T0" fmla="*/ 476 w 748"/>
              <a:gd name="T1" fmla="*/ 337 h 943"/>
              <a:gd name="T2" fmla="*/ 476 w 748"/>
              <a:gd name="T3" fmla="*/ 306 h 943"/>
              <a:gd name="T4" fmla="*/ 344 w 748"/>
              <a:gd name="T5" fmla="*/ 181 h 943"/>
              <a:gd name="T6" fmla="*/ 133 w 748"/>
              <a:gd name="T7" fmla="*/ 228 h 943"/>
              <a:gd name="T8" fmla="*/ 78 w 748"/>
              <a:gd name="T9" fmla="*/ 53 h 943"/>
              <a:gd name="T10" fmla="*/ 381 w 748"/>
              <a:gd name="T11" fmla="*/ 0 h 943"/>
              <a:gd name="T12" fmla="*/ 714 w 748"/>
              <a:gd name="T13" fmla="*/ 323 h 943"/>
              <a:gd name="T14" fmla="*/ 714 w 748"/>
              <a:gd name="T15" fmla="*/ 628 h 943"/>
              <a:gd name="T16" fmla="*/ 748 w 748"/>
              <a:gd name="T17" fmla="*/ 925 h 943"/>
              <a:gd name="T18" fmla="*/ 538 w 748"/>
              <a:gd name="T19" fmla="*/ 925 h 943"/>
              <a:gd name="T20" fmla="*/ 520 w 748"/>
              <a:gd name="T21" fmla="*/ 811 h 943"/>
              <a:gd name="T22" fmla="*/ 518 w 748"/>
              <a:gd name="T23" fmla="*/ 810 h 943"/>
              <a:gd name="T24" fmla="*/ 266 w 748"/>
              <a:gd name="T25" fmla="*/ 943 h 943"/>
              <a:gd name="T26" fmla="*/ 0 w 748"/>
              <a:gd name="T27" fmla="*/ 647 h 943"/>
              <a:gd name="T28" fmla="*/ 348 w 748"/>
              <a:gd name="T29" fmla="*/ 323 h 943"/>
              <a:gd name="T30" fmla="*/ 467 w 748"/>
              <a:gd name="T31" fmla="*/ 335 h 943"/>
              <a:gd name="T32" fmla="*/ 476 w 748"/>
              <a:gd name="T33" fmla="*/ 337 h 943"/>
              <a:gd name="T34" fmla="*/ 243 w 748"/>
              <a:gd name="T35" fmla="*/ 627 h 943"/>
              <a:gd name="T36" fmla="*/ 346 w 748"/>
              <a:gd name="T37" fmla="*/ 748 h 943"/>
              <a:gd name="T38" fmla="*/ 478 w 748"/>
              <a:gd name="T39" fmla="*/ 571 h 943"/>
              <a:gd name="T40" fmla="*/ 478 w 748"/>
              <a:gd name="T41" fmla="*/ 495 h 943"/>
              <a:gd name="T42" fmla="*/ 473 w 748"/>
              <a:gd name="T43" fmla="*/ 493 h 943"/>
              <a:gd name="T44" fmla="*/ 373 w 748"/>
              <a:gd name="T45" fmla="*/ 476 h 943"/>
              <a:gd name="T46" fmla="*/ 243 w 748"/>
              <a:gd name="T47" fmla="*/ 627 h 9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748" h="943">
                <a:moveTo>
                  <a:pt x="476" y="337"/>
                </a:moveTo>
                <a:cubicBezTo>
                  <a:pt x="476" y="306"/>
                  <a:pt x="476" y="306"/>
                  <a:pt x="476" y="306"/>
                </a:cubicBezTo>
                <a:cubicBezTo>
                  <a:pt x="476" y="216"/>
                  <a:pt x="411" y="181"/>
                  <a:pt x="344" y="181"/>
                </a:cubicBezTo>
                <a:cubicBezTo>
                  <a:pt x="256" y="181"/>
                  <a:pt x="207" y="199"/>
                  <a:pt x="133" y="228"/>
                </a:cubicBezTo>
                <a:cubicBezTo>
                  <a:pt x="78" y="53"/>
                  <a:pt x="78" y="53"/>
                  <a:pt x="78" y="53"/>
                </a:cubicBezTo>
                <a:cubicBezTo>
                  <a:pt x="190" y="15"/>
                  <a:pt x="286" y="0"/>
                  <a:pt x="381" y="0"/>
                </a:cubicBezTo>
                <a:cubicBezTo>
                  <a:pt x="641" y="0"/>
                  <a:pt x="714" y="158"/>
                  <a:pt x="714" y="323"/>
                </a:cubicBezTo>
                <a:cubicBezTo>
                  <a:pt x="714" y="628"/>
                  <a:pt x="714" y="628"/>
                  <a:pt x="714" y="628"/>
                </a:cubicBezTo>
                <a:cubicBezTo>
                  <a:pt x="714" y="726"/>
                  <a:pt x="724" y="828"/>
                  <a:pt x="748" y="925"/>
                </a:cubicBezTo>
                <a:cubicBezTo>
                  <a:pt x="538" y="925"/>
                  <a:pt x="538" y="925"/>
                  <a:pt x="538" y="925"/>
                </a:cubicBezTo>
                <a:cubicBezTo>
                  <a:pt x="529" y="889"/>
                  <a:pt x="522" y="849"/>
                  <a:pt x="520" y="811"/>
                </a:cubicBezTo>
                <a:cubicBezTo>
                  <a:pt x="518" y="810"/>
                  <a:pt x="518" y="810"/>
                  <a:pt x="518" y="810"/>
                </a:cubicBezTo>
                <a:cubicBezTo>
                  <a:pt x="469" y="893"/>
                  <a:pt x="384" y="943"/>
                  <a:pt x="266" y="943"/>
                </a:cubicBezTo>
                <a:cubicBezTo>
                  <a:pt x="152" y="943"/>
                  <a:pt x="0" y="871"/>
                  <a:pt x="0" y="647"/>
                </a:cubicBezTo>
                <a:cubicBezTo>
                  <a:pt x="0" y="424"/>
                  <a:pt x="152" y="323"/>
                  <a:pt x="348" y="323"/>
                </a:cubicBezTo>
                <a:cubicBezTo>
                  <a:pt x="390" y="323"/>
                  <a:pt x="428" y="328"/>
                  <a:pt x="467" y="335"/>
                </a:cubicBezTo>
                <a:lnTo>
                  <a:pt x="476" y="337"/>
                </a:lnTo>
                <a:close/>
                <a:moveTo>
                  <a:pt x="243" y="627"/>
                </a:moveTo>
                <a:cubicBezTo>
                  <a:pt x="243" y="706"/>
                  <a:pt x="286" y="748"/>
                  <a:pt x="346" y="748"/>
                </a:cubicBezTo>
                <a:cubicBezTo>
                  <a:pt x="420" y="748"/>
                  <a:pt x="478" y="697"/>
                  <a:pt x="478" y="571"/>
                </a:cubicBezTo>
                <a:cubicBezTo>
                  <a:pt x="478" y="495"/>
                  <a:pt x="478" y="495"/>
                  <a:pt x="478" y="495"/>
                </a:cubicBezTo>
                <a:cubicBezTo>
                  <a:pt x="473" y="493"/>
                  <a:pt x="473" y="493"/>
                  <a:pt x="473" y="493"/>
                </a:cubicBezTo>
                <a:cubicBezTo>
                  <a:pt x="449" y="485"/>
                  <a:pt x="409" y="476"/>
                  <a:pt x="373" y="476"/>
                </a:cubicBezTo>
                <a:cubicBezTo>
                  <a:pt x="297" y="476"/>
                  <a:pt x="243" y="533"/>
                  <a:pt x="243" y="627"/>
                </a:cubicBezTo>
                <a:close/>
              </a:path>
            </a:pathLst>
          </a:custGeom>
          <a:solidFill>
            <a:srgbClr val="FE000C"/>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de-CH"/>
          </a:p>
        </xdr:txBody>
      </xdr:sp>
    </xdr:grpSp>
    <xdr:clientData/>
  </xdr:twoCellAnchor>
  <mc:AlternateContent xmlns:mc="http://schemas.openxmlformats.org/markup-compatibility/2006">
    <mc:Choice xmlns:a14="http://schemas.microsoft.com/office/drawing/2010/main" Requires="a14">
      <xdr:twoCellAnchor editAs="oneCell">
        <xdr:from>
          <xdr:col>2</xdr:col>
          <xdr:colOff>0</xdr:colOff>
          <xdr:row>2</xdr:row>
          <xdr:rowOff>70757</xdr:rowOff>
        </xdr:from>
        <xdr:to>
          <xdr:col>2</xdr:col>
          <xdr:colOff>136071</xdr:colOff>
          <xdr:row>2</xdr:row>
          <xdr:rowOff>103414</xdr:rowOff>
        </xdr:to>
        <xdr:sp macro="" textlink="">
          <xdr:nvSpPr>
            <xdr:cNvPr id="20481" name="SprachwahlBox" hidden="1">
              <a:extLst>
                <a:ext uri="{63B3BB69-23CF-44E3-9099-C40C66FF867C}">
                  <a14:compatExt spid="_x0000_s20481"/>
                </a:ext>
                <a:ext uri="{FF2B5EF4-FFF2-40B4-BE49-F238E27FC236}">
                  <a16:creationId xmlns:a16="http://schemas.microsoft.com/office/drawing/2014/main" id="{00000000-0008-0000-0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1137557</xdr:colOff>
          <xdr:row>2</xdr:row>
          <xdr:rowOff>108857</xdr:rowOff>
        </xdr:from>
        <xdr:to>
          <xdr:col>2</xdr:col>
          <xdr:colOff>1213757</xdr:colOff>
          <xdr:row>3</xdr:row>
          <xdr:rowOff>168729</xdr:rowOff>
        </xdr:to>
        <xdr:sp macro="" textlink="">
          <xdr:nvSpPr>
            <xdr:cNvPr id="20490" name="Drop Down 10" hidden="1">
              <a:extLst>
                <a:ext uri="{63B3BB69-23CF-44E3-9099-C40C66FF867C}">
                  <a14:compatExt spid="_x0000_s20490"/>
                </a:ext>
                <a:ext uri="{FF2B5EF4-FFF2-40B4-BE49-F238E27FC236}">
                  <a16:creationId xmlns:a16="http://schemas.microsoft.com/office/drawing/2014/main" id="{00000000-0008-0000-0100-00000A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1155700</xdr:colOff>
      <xdr:row>2</xdr:row>
      <xdr:rowOff>25400</xdr:rowOff>
    </xdr:from>
    <xdr:to>
      <xdr:col>3</xdr:col>
      <xdr:colOff>6350</xdr:colOff>
      <xdr:row>2</xdr:row>
      <xdr:rowOff>127000</xdr:rowOff>
    </xdr:to>
    <xdr:sp macro="" textlink="">
      <xdr:nvSpPr>
        <xdr:cNvPr id="2" name="Rechteck 1">
          <a:extLst>
            <a:ext uri="{FF2B5EF4-FFF2-40B4-BE49-F238E27FC236}">
              <a16:creationId xmlns:a16="http://schemas.microsoft.com/office/drawing/2014/main" id="{00000000-0008-0000-0100-000002000000}"/>
            </a:ext>
          </a:extLst>
        </xdr:cNvPr>
        <xdr:cNvSpPr/>
      </xdr:nvSpPr>
      <xdr:spPr>
        <a:xfrm>
          <a:off x="1327150" y="584200"/>
          <a:ext cx="1631950" cy="1016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CH"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11</xdr:row>
          <xdr:rowOff>16329</xdr:rowOff>
        </xdr:from>
        <xdr:to>
          <xdr:col>2</xdr:col>
          <xdr:colOff>326571</xdr:colOff>
          <xdr:row>12</xdr:row>
          <xdr:rowOff>16329</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12</xdr:row>
          <xdr:rowOff>16329</xdr:rowOff>
        </xdr:from>
        <xdr:to>
          <xdr:col>2</xdr:col>
          <xdr:colOff>326571</xdr:colOff>
          <xdr:row>13</xdr:row>
          <xdr:rowOff>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13</xdr:row>
          <xdr:rowOff>16329</xdr:rowOff>
        </xdr:from>
        <xdr:to>
          <xdr:col>2</xdr:col>
          <xdr:colOff>326571</xdr:colOff>
          <xdr:row>14</xdr:row>
          <xdr:rowOff>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14</xdr:row>
          <xdr:rowOff>16329</xdr:rowOff>
        </xdr:from>
        <xdr:to>
          <xdr:col>2</xdr:col>
          <xdr:colOff>326571</xdr:colOff>
          <xdr:row>15</xdr:row>
          <xdr:rowOff>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15</xdr:row>
          <xdr:rowOff>16329</xdr:rowOff>
        </xdr:from>
        <xdr:to>
          <xdr:col>2</xdr:col>
          <xdr:colOff>326571</xdr:colOff>
          <xdr:row>16</xdr:row>
          <xdr:rowOff>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16</xdr:row>
          <xdr:rowOff>16329</xdr:rowOff>
        </xdr:from>
        <xdr:to>
          <xdr:col>2</xdr:col>
          <xdr:colOff>326571</xdr:colOff>
          <xdr:row>17</xdr:row>
          <xdr:rowOff>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17</xdr:row>
          <xdr:rowOff>16329</xdr:rowOff>
        </xdr:from>
        <xdr:to>
          <xdr:col>2</xdr:col>
          <xdr:colOff>326571</xdr:colOff>
          <xdr:row>18</xdr:row>
          <xdr:rowOff>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18</xdr:row>
          <xdr:rowOff>16329</xdr:rowOff>
        </xdr:from>
        <xdr:to>
          <xdr:col>2</xdr:col>
          <xdr:colOff>326571</xdr:colOff>
          <xdr:row>19</xdr:row>
          <xdr:rowOff>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19</xdr:row>
          <xdr:rowOff>16329</xdr:rowOff>
        </xdr:from>
        <xdr:to>
          <xdr:col>2</xdr:col>
          <xdr:colOff>326571</xdr:colOff>
          <xdr:row>20</xdr:row>
          <xdr:rowOff>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20</xdr:row>
          <xdr:rowOff>16329</xdr:rowOff>
        </xdr:from>
        <xdr:to>
          <xdr:col>2</xdr:col>
          <xdr:colOff>326571</xdr:colOff>
          <xdr:row>21</xdr:row>
          <xdr:rowOff>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20</xdr:row>
          <xdr:rowOff>16329</xdr:rowOff>
        </xdr:from>
        <xdr:to>
          <xdr:col>2</xdr:col>
          <xdr:colOff>326571</xdr:colOff>
          <xdr:row>21</xdr:row>
          <xdr:rowOff>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31</xdr:row>
          <xdr:rowOff>16329</xdr:rowOff>
        </xdr:from>
        <xdr:to>
          <xdr:col>2</xdr:col>
          <xdr:colOff>326571</xdr:colOff>
          <xdr:row>32</xdr:row>
          <xdr:rowOff>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31</xdr:row>
          <xdr:rowOff>16329</xdr:rowOff>
        </xdr:from>
        <xdr:to>
          <xdr:col>2</xdr:col>
          <xdr:colOff>326571</xdr:colOff>
          <xdr:row>32</xdr:row>
          <xdr:rowOff>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3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11</xdr:row>
          <xdr:rowOff>16329</xdr:rowOff>
        </xdr:from>
        <xdr:to>
          <xdr:col>15</xdr:col>
          <xdr:colOff>326571</xdr:colOff>
          <xdr:row>12</xdr:row>
          <xdr:rowOff>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11</xdr:row>
          <xdr:rowOff>16329</xdr:rowOff>
        </xdr:from>
        <xdr:to>
          <xdr:col>15</xdr:col>
          <xdr:colOff>326571</xdr:colOff>
          <xdr:row>12</xdr:row>
          <xdr:rowOff>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12</xdr:row>
          <xdr:rowOff>16329</xdr:rowOff>
        </xdr:from>
        <xdr:to>
          <xdr:col>15</xdr:col>
          <xdr:colOff>326571</xdr:colOff>
          <xdr:row>13</xdr:row>
          <xdr:rowOff>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13</xdr:row>
          <xdr:rowOff>16329</xdr:rowOff>
        </xdr:from>
        <xdr:to>
          <xdr:col>15</xdr:col>
          <xdr:colOff>326571</xdr:colOff>
          <xdr:row>14</xdr:row>
          <xdr:rowOff>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14</xdr:row>
          <xdr:rowOff>16329</xdr:rowOff>
        </xdr:from>
        <xdr:to>
          <xdr:col>15</xdr:col>
          <xdr:colOff>326571</xdr:colOff>
          <xdr:row>15</xdr:row>
          <xdr:rowOff>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15</xdr:row>
          <xdr:rowOff>16329</xdr:rowOff>
        </xdr:from>
        <xdr:to>
          <xdr:col>15</xdr:col>
          <xdr:colOff>326571</xdr:colOff>
          <xdr:row>16</xdr:row>
          <xdr:rowOff>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16</xdr:row>
          <xdr:rowOff>16329</xdr:rowOff>
        </xdr:from>
        <xdr:to>
          <xdr:col>15</xdr:col>
          <xdr:colOff>326571</xdr:colOff>
          <xdr:row>17</xdr:row>
          <xdr:rowOff>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3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17</xdr:row>
          <xdr:rowOff>16329</xdr:rowOff>
        </xdr:from>
        <xdr:to>
          <xdr:col>15</xdr:col>
          <xdr:colOff>326571</xdr:colOff>
          <xdr:row>18</xdr:row>
          <xdr:rowOff>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18</xdr:row>
          <xdr:rowOff>16329</xdr:rowOff>
        </xdr:from>
        <xdr:to>
          <xdr:col>15</xdr:col>
          <xdr:colOff>326571</xdr:colOff>
          <xdr:row>19</xdr:row>
          <xdr:rowOff>0</xdr:rowOff>
        </xdr:to>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19</xdr:row>
          <xdr:rowOff>16329</xdr:rowOff>
        </xdr:from>
        <xdr:to>
          <xdr:col>15</xdr:col>
          <xdr:colOff>326571</xdr:colOff>
          <xdr:row>20</xdr:row>
          <xdr:rowOff>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3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20</xdr:row>
          <xdr:rowOff>16329</xdr:rowOff>
        </xdr:from>
        <xdr:to>
          <xdr:col>15</xdr:col>
          <xdr:colOff>326571</xdr:colOff>
          <xdr:row>21</xdr:row>
          <xdr:rowOff>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20</xdr:row>
          <xdr:rowOff>16329</xdr:rowOff>
        </xdr:from>
        <xdr:to>
          <xdr:col>15</xdr:col>
          <xdr:colOff>326571</xdr:colOff>
          <xdr:row>21</xdr:row>
          <xdr:rowOff>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3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31</xdr:row>
          <xdr:rowOff>16329</xdr:rowOff>
        </xdr:from>
        <xdr:to>
          <xdr:col>15</xdr:col>
          <xdr:colOff>326571</xdr:colOff>
          <xdr:row>32</xdr:row>
          <xdr:rowOff>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31</xdr:row>
          <xdr:rowOff>16329</xdr:rowOff>
        </xdr:from>
        <xdr:to>
          <xdr:col>15</xdr:col>
          <xdr:colOff>326571</xdr:colOff>
          <xdr:row>32</xdr:row>
          <xdr:rowOff>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11</xdr:row>
          <xdr:rowOff>16329</xdr:rowOff>
        </xdr:from>
        <xdr:to>
          <xdr:col>18</xdr:col>
          <xdr:colOff>326571</xdr:colOff>
          <xdr:row>12</xdr:row>
          <xdr:rowOff>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3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11</xdr:row>
          <xdr:rowOff>16329</xdr:rowOff>
        </xdr:from>
        <xdr:to>
          <xdr:col>18</xdr:col>
          <xdr:colOff>326571</xdr:colOff>
          <xdr:row>12</xdr:row>
          <xdr:rowOff>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12</xdr:row>
          <xdr:rowOff>16329</xdr:rowOff>
        </xdr:from>
        <xdr:to>
          <xdr:col>18</xdr:col>
          <xdr:colOff>326571</xdr:colOff>
          <xdr:row>13</xdr:row>
          <xdr:rowOff>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13</xdr:row>
          <xdr:rowOff>16329</xdr:rowOff>
        </xdr:from>
        <xdr:to>
          <xdr:col>18</xdr:col>
          <xdr:colOff>326571</xdr:colOff>
          <xdr:row>14</xdr:row>
          <xdr:rowOff>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3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16329</xdr:rowOff>
        </xdr:from>
        <xdr:to>
          <xdr:col>18</xdr:col>
          <xdr:colOff>326571</xdr:colOff>
          <xdr:row>15</xdr:row>
          <xdr:rowOff>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15</xdr:row>
          <xdr:rowOff>16329</xdr:rowOff>
        </xdr:from>
        <xdr:to>
          <xdr:col>18</xdr:col>
          <xdr:colOff>326571</xdr:colOff>
          <xdr:row>16</xdr:row>
          <xdr:rowOff>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3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16</xdr:row>
          <xdr:rowOff>16329</xdr:rowOff>
        </xdr:from>
        <xdr:to>
          <xdr:col>18</xdr:col>
          <xdr:colOff>326571</xdr:colOff>
          <xdr:row>17</xdr:row>
          <xdr:rowOff>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17</xdr:row>
          <xdr:rowOff>16329</xdr:rowOff>
        </xdr:from>
        <xdr:to>
          <xdr:col>18</xdr:col>
          <xdr:colOff>326571</xdr:colOff>
          <xdr:row>18</xdr:row>
          <xdr:rowOff>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3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18</xdr:row>
          <xdr:rowOff>16329</xdr:rowOff>
        </xdr:from>
        <xdr:to>
          <xdr:col>18</xdr:col>
          <xdr:colOff>326571</xdr:colOff>
          <xdr:row>19</xdr:row>
          <xdr:rowOff>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19</xdr:row>
          <xdr:rowOff>16329</xdr:rowOff>
        </xdr:from>
        <xdr:to>
          <xdr:col>18</xdr:col>
          <xdr:colOff>326571</xdr:colOff>
          <xdr:row>20</xdr:row>
          <xdr:rowOff>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3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20</xdr:row>
          <xdr:rowOff>16329</xdr:rowOff>
        </xdr:from>
        <xdr:to>
          <xdr:col>18</xdr:col>
          <xdr:colOff>326571</xdr:colOff>
          <xdr:row>21</xdr:row>
          <xdr:rowOff>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3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20</xdr:row>
          <xdr:rowOff>16329</xdr:rowOff>
        </xdr:from>
        <xdr:to>
          <xdr:col>18</xdr:col>
          <xdr:colOff>326571</xdr:colOff>
          <xdr:row>21</xdr:row>
          <xdr:rowOff>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3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3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3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31</xdr:row>
          <xdr:rowOff>16329</xdr:rowOff>
        </xdr:from>
        <xdr:to>
          <xdr:col>18</xdr:col>
          <xdr:colOff>326571</xdr:colOff>
          <xdr:row>32</xdr:row>
          <xdr:rowOff>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31</xdr:row>
          <xdr:rowOff>16329</xdr:rowOff>
        </xdr:from>
        <xdr:to>
          <xdr:col>18</xdr:col>
          <xdr:colOff>326571</xdr:colOff>
          <xdr:row>32</xdr:row>
          <xdr:rowOff>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3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21</xdr:row>
          <xdr:rowOff>16329</xdr:rowOff>
        </xdr:from>
        <xdr:to>
          <xdr:col>2</xdr:col>
          <xdr:colOff>326571</xdr:colOff>
          <xdr:row>22</xdr:row>
          <xdr:rowOff>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3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21</xdr:row>
          <xdr:rowOff>16329</xdr:rowOff>
        </xdr:from>
        <xdr:to>
          <xdr:col>2</xdr:col>
          <xdr:colOff>326571</xdr:colOff>
          <xdr:row>22</xdr:row>
          <xdr:rowOff>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3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22</xdr:row>
          <xdr:rowOff>16329</xdr:rowOff>
        </xdr:from>
        <xdr:to>
          <xdr:col>2</xdr:col>
          <xdr:colOff>326571</xdr:colOff>
          <xdr:row>23</xdr:row>
          <xdr:rowOff>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3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22</xdr:row>
          <xdr:rowOff>16329</xdr:rowOff>
        </xdr:from>
        <xdr:to>
          <xdr:col>2</xdr:col>
          <xdr:colOff>326571</xdr:colOff>
          <xdr:row>23</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3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23</xdr:row>
          <xdr:rowOff>16329</xdr:rowOff>
        </xdr:from>
        <xdr:to>
          <xdr:col>2</xdr:col>
          <xdr:colOff>326571</xdr:colOff>
          <xdr:row>24</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3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23</xdr:row>
          <xdr:rowOff>16329</xdr:rowOff>
        </xdr:from>
        <xdr:to>
          <xdr:col>2</xdr:col>
          <xdr:colOff>326571</xdr:colOff>
          <xdr:row>24</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3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24</xdr:row>
          <xdr:rowOff>16329</xdr:rowOff>
        </xdr:from>
        <xdr:to>
          <xdr:col>2</xdr:col>
          <xdr:colOff>326571</xdr:colOff>
          <xdr:row>25</xdr:row>
          <xdr:rowOff>0</xdr:rowOff>
        </xdr:to>
        <xdr:sp macro="" textlink="">
          <xdr:nvSpPr>
            <xdr:cNvPr id="6234" name="Check Box 90" hidden="1">
              <a:extLst>
                <a:ext uri="{63B3BB69-23CF-44E3-9099-C40C66FF867C}">
                  <a14:compatExt spid="_x0000_s6234"/>
                </a:ext>
                <a:ext uri="{FF2B5EF4-FFF2-40B4-BE49-F238E27FC236}">
                  <a16:creationId xmlns:a16="http://schemas.microsoft.com/office/drawing/2014/main" id="{00000000-0008-0000-0300-00005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24</xdr:row>
          <xdr:rowOff>16329</xdr:rowOff>
        </xdr:from>
        <xdr:to>
          <xdr:col>2</xdr:col>
          <xdr:colOff>326571</xdr:colOff>
          <xdr:row>25</xdr:row>
          <xdr:rowOff>0</xdr:rowOff>
        </xdr:to>
        <xdr:sp macro="" textlink="">
          <xdr:nvSpPr>
            <xdr:cNvPr id="6235" name="Check Box 91" hidden="1">
              <a:extLst>
                <a:ext uri="{63B3BB69-23CF-44E3-9099-C40C66FF867C}">
                  <a14:compatExt spid="_x0000_s6235"/>
                </a:ext>
                <a:ext uri="{FF2B5EF4-FFF2-40B4-BE49-F238E27FC236}">
                  <a16:creationId xmlns:a16="http://schemas.microsoft.com/office/drawing/2014/main" id="{00000000-0008-0000-0300-00005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3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3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3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3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3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3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3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25</xdr:row>
          <xdr:rowOff>0</xdr:rowOff>
        </xdr:from>
        <xdr:to>
          <xdr:col>2</xdr:col>
          <xdr:colOff>326571</xdr:colOff>
          <xdr:row>31</xdr:row>
          <xdr:rowOff>168729</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3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21</xdr:row>
          <xdr:rowOff>16329</xdr:rowOff>
        </xdr:from>
        <xdr:to>
          <xdr:col>15</xdr:col>
          <xdr:colOff>326571</xdr:colOff>
          <xdr:row>22</xdr:row>
          <xdr:rowOff>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3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21</xdr:row>
          <xdr:rowOff>16329</xdr:rowOff>
        </xdr:from>
        <xdr:to>
          <xdr:col>15</xdr:col>
          <xdr:colOff>326571</xdr:colOff>
          <xdr:row>22</xdr:row>
          <xdr:rowOff>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3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21</xdr:row>
          <xdr:rowOff>16329</xdr:rowOff>
        </xdr:from>
        <xdr:to>
          <xdr:col>18</xdr:col>
          <xdr:colOff>326571</xdr:colOff>
          <xdr:row>22</xdr:row>
          <xdr:rowOff>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3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21</xdr:row>
          <xdr:rowOff>16329</xdr:rowOff>
        </xdr:from>
        <xdr:to>
          <xdr:col>18</xdr:col>
          <xdr:colOff>326571</xdr:colOff>
          <xdr:row>22</xdr:row>
          <xdr:rowOff>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3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22</xdr:row>
          <xdr:rowOff>16329</xdr:rowOff>
        </xdr:from>
        <xdr:to>
          <xdr:col>15</xdr:col>
          <xdr:colOff>326571</xdr:colOff>
          <xdr:row>23</xdr:row>
          <xdr:rowOff>0</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3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22</xdr:row>
          <xdr:rowOff>16329</xdr:rowOff>
        </xdr:from>
        <xdr:to>
          <xdr:col>15</xdr:col>
          <xdr:colOff>326571</xdr:colOff>
          <xdr:row>23</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3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22</xdr:row>
          <xdr:rowOff>16329</xdr:rowOff>
        </xdr:from>
        <xdr:to>
          <xdr:col>18</xdr:col>
          <xdr:colOff>326571</xdr:colOff>
          <xdr:row>23</xdr:row>
          <xdr:rowOff>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3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22</xdr:row>
          <xdr:rowOff>16329</xdr:rowOff>
        </xdr:from>
        <xdr:to>
          <xdr:col>18</xdr:col>
          <xdr:colOff>326571</xdr:colOff>
          <xdr:row>23</xdr:row>
          <xdr:rowOff>0</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3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23</xdr:row>
          <xdr:rowOff>16329</xdr:rowOff>
        </xdr:from>
        <xdr:to>
          <xdr:col>15</xdr:col>
          <xdr:colOff>326571</xdr:colOff>
          <xdr:row>24</xdr:row>
          <xdr:rowOff>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3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23</xdr:row>
          <xdr:rowOff>16329</xdr:rowOff>
        </xdr:from>
        <xdr:to>
          <xdr:col>15</xdr:col>
          <xdr:colOff>326571</xdr:colOff>
          <xdr:row>24</xdr:row>
          <xdr:rowOff>0</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3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23</xdr:row>
          <xdr:rowOff>16329</xdr:rowOff>
        </xdr:from>
        <xdr:to>
          <xdr:col>18</xdr:col>
          <xdr:colOff>326571</xdr:colOff>
          <xdr:row>24</xdr:row>
          <xdr:rowOff>0</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3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23</xdr:row>
          <xdr:rowOff>16329</xdr:rowOff>
        </xdr:from>
        <xdr:to>
          <xdr:col>18</xdr:col>
          <xdr:colOff>326571</xdr:colOff>
          <xdr:row>24</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3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24</xdr:row>
          <xdr:rowOff>16329</xdr:rowOff>
        </xdr:from>
        <xdr:to>
          <xdr:col>15</xdr:col>
          <xdr:colOff>326571</xdr:colOff>
          <xdr:row>25</xdr:row>
          <xdr:rowOff>0</xdr:rowOff>
        </xdr:to>
        <xdr:sp macro="" textlink="">
          <xdr:nvSpPr>
            <xdr:cNvPr id="6265" name="Check Box 121" hidden="1">
              <a:extLst>
                <a:ext uri="{63B3BB69-23CF-44E3-9099-C40C66FF867C}">
                  <a14:compatExt spid="_x0000_s6265"/>
                </a:ext>
                <a:ext uri="{FF2B5EF4-FFF2-40B4-BE49-F238E27FC236}">
                  <a16:creationId xmlns:a16="http://schemas.microsoft.com/office/drawing/2014/main" id="{00000000-0008-0000-0300-00007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24</xdr:row>
          <xdr:rowOff>16329</xdr:rowOff>
        </xdr:from>
        <xdr:to>
          <xdr:col>15</xdr:col>
          <xdr:colOff>326571</xdr:colOff>
          <xdr:row>25</xdr:row>
          <xdr:rowOff>0</xdr:rowOff>
        </xdr:to>
        <xdr:sp macro="" textlink="">
          <xdr:nvSpPr>
            <xdr:cNvPr id="6266" name="Check Box 122" hidden="1">
              <a:extLst>
                <a:ext uri="{63B3BB69-23CF-44E3-9099-C40C66FF867C}">
                  <a14:compatExt spid="_x0000_s6266"/>
                </a:ext>
                <a:ext uri="{FF2B5EF4-FFF2-40B4-BE49-F238E27FC236}">
                  <a16:creationId xmlns:a16="http://schemas.microsoft.com/office/drawing/2014/main" id="{00000000-0008-0000-0300-00007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24</xdr:row>
          <xdr:rowOff>16329</xdr:rowOff>
        </xdr:from>
        <xdr:to>
          <xdr:col>18</xdr:col>
          <xdr:colOff>326571</xdr:colOff>
          <xdr:row>25</xdr:row>
          <xdr:rowOff>0</xdr:rowOff>
        </xdr:to>
        <xdr:sp macro="" textlink="">
          <xdr:nvSpPr>
            <xdr:cNvPr id="6267" name="Check Box 123" hidden="1">
              <a:extLst>
                <a:ext uri="{63B3BB69-23CF-44E3-9099-C40C66FF867C}">
                  <a14:compatExt spid="_x0000_s6267"/>
                </a:ext>
                <a:ext uri="{FF2B5EF4-FFF2-40B4-BE49-F238E27FC236}">
                  <a16:creationId xmlns:a16="http://schemas.microsoft.com/office/drawing/2014/main" id="{00000000-0008-0000-0300-00007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24</xdr:row>
          <xdr:rowOff>16329</xdr:rowOff>
        </xdr:from>
        <xdr:to>
          <xdr:col>18</xdr:col>
          <xdr:colOff>326571</xdr:colOff>
          <xdr:row>25</xdr:row>
          <xdr:rowOff>0</xdr:rowOff>
        </xdr:to>
        <xdr:sp macro="" textlink="">
          <xdr:nvSpPr>
            <xdr:cNvPr id="6268" name="Check Box 124" hidden="1">
              <a:extLst>
                <a:ext uri="{63B3BB69-23CF-44E3-9099-C40C66FF867C}">
                  <a14:compatExt spid="_x0000_s6268"/>
                </a:ext>
                <a:ext uri="{FF2B5EF4-FFF2-40B4-BE49-F238E27FC236}">
                  <a16:creationId xmlns:a16="http://schemas.microsoft.com/office/drawing/2014/main" id="{00000000-0008-0000-0300-00007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71" name="Check Box 127" hidden="1">
              <a:extLst>
                <a:ext uri="{63B3BB69-23CF-44E3-9099-C40C66FF867C}">
                  <a14:compatExt spid="_x0000_s6271"/>
                </a:ext>
                <a:ext uri="{FF2B5EF4-FFF2-40B4-BE49-F238E27FC236}">
                  <a16:creationId xmlns:a16="http://schemas.microsoft.com/office/drawing/2014/main" id="{00000000-0008-0000-0300-00007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72" name="Check Box 128" hidden="1">
              <a:extLst>
                <a:ext uri="{63B3BB69-23CF-44E3-9099-C40C66FF867C}">
                  <a14:compatExt spid="_x0000_s6272"/>
                </a:ext>
                <a:ext uri="{FF2B5EF4-FFF2-40B4-BE49-F238E27FC236}">
                  <a16:creationId xmlns:a16="http://schemas.microsoft.com/office/drawing/2014/main" id="{00000000-0008-0000-0300-00008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73" name="Check Box 129" hidden="1">
              <a:extLst>
                <a:ext uri="{63B3BB69-23CF-44E3-9099-C40C66FF867C}">
                  <a14:compatExt spid="_x0000_s6273"/>
                </a:ext>
                <a:ext uri="{FF2B5EF4-FFF2-40B4-BE49-F238E27FC236}">
                  <a16:creationId xmlns:a16="http://schemas.microsoft.com/office/drawing/2014/main" id="{00000000-0008-0000-0300-00008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74" name="Check Box 130" hidden="1">
              <a:extLst>
                <a:ext uri="{63B3BB69-23CF-44E3-9099-C40C66FF867C}">
                  <a14:compatExt spid="_x0000_s6274"/>
                </a:ext>
                <a:ext uri="{FF2B5EF4-FFF2-40B4-BE49-F238E27FC236}">
                  <a16:creationId xmlns:a16="http://schemas.microsoft.com/office/drawing/2014/main" id="{00000000-0008-0000-0300-00008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77" name="Check Box 133" hidden="1">
              <a:extLst>
                <a:ext uri="{63B3BB69-23CF-44E3-9099-C40C66FF867C}">
                  <a14:compatExt spid="_x0000_s6277"/>
                </a:ext>
                <a:ext uri="{FF2B5EF4-FFF2-40B4-BE49-F238E27FC236}">
                  <a16:creationId xmlns:a16="http://schemas.microsoft.com/office/drawing/2014/main" id="{00000000-0008-0000-0300-00008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78" name="Check Box 134" hidden="1">
              <a:extLst>
                <a:ext uri="{63B3BB69-23CF-44E3-9099-C40C66FF867C}">
                  <a14:compatExt spid="_x0000_s6278"/>
                </a:ext>
                <a:ext uri="{FF2B5EF4-FFF2-40B4-BE49-F238E27FC236}">
                  <a16:creationId xmlns:a16="http://schemas.microsoft.com/office/drawing/2014/main" id="{00000000-0008-0000-0300-00008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3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80" name="Check Box 136" hidden="1">
              <a:extLst>
                <a:ext uri="{63B3BB69-23CF-44E3-9099-C40C66FF867C}">
                  <a14:compatExt spid="_x0000_s6280"/>
                </a:ext>
                <a:ext uri="{FF2B5EF4-FFF2-40B4-BE49-F238E27FC236}">
                  <a16:creationId xmlns:a16="http://schemas.microsoft.com/office/drawing/2014/main" id="{00000000-0008-0000-0300-00008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83" name="Check Box 139" hidden="1">
              <a:extLst>
                <a:ext uri="{63B3BB69-23CF-44E3-9099-C40C66FF867C}">
                  <a14:compatExt spid="_x0000_s6283"/>
                </a:ext>
                <a:ext uri="{FF2B5EF4-FFF2-40B4-BE49-F238E27FC236}">
                  <a16:creationId xmlns:a16="http://schemas.microsoft.com/office/drawing/2014/main" id="{00000000-0008-0000-0300-00008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84" name="Check Box 140" hidden="1">
              <a:extLst>
                <a:ext uri="{63B3BB69-23CF-44E3-9099-C40C66FF867C}">
                  <a14:compatExt spid="_x0000_s6284"/>
                </a:ext>
                <a:ext uri="{FF2B5EF4-FFF2-40B4-BE49-F238E27FC236}">
                  <a16:creationId xmlns:a16="http://schemas.microsoft.com/office/drawing/2014/main" id="{00000000-0008-0000-0300-00008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85" name="Check Box 141" hidden="1">
              <a:extLst>
                <a:ext uri="{63B3BB69-23CF-44E3-9099-C40C66FF867C}">
                  <a14:compatExt spid="_x0000_s6285"/>
                </a:ext>
                <a:ext uri="{FF2B5EF4-FFF2-40B4-BE49-F238E27FC236}">
                  <a16:creationId xmlns:a16="http://schemas.microsoft.com/office/drawing/2014/main" id="{00000000-0008-0000-0300-00008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86" name="Check Box 142" hidden="1">
              <a:extLst>
                <a:ext uri="{63B3BB69-23CF-44E3-9099-C40C66FF867C}">
                  <a14:compatExt spid="_x0000_s6286"/>
                </a:ext>
                <a:ext uri="{FF2B5EF4-FFF2-40B4-BE49-F238E27FC236}">
                  <a16:creationId xmlns:a16="http://schemas.microsoft.com/office/drawing/2014/main" id="{00000000-0008-0000-0300-00008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89" name="Check Box 145" hidden="1">
              <a:extLst>
                <a:ext uri="{63B3BB69-23CF-44E3-9099-C40C66FF867C}">
                  <a14:compatExt spid="_x0000_s6289"/>
                </a:ext>
                <a:ext uri="{FF2B5EF4-FFF2-40B4-BE49-F238E27FC236}">
                  <a16:creationId xmlns:a16="http://schemas.microsoft.com/office/drawing/2014/main" id="{00000000-0008-0000-0300-00009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114300</xdr:colOff>
          <xdr:row>25</xdr:row>
          <xdr:rowOff>0</xdr:rowOff>
        </xdr:from>
        <xdr:to>
          <xdr:col>15</xdr:col>
          <xdr:colOff>326571</xdr:colOff>
          <xdr:row>31</xdr:row>
          <xdr:rowOff>168729</xdr:rowOff>
        </xdr:to>
        <xdr:sp macro="" textlink="">
          <xdr:nvSpPr>
            <xdr:cNvPr id="6290" name="Check Box 146" hidden="1">
              <a:extLst>
                <a:ext uri="{63B3BB69-23CF-44E3-9099-C40C66FF867C}">
                  <a14:compatExt spid="_x0000_s6290"/>
                </a:ext>
                <a:ext uri="{FF2B5EF4-FFF2-40B4-BE49-F238E27FC236}">
                  <a16:creationId xmlns:a16="http://schemas.microsoft.com/office/drawing/2014/main" id="{00000000-0008-0000-0300-00009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91" name="Check Box 147" hidden="1">
              <a:extLst>
                <a:ext uri="{63B3BB69-23CF-44E3-9099-C40C66FF867C}">
                  <a14:compatExt spid="_x0000_s6291"/>
                </a:ext>
                <a:ext uri="{FF2B5EF4-FFF2-40B4-BE49-F238E27FC236}">
                  <a16:creationId xmlns:a16="http://schemas.microsoft.com/office/drawing/2014/main" id="{00000000-0008-0000-0300-00009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25</xdr:row>
          <xdr:rowOff>0</xdr:rowOff>
        </xdr:from>
        <xdr:to>
          <xdr:col>18</xdr:col>
          <xdr:colOff>326571</xdr:colOff>
          <xdr:row>31</xdr:row>
          <xdr:rowOff>168729</xdr:rowOff>
        </xdr:to>
        <xdr:sp macro="" textlink="">
          <xdr:nvSpPr>
            <xdr:cNvPr id="6292" name="Check Box 148" hidden="1">
              <a:extLst>
                <a:ext uri="{63B3BB69-23CF-44E3-9099-C40C66FF867C}">
                  <a14:compatExt spid="_x0000_s6292"/>
                </a:ext>
                <a:ext uri="{FF2B5EF4-FFF2-40B4-BE49-F238E27FC236}">
                  <a16:creationId xmlns:a16="http://schemas.microsoft.com/office/drawing/2014/main" id="{00000000-0008-0000-0300-00009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566057</xdr:colOff>
          <xdr:row>0</xdr:row>
          <xdr:rowOff>157843</xdr:rowOff>
        </xdr:from>
        <xdr:to>
          <xdr:col>5</xdr:col>
          <xdr:colOff>375557</xdr:colOff>
          <xdr:row>2</xdr:row>
          <xdr:rowOff>76200</xdr:rowOff>
        </xdr:to>
        <xdr:sp macro="" textlink="">
          <xdr:nvSpPr>
            <xdr:cNvPr id="6293" name="Drop Down 149" hidden="1">
              <a:extLst>
                <a:ext uri="{63B3BB69-23CF-44E3-9099-C40C66FF867C}">
                  <a14:compatExt spid="_x0000_s6293"/>
                </a:ext>
                <a:ext uri="{FF2B5EF4-FFF2-40B4-BE49-F238E27FC236}">
                  <a16:creationId xmlns:a16="http://schemas.microsoft.com/office/drawing/2014/main" id="{00000000-0008-0000-0300-00009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xdr:col>
      <xdr:colOff>287337</xdr:colOff>
      <xdr:row>30</xdr:row>
      <xdr:rowOff>125412</xdr:rowOff>
    </xdr:from>
    <xdr:to>
      <xdr:col>10</xdr:col>
      <xdr:colOff>228600</xdr:colOff>
      <xdr:row>53</xdr:row>
      <xdr:rowOff>106361</xdr:rowOff>
    </xdr:to>
    <xdr:graphicFrame macro="">
      <xdr:nvGraphicFramePr>
        <xdr:cNvPr id="3" name="Diagram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0</xdr:row>
          <xdr:rowOff>92529</xdr:rowOff>
        </xdr:from>
        <xdr:to>
          <xdr:col>19</xdr:col>
          <xdr:colOff>473529</xdr:colOff>
          <xdr:row>2</xdr:row>
          <xdr:rowOff>38100</xdr:rowOff>
        </xdr:to>
        <xdr:sp macro="" textlink="">
          <xdr:nvSpPr>
            <xdr:cNvPr id="34817" name="Button 1" descr="Update" hidden="1">
              <a:extLst>
                <a:ext uri="{63B3BB69-23CF-44E3-9099-C40C66FF867C}">
                  <a14:compatExt spid="_x0000_s34817"/>
                </a:ext>
                <a:ext uri="{FF2B5EF4-FFF2-40B4-BE49-F238E27FC236}">
                  <a16:creationId xmlns:a16="http://schemas.microsoft.com/office/drawing/2014/main" id="{00000000-0008-0000-0400-00000188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de-CH" sz="1000" b="0" i="0" u="none" strike="noStrike" baseline="0">
                  <a:solidFill>
                    <a:srgbClr val="000000"/>
                  </a:solidFill>
                  <a:latin typeface="Arial"/>
                  <a:cs typeface="Arial"/>
                </a:rPr>
                <a:t>Update</a:t>
              </a:r>
            </a:p>
          </xdr:txBody>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16</xdr:col>
      <xdr:colOff>311150</xdr:colOff>
      <xdr:row>28</xdr:row>
      <xdr:rowOff>50800</xdr:rowOff>
    </xdr:from>
    <xdr:to>
      <xdr:col>20</xdr:col>
      <xdr:colOff>576481</xdr:colOff>
      <xdr:row>56</xdr:row>
      <xdr:rowOff>6350</xdr:rowOff>
    </xdr:to>
    <xdr:graphicFrame macro="">
      <xdr:nvGraphicFramePr>
        <xdr:cNvPr id="2" name="Diagramm 3">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xdr:col>
      <xdr:colOff>247650</xdr:colOff>
      <xdr:row>29</xdr:row>
      <xdr:rowOff>57149</xdr:rowOff>
    </xdr:from>
    <xdr:to>
      <xdr:col>15</xdr:col>
      <xdr:colOff>568324</xdr:colOff>
      <xdr:row>37</xdr:row>
      <xdr:rowOff>120649</xdr:rowOff>
    </xdr:to>
    <xdr:graphicFrame macro="">
      <xdr:nvGraphicFramePr>
        <xdr:cNvPr id="3" name="Diagramm 1">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3</xdr:col>
      <xdr:colOff>177800</xdr:colOff>
      <xdr:row>50</xdr:row>
      <xdr:rowOff>25402</xdr:rowOff>
    </xdr:from>
    <xdr:to>
      <xdr:col>16</xdr:col>
      <xdr:colOff>16929</xdr:colOff>
      <xdr:row>60</xdr:row>
      <xdr:rowOff>117870</xdr:rowOff>
    </xdr:to>
    <xdr:graphicFrame macro="">
      <xdr:nvGraphicFramePr>
        <xdr:cNvPr id="5" name="Diagramm 5">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3</xdr:col>
      <xdr:colOff>260350</xdr:colOff>
      <xdr:row>62</xdr:row>
      <xdr:rowOff>64692</xdr:rowOff>
    </xdr:from>
    <xdr:to>
      <xdr:col>15</xdr:col>
      <xdr:colOff>586110</xdr:colOff>
      <xdr:row>72</xdr:row>
      <xdr:rowOff>14110</xdr:rowOff>
    </xdr:to>
    <xdr:graphicFrame macro="">
      <xdr:nvGraphicFramePr>
        <xdr:cNvPr id="6" name="Diagramm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3</xdr:col>
      <xdr:colOff>203200</xdr:colOff>
      <xdr:row>37</xdr:row>
      <xdr:rowOff>131229</xdr:rowOff>
    </xdr:from>
    <xdr:to>
      <xdr:col>16</xdr:col>
      <xdr:colOff>3789</xdr:colOff>
      <xdr:row>48</xdr:row>
      <xdr:rowOff>64948</xdr:rowOff>
    </xdr:to>
    <xdr:graphicFrame macro="">
      <xdr:nvGraphicFramePr>
        <xdr:cNvPr id="7" name="Diagramm 5">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20</xdr:col>
      <xdr:colOff>602698</xdr:colOff>
      <xdr:row>263</xdr:row>
      <xdr:rowOff>20015</xdr:rowOff>
    </xdr:from>
    <xdr:to>
      <xdr:col>25</xdr:col>
      <xdr:colOff>1467540</xdr:colOff>
      <xdr:row>283</xdr:row>
      <xdr:rowOff>144254</xdr:rowOff>
    </xdr:to>
    <xdr:graphicFrame macro="">
      <xdr:nvGraphicFramePr>
        <xdr:cNvPr id="3" name="Diagramm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d62fcf71b2c52cb5/LowTech/2_Projekte/2002_SIA_2024/07_Berechnungen/Excel_Tool/03_Summenh&#228;ufigkeit/L&#252;ftung_2020111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Daten/20000_Projekte/20596_SIA_2024_Update/07_Berechnungen/Excel_Tool/Raumnutzung/SIA2024_Modul-Raum_2012-05-21.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Lemonadmin\OneDrive\LowTech\2_Projekte\2002_SIA_2024\07_Berechnungen\Excel_Tool\03_V200\SIA2024_Raumdatenbl&#228;tter_dfi_V221_20241117.xlsm" TargetMode="External"/><Relationship Id="rId1" Type="http://schemas.openxmlformats.org/officeDocument/2006/relationships/externalLinkPath" Target="https://d.docs.live.net/49081b6a3f415298/LowTech/2_Projekte/2002_SIA_2024/07_Berechnungen/Excel_Tool/03_V200/SIA2024_Raumdatenbl&#228;tter_dfi_V221_20241117.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aaLemon_Offline/20000_Projekte/20451_2000W_BFE/07_Berechnungen/Tool_Intep/4060_12_10916_Arealbewertungstool_V10_ungesch&#252;tzt_Richtwerte_mm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inführung"/>
      <sheetName val="Startblatt"/>
      <sheetName val="Lüftung"/>
      <sheetName val="L01"/>
      <sheetName val="Berechnung LU"/>
      <sheetName val="Grundlagendaten"/>
      <sheetName val="Klimadaten"/>
      <sheetName val="Begriffe"/>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sdaten"/>
      <sheetName val="Hüllzahl"/>
      <sheetName val="Profile"/>
      <sheetName val="Datenblatt"/>
      <sheetName val="Resultate Standard"/>
      <sheetName val="Resultate Ziel"/>
      <sheetName val="Resultate Bestand"/>
      <sheetName val="Export"/>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izenzieren"/>
      <sheetName val="Anleitung"/>
      <sheetName val="Begriffe"/>
      <sheetName val="Eingabedaten"/>
      <sheetName val="Profile"/>
      <sheetName val="Monatswerte"/>
      <sheetName val="Winter_Auslegung"/>
      <sheetName val="Aug_Auslegung"/>
      <sheetName val="Datenblatt"/>
      <sheetName val="Eigene Nutzung"/>
      <sheetName val="Resultate Standard"/>
      <sheetName val="Resultate Zielwert"/>
      <sheetName val="Resultate Bestand"/>
      <sheetName val="KZ_Raum_2024"/>
      <sheetName val="Fläche-E"/>
      <sheetName val="Fläche-L"/>
      <sheetName val="Fläche-ZW"/>
      <sheetName val="Fläche-Best"/>
      <sheetName val="GEPAMOD"/>
      <sheetName val="Volll_Lüft"/>
      <sheetName val="SIA 380-1"/>
      <sheetName val="Qhc_Klimastat"/>
      <sheetName val="SIA 380-1_Qc"/>
      <sheetName val="SIA 380-1_EN"/>
      <sheetName val="SIA 380-1_Qc_EN"/>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ingabe Grundlagen"/>
      <sheetName val="Eingabe neuer Nutzungen"/>
      <sheetName val="Eingabe neuer Bauweisen"/>
      <sheetName val="Eingabe weiterer Informationen"/>
      <sheetName val="Ausgabe detaillierte Resultate"/>
      <sheetName val="Versionen"/>
      <sheetName val="Hilfstabelle Mobilität"/>
      <sheetName val="Hilfstabelle Bauweise"/>
      <sheetName val="Hilfstabelle Energieerzeugung"/>
      <sheetName val="MB2032"/>
      <sheetName val="Kommentare"/>
      <sheetName val="KBOB-Energie"/>
      <sheetName val="Referenz-Mobilität"/>
      <sheetName val="Referenz-Energie"/>
      <sheetName val="Referenz-Bauweise"/>
      <sheetName val="Auswahlliste"/>
      <sheetName val="alt!pdf-&gt;MB2032"/>
      <sheetName val="alt!MB2032-&gt;Gliederung"/>
    </sheetNames>
  </externalBook>
</externalLink>
</file>

<file path=xl/persons/person.xml><?xml version="1.0" encoding="utf-8"?>
<personList xmlns="http://schemas.microsoft.com/office/spreadsheetml/2018/threadedcomments" xmlns:x="http://schemas.openxmlformats.org/spreadsheetml/2006/main">
  <person displayName="Mart Men" id="{A343CBD2-4E1C-4400-831C-ACC7CEB9E814}" userId="d62fcf71b2c52cb5" providerId="Windows Live"/>
  <person displayName="Hager Al Laham | SIA" id="{4974EBD2-4881-4F9C-8125-4A36C25E5A85}" userId="S::hager.allaham@sia.ch::2eb2f153-7397-4d2e-aac7-6a9bf117be0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25" dT="2021-10-04T12:00:10.60" personId="{4974EBD2-4881-4F9C-8125-4A36C25E5A85}" id="{425D24CC-C828-442B-9525-4BAF7D610A73}">
    <text>FWE: proposition pour remplacer la traduction actuelle figurant dans la SIA 2024 édition 2015</text>
  </threadedComment>
  <threadedComment ref="D114" dT="2021-10-01T13:16:37.80" personId="{4974EBD2-4881-4F9C-8125-4A36C25E5A85}" id="{BA76812D-BAE0-4557-B306-ECFF49054223}">
    <text>Mein Vorschlag: Consommateurs électriques selon kWh/m²
Es ist ja nicht Elektroverbraucher in kWh/m2 sondern nach kWh/m2</text>
  </threadedComment>
  <threadedComment ref="D135" dT="2021-10-01T13:30:17.58" personId="{4974EBD2-4881-4F9C-8125-4A36C25E5A85}" id="{DFCD2835-F223-4D72-8F34-7E9A96C02C8C}">
    <text>Abluftventilator = ventilateur d'extraction (SIA 382/5, 5.2.5.1)
Zuluft = Air fourni (SIA382/5, 1.1.1.9)
Aussenluft = Air neuf (SIA382/5, 1.1.1.8)</text>
  </threadedComment>
  <threadedComment ref="D150" dT="2021-10-01T13:33:50.85" personId="{4974EBD2-4881-4F9C-8125-4A36C25E5A85}" id="{EF631B0E-2C46-4012-AFAF-F153D924EFAB}">
    <text>Energiebedarf = Besoin en énergie (SIA 382/5, 2.3)</text>
  </threadedComment>
  <threadedComment ref="D155" dT="2021-10-04T12:07:01.96" personId="{4974EBD2-4881-4F9C-8125-4A36C25E5A85}" id="{9CEAC91C-99C1-46BC-96E2-14FEFB7BBC67}">
    <text>FWE: Pas sûre de cette proposition</text>
  </threadedComment>
  <threadedComment ref="D158" dT="2021-10-04T12:07:01.96" personId="{4974EBD2-4881-4F9C-8125-4A36C25E5A85}" id="{37151503-9882-4FC4-91A2-EFDA9F122D19}">
    <text>FWE: Pas sûre de cette proposition</text>
  </threadedComment>
  <threadedComment ref="D159" dT="2021-10-01T13:33:50.85" personId="{4974EBD2-4881-4F9C-8125-4A36C25E5A85}" id="{FFAF49FA-F1DE-44B8-88F5-014BA1788523}">
    <text>Energiebedarf = Besoin en énergie (SIA 382/5, 2.3)</text>
  </threadedComment>
</ThreadedComments>
</file>

<file path=xl/threadedComments/threadedComment2.xml><?xml version="1.0" encoding="utf-8"?>
<ThreadedComments xmlns="http://schemas.microsoft.com/office/spreadsheetml/2018/threadedcomments" xmlns:x="http://schemas.openxmlformats.org/spreadsheetml/2006/main">
  <threadedComment ref="G5" dT="2022-07-18T05:06:48.20" personId="{A343CBD2-4E1C-4400-831C-ACC7CEB9E814}" id="{0B6B56A3-48E2-4529-9973-E8740048F169}">
    <text>Specific Fan Power</text>
  </threadedComment>
</ThreadedComments>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http://siatools.energycodes.ch/index.htm?lizenzieren.aspx?C=20CCFMMP"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8.emf"/><Relationship Id="rId4" Type="http://schemas.openxmlformats.org/officeDocument/2006/relationships/control" Target="../activeX/activeX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ctrlProp" Target="../ctrlProps/ctrlProp61.xml"/><Relationship Id="rId68" Type="http://schemas.openxmlformats.org/officeDocument/2006/relationships/ctrlProp" Target="../ctrlProps/ctrlProp66.xml"/><Relationship Id="rId84" Type="http://schemas.openxmlformats.org/officeDocument/2006/relationships/ctrlProp" Target="../ctrlProps/ctrlProp82.xml"/><Relationship Id="rId89" Type="http://schemas.openxmlformats.org/officeDocument/2006/relationships/ctrlProp" Target="../ctrlProps/ctrlProp87.xml"/><Relationship Id="rId16" Type="http://schemas.openxmlformats.org/officeDocument/2006/relationships/ctrlProp" Target="../ctrlProps/ctrlProp14.xml"/><Relationship Id="rId107" Type="http://schemas.openxmlformats.org/officeDocument/2006/relationships/ctrlProp" Target="../ctrlProps/ctrlProp105.xml"/><Relationship Id="rId11" Type="http://schemas.openxmlformats.org/officeDocument/2006/relationships/ctrlProp" Target="../ctrlProps/ctrlProp9.xml"/><Relationship Id="rId32" Type="http://schemas.openxmlformats.org/officeDocument/2006/relationships/ctrlProp" Target="../ctrlProps/ctrlProp30.xml"/><Relationship Id="rId37" Type="http://schemas.openxmlformats.org/officeDocument/2006/relationships/ctrlProp" Target="../ctrlProps/ctrlProp35.xml"/><Relationship Id="rId53" Type="http://schemas.openxmlformats.org/officeDocument/2006/relationships/ctrlProp" Target="../ctrlProps/ctrlProp51.xml"/><Relationship Id="rId58" Type="http://schemas.openxmlformats.org/officeDocument/2006/relationships/ctrlProp" Target="../ctrlProps/ctrlProp56.xml"/><Relationship Id="rId74" Type="http://schemas.openxmlformats.org/officeDocument/2006/relationships/ctrlProp" Target="../ctrlProps/ctrlProp72.xml"/><Relationship Id="rId79" Type="http://schemas.openxmlformats.org/officeDocument/2006/relationships/ctrlProp" Target="../ctrlProps/ctrlProp77.xml"/><Relationship Id="rId102" Type="http://schemas.openxmlformats.org/officeDocument/2006/relationships/ctrlProp" Target="../ctrlProps/ctrlProp100.xml"/><Relationship Id="rId5" Type="http://schemas.openxmlformats.org/officeDocument/2006/relationships/ctrlProp" Target="../ctrlProps/ctrlProp3.xml"/><Relationship Id="rId90" Type="http://schemas.openxmlformats.org/officeDocument/2006/relationships/ctrlProp" Target="../ctrlProps/ctrlProp88.xml"/><Relationship Id="rId95" Type="http://schemas.openxmlformats.org/officeDocument/2006/relationships/ctrlProp" Target="../ctrlProps/ctrlProp93.xml"/><Relationship Id="rId22" Type="http://schemas.openxmlformats.org/officeDocument/2006/relationships/ctrlProp" Target="../ctrlProps/ctrlProp20.xml"/><Relationship Id="rId27" Type="http://schemas.openxmlformats.org/officeDocument/2006/relationships/ctrlProp" Target="../ctrlProps/ctrlProp25.xml"/><Relationship Id="rId43" Type="http://schemas.openxmlformats.org/officeDocument/2006/relationships/ctrlProp" Target="../ctrlProps/ctrlProp41.xml"/><Relationship Id="rId48" Type="http://schemas.openxmlformats.org/officeDocument/2006/relationships/ctrlProp" Target="../ctrlProps/ctrlProp46.xml"/><Relationship Id="rId64" Type="http://schemas.openxmlformats.org/officeDocument/2006/relationships/ctrlProp" Target="../ctrlProps/ctrlProp62.xml"/><Relationship Id="rId69" Type="http://schemas.openxmlformats.org/officeDocument/2006/relationships/ctrlProp" Target="../ctrlProps/ctrlProp67.xml"/><Relationship Id="rId80" Type="http://schemas.openxmlformats.org/officeDocument/2006/relationships/ctrlProp" Target="../ctrlProps/ctrlProp78.xml"/><Relationship Id="rId85" Type="http://schemas.openxmlformats.org/officeDocument/2006/relationships/ctrlProp" Target="../ctrlProps/ctrlProp83.xml"/><Relationship Id="rId12" Type="http://schemas.openxmlformats.org/officeDocument/2006/relationships/ctrlProp" Target="../ctrlProps/ctrlProp10.xml"/><Relationship Id="rId17" Type="http://schemas.openxmlformats.org/officeDocument/2006/relationships/ctrlProp" Target="../ctrlProps/ctrlProp15.xml"/><Relationship Id="rId33" Type="http://schemas.openxmlformats.org/officeDocument/2006/relationships/ctrlProp" Target="../ctrlProps/ctrlProp31.xml"/><Relationship Id="rId38" Type="http://schemas.openxmlformats.org/officeDocument/2006/relationships/ctrlProp" Target="../ctrlProps/ctrlProp36.xml"/><Relationship Id="rId59" Type="http://schemas.openxmlformats.org/officeDocument/2006/relationships/ctrlProp" Target="../ctrlProps/ctrlProp57.xml"/><Relationship Id="rId103" Type="http://schemas.openxmlformats.org/officeDocument/2006/relationships/ctrlProp" Target="../ctrlProps/ctrlProp101.xml"/><Relationship Id="rId108" Type="http://schemas.openxmlformats.org/officeDocument/2006/relationships/ctrlProp" Target="../ctrlProps/ctrlProp106.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ctrlProp" Target="../ctrlProps/ctrlProp52.xml"/><Relationship Id="rId62" Type="http://schemas.openxmlformats.org/officeDocument/2006/relationships/ctrlProp" Target="../ctrlProps/ctrlProp60.xml"/><Relationship Id="rId70" Type="http://schemas.openxmlformats.org/officeDocument/2006/relationships/ctrlProp" Target="../ctrlProps/ctrlProp68.xml"/><Relationship Id="rId75" Type="http://schemas.openxmlformats.org/officeDocument/2006/relationships/ctrlProp" Target="../ctrlProps/ctrlProp73.xml"/><Relationship Id="rId83" Type="http://schemas.openxmlformats.org/officeDocument/2006/relationships/ctrlProp" Target="../ctrlProps/ctrlProp81.xml"/><Relationship Id="rId88" Type="http://schemas.openxmlformats.org/officeDocument/2006/relationships/ctrlProp" Target="../ctrlProps/ctrlProp86.xml"/><Relationship Id="rId91" Type="http://schemas.openxmlformats.org/officeDocument/2006/relationships/ctrlProp" Target="../ctrlProps/ctrlProp89.xml"/><Relationship Id="rId96" Type="http://schemas.openxmlformats.org/officeDocument/2006/relationships/ctrlProp" Target="../ctrlProps/ctrlProp9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6" Type="http://schemas.openxmlformats.org/officeDocument/2006/relationships/ctrlProp" Target="../ctrlProps/ctrlProp104.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60" Type="http://schemas.openxmlformats.org/officeDocument/2006/relationships/ctrlProp" Target="../ctrlProps/ctrlProp58.xml"/><Relationship Id="rId65" Type="http://schemas.openxmlformats.org/officeDocument/2006/relationships/ctrlProp" Target="../ctrlProps/ctrlProp63.xml"/><Relationship Id="rId73" Type="http://schemas.openxmlformats.org/officeDocument/2006/relationships/ctrlProp" Target="../ctrlProps/ctrlProp71.xml"/><Relationship Id="rId78" Type="http://schemas.openxmlformats.org/officeDocument/2006/relationships/ctrlProp" Target="../ctrlProps/ctrlProp76.xml"/><Relationship Id="rId81" Type="http://schemas.openxmlformats.org/officeDocument/2006/relationships/ctrlProp" Target="../ctrlProps/ctrlProp79.xml"/><Relationship Id="rId86" Type="http://schemas.openxmlformats.org/officeDocument/2006/relationships/ctrlProp" Target="../ctrlProps/ctrlProp84.xml"/><Relationship Id="rId94" Type="http://schemas.openxmlformats.org/officeDocument/2006/relationships/ctrlProp" Target="../ctrlProps/ctrlProp92.xml"/><Relationship Id="rId99" Type="http://schemas.openxmlformats.org/officeDocument/2006/relationships/ctrlProp" Target="../ctrlProps/ctrlProp97.xml"/><Relationship Id="rId101" Type="http://schemas.openxmlformats.org/officeDocument/2006/relationships/ctrlProp" Target="../ctrlProps/ctrlProp99.xml"/><Relationship Id="rId4" Type="http://schemas.openxmlformats.org/officeDocument/2006/relationships/ctrlProp" Target="../ctrlProps/ctrlProp2.xm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ctrlProp" Target="../ctrlProps/ctrlProp53.xml"/><Relationship Id="rId76" Type="http://schemas.openxmlformats.org/officeDocument/2006/relationships/ctrlProp" Target="../ctrlProps/ctrlProp74.xml"/><Relationship Id="rId97" Type="http://schemas.openxmlformats.org/officeDocument/2006/relationships/ctrlProp" Target="../ctrlProps/ctrlProp95.xml"/><Relationship Id="rId104" Type="http://schemas.openxmlformats.org/officeDocument/2006/relationships/ctrlProp" Target="../ctrlProps/ctrlProp102.xml"/><Relationship Id="rId7" Type="http://schemas.openxmlformats.org/officeDocument/2006/relationships/ctrlProp" Target="../ctrlProps/ctrlProp5.xml"/><Relationship Id="rId71" Type="http://schemas.openxmlformats.org/officeDocument/2006/relationships/ctrlProp" Target="../ctrlProps/ctrlProp69.xml"/><Relationship Id="rId92" Type="http://schemas.openxmlformats.org/officeDocument/2006/relationships/ctrlProp" Target="../ctrlProps/ctrlProp90.xml"/><Relationship Id="rId2" Type="http://schemas.openxmlformats.org/officeDocument/2006/relationships/drawing" Target="../drawings/drawing3.xml"/><Relationship Id="rId29" Type="http://schemas.openxmlformats.org/officeDocument/2006/relationships/ctrlProp" Target="../ctrlProps/ctrlProp27.xml"/><Relationship Id="rId24" Type="http://schemas.openxmlformats.org/officeDocument/2006/relationships/ctrlProp" Target="../ctrlProps/ctrlProp22.xml"/><Relationship Id="rId40" Type="http://schemas.openxmlformats.org/officeDocument/2006/relationships/ctrlProp" Target="../ctrlProps/ctrlProp38.xml"/><Relationship Id="rId45" Type="http://schemas.openxmlformats.org/officeDocument/2006/relationships/ctrlProp" Target="../ctrlProps/ctrlProp43.xml"/><Relationship Id="rId66" Type="http://schemas.openxmlformats.org/officeDocument/2006/relationships/ctrlProp" Target="../ctrlProps/ctrlProp64.xml"/><Relationship Id="rId87" Type="http://schemas.openxmlformats.org/officeDocument/2006/relationships/ctrlProp" Target="../ctrlProps/ctrlProp85.xml"/><Relationship Id="rId61" Type="http://schemas.openxmlformats.org/officeDocument/2006/relationships/ctrlProp" Target="../ctrlProps/ctrlProp59.xml"/><Relationship Id="rId82" Type="http://schemas.openxmlformats.org/officeDocument/2006/relationships/ctrlProp" Target="../ctrlProps/ctrlProp80.xml"/><Relationship Id="rId19" Type="http://schemas.openxmlformats.org/officeDocument/2006/relationships/ctrlProp" Target="../ctrlProps/ctrlProp17.xml"/><Relationship Id="rId14" Type="http://schemas.openxmlformats.org/officeDocument/2006/relationships/ctrlProp" Target="../ctrlProps/ctrlProp12.xml"/><Relationship Id="rId30" Type="http://schemas.openxmlformats.org/officeDocument/2006/relationships/ctrlProp" Target="../ctrlProps/ctrlProp28.xml"/><Relationship Id="rId35" Type="http://schemas.openxmlformats.org/officeDocument/2006/relationships/ctrlProp" Target="../ctrlProps/ctrlProp33.xml"/><Relationship Id="rId56" Type="http://schemas.openxmlformats.org/officeDocument/2006/relationships/ctrlProp" Target="../ctrlProps/ctrlProp54.xml"/><Relationship Id="rId77" Type="http://schemas.openxmlformats.org/officeDocument/2006/relationships/ctrlProp" Target="../ctrlProps/ctrlProp75.xml"/><Relationship Id="rId100" Type="http://schemas.openxmlformats.org/officeDocument/2006/relationships/ctrlProp" Target="../ctrlProps/ctrlProp98.xml"/><Relationship Id="rId105" Type="http://schemas.openxmlformats.org/officeDocument/2006/relationships/ctrlProp" Target="../ctrlProps/ctrlProp103.xml"/><Relationship Id="rId8" Type="http://schemas.openxmlformats.org/officeDocument/2006/relationships/ctrlProp" Target="../ctrlProps/ctrlProp6.xml"/><Relationship Id="rId51" Type="http://schemas.openxmlformats.org/officeDocument/2006/relationships/ctrlProp" Target="../ctrlProps/ctrlProp49.xml"/><Relationship Id="rId72" Type="http://schemas.openxmlformats.org/officeDocument/2006/relationships/ctrlProp" Target="../ctrlProps/ctrlProp70.xml"/><Relationship Id="rId93" Type="http://schemas.openxmlformats.org/officeDocument/2006/relationships/ctrlProp" Target="../ctrlProps/ctrlProp91.xml"/><Relationship Id="rId98" Type="http://schemas.openxmlformats.org/officeDocument/2006/relationships/ctrlProp" Target="../ctrlProps/ctrlProp96.xml"/><Relationship Id="rId3" Type="http://schemas.openxmlformats.org/officeDocument/2006/relationships/vmlDrawing" Target="../drawings/vmlDrawing4.vml"/><Relationship Id="rId25" Type="http://schemas.openxmlformats.org/officeDocument/2006/relationships/ctrlProp" Target="../ctrlProps/ctrlProp23.xml"/><Relationship Id="rId46" Type="http://schemas.openxmlformats.org/officeDocument/2006/relationships/ctrlProp" Target="../ctrlProps/ctrlProp44.xml"/><Relationship Id="rId67" Type="http://schemas.openxmlformats.org/officeDocument/2006/relationships/ctrlProp" Target="../ctrlProps/ctrlProp6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ctrlProp" Target="../ctrlProps/ctrlProp10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blLizenzieren"/>
  <dimension ref="A2:F1048576"/>
  <sheetViews>
    <sheetView showGridLines="0" showRowColHeaders="0" zoomScaleNormal="100" workbookViewId="0">
      <selection activeCell="B6" sqref="B6"/>
    </sheetView>
  </sheetViews>
  <sheetFormatPr baseColWidth="10" defaultColWidth="11.4609375" defaultRowHeight="14.6"/>
  <cols>
    <col min="1" max="1" width="2.69140625" style="270" customWidth="1"/>
    <col min="2" max="2" width="100.69140625" style="270" customWidth="1"/>
    <col min="3" max="3" width="2.69140625" style="270" customWidth="1"/>
    <col min="4" max="16384" width="11.4609375" style="270"/>
  </cols>
  <sheetData>
    <row r="2" spans="2:6">
      <c r="B2" s="270" t="s">
        <v>479</v>
      </c>
    </row>
    <row r="4" spans="2:6">
      <c r="B4" s="271" t="s">
        <v>515</v>
      </c>
    </row>
    <row r="5" spans="2:6">
      <c r="D5" s="272"/>
      <c r="E5" s="273"/>
    </row>
    <row r="6" spans="2:6">
      <c r="B6" s="270" t="s">
        <v>1413</v>
      </c>
      <c r="D6" s="272">
        <v>45275</v>
      </c>
      <c r="E6" s="274">
        <v>12</v>
      </c>
      <c r="F6" s="274">
        <v>2023</v>
      </c>
    </row>
    <row r="8" spans="2:6">
      <c r="B8" s="271" t="s">
        <v>516</v>
      </c>
    </row>
    <row r="10" spans="2:6" ht="43.75">
      <c r="B10" s="275" t="s">
        <v>517</v>
      </c>
    </row>
    <row r="11" spans="2:6">
      <c r="B11" s="275"/>
    </row>
    <row r="12" spans="2:6">
      <c r="B12" s="275" t="s">
        <v>518</v>
      </c>
    </row>
    <row r="17" spans="2:4">
      <c r="B17" s="275" t="s">
        <v>519</v>
      </c>
    </row>
    <row r="19" spans="2:4">
      <c r="B19" s="270" t="s">
        <v>520</v>
      </c>
    </row>
    <row r="22" spans="2:4">
      <c r="B22" s="273"/>
      <c r="D22" s="273"/>
    </row>
    <row r="25" spans="2:4">
      <c r="B25" s="282" t="s">
        <v>1412</v>
      </c>
    </row>
    <row r="27" spans="2:4">
      <c r="B27" s="275" t="s">
        <v>521</v>
      </c>
    </row>
    <row r="30" spans="2:4">
      <c r="B30" s="274" t="s">
        <v>1411</v>
      </c>
    </row>
    <row r="31" spans="2:4">
      <c r="B31" s="274"/>
    </row>
    <row r="32" spans="2:4">
      <c r="B32" s="274"/>
    </row>
    <row r="33" spans="1:2">
      <c r="B33" s="274" t="s">
        <v>480</v>
      </c>
    </row>
    <row r="34" spans="1:2">
      <c r="B34" s="274" t="s">
        <v>481</v>
      </c>
    </row>
    <row r="40" spans="1:2">
      <c r="A40" s="276"/>
    </row>
    <row r="1048576" spans="5:5">
      <c r="E1048576" s="883"/>
    </row>
  </sheetData>
  <sheetProtection algorithmName="SHA-512" hashValue="yZSEklgIPCB0HZ/b48XXAWUhIJw1v5pg+SH5ydQwf7W6jml9/qjHdAK+lNNehc3KKftGc+aKi8H3ewAMbWwfwg==" saltValue="+QBxUvQbg3kd3ZoDr3xvgQ==" spinCount="100000" sheet="1" objects="1" scenarios="1"/>
  <hyperlinks>
    <hyperlink ref="A40" r:id="rId1" display="http://siatools.energycodes.ch/index.htm?lizenzieren.aspx?C=20CCFMMP" xr:uid="{B92D223A-925F-4895-A0A8-5145806A0F6B}"/>
  </hyperlinks>
  <pageMargins left="0.70866141732283472" right="0.70866141732283472" top="0.78740157480314965" bottom="0.78740157480314965" header="0.31496062992125984" footer="0.31496062992125984"/>
  <pageSetup paperSize="9" scale="33" orientation="portrait" horizontalDpi="4294967293" verticalDpi="180" r:id="rId2"/>
  <headerFooter>
    <oddHeader>&amp;LWärmepumpe Erdsonden 35°C&amp;CVersion 1.3&amp;R4/20/2025</oddHeader>
    <oddFooter>&amp;CSIA 2024, Copyright © 2017 by SIA Zurich</oddFooter>
  </headerFooter>
  <drawing r:id="rId3"/>
  <legacyDrawing r:id="rId4"/>
  <controls>
    <mc:AlternateContent xmlns:mc="http://schemas.openxmlformats.org/markup-compatibility/2006">
      <mc:Choice Requires="x14">
        <control shapeId="19457" r:id="rId5" name="cmdLizenzBestellen">
          <controlPr defaultSize="0" disabled="1" autoLine="0" r:id="rId6">
            <anchor moveWithCells="1">
              <from>
                <xdr:col>1</xdr:col>
                <xdr:colOff>1502229</xdr:colOff>
                <xdr:row>13</xdr:row>
                <xdr:rowOff>0</xdr:rowOff>
              </from>
              <to>
                <xdr:col>1</xdr:col>
                <xdr:colOff>3031671</xdr:colOff>
                <xdr:row>14</xdr:row>
                <xdr:rowOff>119743</xdr:rowOff>
              </to>
            </anchor>
          </controlPr>
        </control>
      </mc:Choice>
      <mc:Fallback>
        <control shapeId="19457" r:id="rId5" name="cmdLizenzBestellen"/>
      </mc:Fallback>
    </mc:AlternateContent>
    <mc:AlternateContent xmlns:mc="http://schemas.openxmlformats.org/markup-compatibility/2006">
      <mc:Choice Requires="x14">
        <control shapeId="19458" r:id="rId7" name="cmdLizenzieren">
          <controlPr defaultSize="0" disabled="1" autoLine="0" r:id="rId8">
            <anchor moveWithCells="1">
              <from>
                <xdr:col>1</xdr:col>
                <xdr:colOff>1502229</xdr:colOff>
                <xdr:row>20</xdr:row>
                <xdr:rowOff>0</xdr:rowOff>
              </from>
              <to>
                <xdr:col>1</xdr:col>
                <xdr:colOff>3031671</xdr:colOff>
                <xdr:row>21</xdr:row>
                <xdr:rowOff>119743</xdr:rowOff>
              </to>
            </anchor>
          </controlPr>
        </control>
      </mc:Choice>
      <mc:Fallback>
        <control shapeId="19458" r:id="rId7" name="cmdLizenzieren"/>
      </mc:Fallback>
    </mc:AlternateContent>
    <mc:AlternateContent xmlns:mc="http://schemas.openxmlformats.org/markup-compatibility/2006">
      <mc:Choice Requires="x14">
        <control shapeId="19459" r:id="rId9" name="txtFreigabeschluessel">
          <controlPr defaultSize="0" disabled="1" autoLine="0" r:id="rId10">
            <anchor moveWithCells="1">
              <from>
                <xdr:col>1</xdr:col>
                <xdr:colOff>1502229</xdr:colOff>
                <xdr:row>18</xdr:row>
                <xdr:rowOff>0</xdr:rowOff>
              </from>
              <to>
                <xdr:col>1</xdr:col>
                <xdr:colOff>3412671</xdr:colOff>
                <xdr:row>19</xdr:row>
                <xdr:rowOff>43543</xdr:rowOff>
              </to>
            </anchor>
          </controlPr>
        </control>
      </mc:Choice>
      <mc:Fallback>
        <control shapeId="19459" r:id="rId9" name="txtFreigabeschluessel"/>
      </mc:Fallback>
    </mc:AlternateContent>
    <mc:AlternateContent xmlns:mc="http://schemas.openxmlformats.org/markup-compatibility/2006">
      <mc:Choice Requires="x14">
        <control shapeId="19460" r:id="rId11" name="cmdStart">
          <controlPr defaultSize="0" autoLine="0" r:id="rId12">
            <anchor moveWithCells="1">
              <from>
                <xdr:col>1</xdr:col>
                <xdr:colOff>5197929</xdr:colOff>
                <xdr:row>1</xdr:row>
                <xdr:rowOff>0</xdr:rowOff>
              </from>
              <to>
                <xdr:col>1</xdr:col>
                <xdr:colOff>6727371</xdr:colOff>
                <xdr:row>2</xdr:row>
                <xdr:rowOff>119743</xdr:rowOff>
              </to>
            </anchor>
          </controlPr>
        </control>
      </mc:Choice>
      <mc:Fallback>
        <control shapeId="19460" r:id="rId11" name="cmdStart"/>
      </mc:Fallback>
    </mc:AlternateContent>
    <mc:AlternateContent xmlns:mc="http://schemas.openxmlformats.org/markup-compatibility/2006">
      <mc:Choice Requires="x14">
        <control shapeId="19461" r:id="rId13" name="cboSprachwahl">
          <controlPr locked="0" defaultSize="0" disabled="1" autoLine="0" listFillRange="B33:B34" r:id="rId14">
            <anchor moveWithCells="1">
              <from>
                <xdr:col>1</xdr:col>
                <xdr:colOff>1654629</xdr:colOff>
                <xdr:row>1</xdr:row>
                <xdr:rowOff>16329</xdr:rowOff>
              </from>
              <to>
                <xdr:col>1</xdr:col>
                <xdr:colOff>3565071</xdr:colOff>
                <xdr:row>2</xdr:row>
                <xdr:rowOff>65314</xdr:rowOff>
              </to>
            </anchor>
          </controlPr>
        </control>
      </mc:Choice>
      <mc:Fallback>
        <control shapeId="19461" r:id="rId13" name="cboSprachwahl"/>
      </mc:Fallback>
    </mc:AlternateContent>
    <mc:AlternateContent xmlns:mc="http://schemas.openxmlformats.org/markup-compatibility/2006">
      <mc:Choice Requires="x14">
        <control shapeId="19462" r:id="rId15" name="txtFirmenname">
          <controlPr defaultSize="0" disabled="1" autoLine="0" r:id="rId16">
            <anchor moveWithCells="1">
              <from>
                <xdr:col>1</xdr:col>
                <xdr:colOff>1502229</xdr:colOff>
                <xdr:row>11</xdr:row>
                <xdr:rowOff>0</xdr:rowOff>
              </from>
              <to>
                <xdr:col>1</xdr:col>
                <xdr:colOff>3412671</xdr:colOff>
                <xdr:row>12</xdr:row>
                <xdr:rowOff>43543</xdr:rowOff>
              </to>
            </anchor>
          </controlPr>
        </control>
      </mc:Choice>
      <mc:Fallback>
        <control shapeId="19462" r:id="rId15" name="txtFirmenname"/>
      </mc:Fallback>
    </mc:AlternateContent>
    <mc:AlternateContent xmlns:mc="http://schemas.openxmlformats.org/markup-compatibility/2006">
      <mc:Choice Requires="x14">
        <control shapeId="19463" r:id="rId17" name="lblAnfangsbedingungen">
          <controlPr defaultSize="0" autoLine="0" r:id="rId18">
            <anchor moveWithCells="1">
              <from>
                <xdr:col>0</xdr:col>
                <xdr:colOff>38100</xdr:colOff>
                <xdr:row>0</xdr:row>
                <xdr:rowOff>38100</xdr:rowOff>
              </from>
              <to>
                <xdr:col>0</xdr:col>
                <xdr:colOff>163286</xdr:colOff>
                <xdr:row>0</xdr:row>
                <xdr:rowOff>163286</xdr:rowOff>
              </to>
            </anchor>
          </controlPr>
        </control>
      </mc:Choice>
      <mc:Fallback>
        <control shapeId="19463" r:id="rId17" name="lblAnfangsbedingunge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blAnleitung">
    <pageSetUpPr fitToPage="1"/>
  </sheetPr>
  <dimension ref="A1:K281"/>
  <sheetViews>
    <sheetView showGridLines="0" showRowColHeaders="0" tabSelected="1" zoomScaleNormal="100" zoomScaleSheetLayoutView="85" workbookViewId="0">
      <selection activeCell="A3" sqref="A3"/>
    </sheetView>
  </sheetViews>
  <sheetFormatPr baseColWidth="10" defaultRowHeight="12.45"/>
  <cols>
    <col min="1" max="1" width="2.4609375" customWidth="1"/>
    <col min="2" max="2" width="18" customWidth="1"/>
    <col min="3" max="3" width="21.765625" customWidth="1"/>
    <col min="4" max="4" width="10" customWidth="1"/>
    <col min="5" max="6" width="11.23046875" customWidth="1"/>
    <col min="7" max="7" width="10.53515625" customWidth="1"/>
    <col min="8" max="8" width="24" customWidth="1"/>
    <col min="10" max="10" width="0" hidden="1" customWidth="1"/>
  </cols>
  <sheetData>
    <row r="1" spans="1:11" ht="8.25" customHeight="1">
      <c r="E1" s="322">
        <v>2</v>
      </c>
      <c r="F1" s="322"/>
      <c r="J1" t="s">
        <v>267</v>
      </c>
    </row>
    <row r="2" spans="1:11" ht="36" customHeight="1">
      <c r="A2" s="277" t="str">
        <f>Begriffe!F279</f>
        <v>Anleitung - SIA 2024 Gebäude-Tool</v>
      </c>
      <c r="B2" s="277"/>
      <c r="C2" s="226"/>
      <c r="D2" s="227"/>
      <c r="E2" s="228"/>
      <c r="F2" s="228"/>
      <c r="G2" s="227"/>
      <c r="H2" s="229"/>
      <c r="J2" t="s">
        <v>268</v>
      </c>
      <c r="K2" s="12"/>
    </row>
    <row r="3" spans="1:11">
      <c r="I3" s="322" t="s">
        <v>480</v>
      </c>
      <c r="J3" t="s">
        <v>269</v>
      </c>
    </row>
    <row r="4" spans="1:11">
      <c r="A4" s="12" t="str">
        <f>Begriffe!F280</f>
        <v>Sprache</v>
      </c>
      <c r="B4" s="12"/>
      <c r="D4" s="878">
        <v>1</v>
      </c>
      <c r="E4" s="12"/>
      <c r="F4" s="12"/>
      <c r="I4" s="322" t="s">
        <v>481</v>
      </c>
    </row>
    <row r="5" spans="1:11">
      <c r="I5" s="322" t="s">
        <v>523</v>
      </c>
    </row>
    <row r="6" spans="1:11" ht="36.75" customHeight="1">
      <c r="B6" s="1013" t="str">
        <f>Begriffe!F281</f>
        <v>Dieses Excel Tool ermöglicht die Abschätzung des Leistungs- und Energiebedarfs von Gebäuden in einer frühen Planungsphase. Bei der Anwendung sind zwingend die Festlegungen in SIA 2024 zu berücksichtigen.</v>
      </c>
      <c r="C6" s="1013"/>
      <c r="D6" s="1013"/>
      <c r="E6" s="1013"/>
      <c r="F6" s="1013"/>
      <c r="G6" s="1013"/>
      <c r="H6" s="1013"/>
    </row>
    <row r="7" spans="1:11" ht="43.5" customHeight="1">
      <c r="B7" s="1013" t="str">
        <f>Begriffe!F282</f>
        <v xml:space="preserve">Das Merkblatt SIA 2024 dient der Vereinheitlichung von Annahmen über die Raumnutzungen. Diese Annahmen sollen bei den Berechnungen und Nachweisen nach den Normen der Energie- und Gebäudeteechnik verwendet werden, solange keine genaueren Angaben vorliegen. </v>
      </c>
      <c r="C7" s="1013"/>
      <c r="D7" s="1013"/>
      <c r="E7" s="1013"/>
      <c r="F7" s="1013"/>
      <c r="G7" s="1013"/>
      <c r="H7" s="1013"/>
    </row>
    <row r="8" spans="1:11" ht="36.75" customHeight="1">
      <c r="B8" s="1013" t="str">
        <f>Begriffe!F283</f>
        <v>Spätenstens im Bauprojekt müssen für die Dimensionierung der Anlagen die projektspezifischen Gebäudedaten, Nutzungsbedingungen und Bemessungskriterien festgelegt und festgehalten werden.</v>
      </c>
      <c r="C8" s="1013"/>
      <c r="D8" s="1013"/>
      <c r="E8" s="1013"/>
      <c r="F8" s="1013"/>
      <c r="G8" s="1013"/>
      <c r="H8" s="1013"/>
    </row>
    <row r="9" spans="1:11" ht="35.25" customHeight="1">
      <c r="B9" s="1013" t="str">
        <f>Begriffe!F284</f>
        <v xml:space="preserve">Für die Anzeige und den Ausdruck der Raumdatenblätter gemäss SIA 2024 steht unter www.energytools.ch das Excel Tool "SIA 2024 Raumdatenblätter" zur Verfügung. </v>
      </c>
      <c r="C9" s="1013"/>
      <c r="D9" s="1013"/>
      <c r="E9" s="1013"/>
      <c r="F9" s="1013"/>
      <c r="G9" s="1013"/>
      <c r="H9" s="1013"/>
    </row>
    <row r="10" spans="1:11" ht="12.9">
      <c r="B10" s="1017" t="str">
        <f>Begriffe!F285</f>
        <v xml:space="preserve">Hinweis: In Excel müssen die Makros aktiviert werden, weitere Informationen finden Sie in der Hilfe Ihres Office-Programms. </v>
      </c>
      <c r="C10" s="1017"/>
      <c r="D10" s="1017"/>
      <c r="E10" s="1017"/>
      <c r="F10" s="1017"/>
      <c r="G10" s="1017"/>
      <c r="H10" s="1017"/>
    </row>
    <row r="11" spans="1:11">
      <c r="B11" s="868"/>
      <c r="C11" s="868"/>
      <c r="D11" s="868"/>
      <c r="E11" s="868"/>
      <c r="F11" s="868"/>
      <c r="G11" s="868"/>
      <c r="H11" s="868"/>
    </row>
    <row r="12" spans="1:11" ht="19.5" hidden="1" customHeight="1">
      <c r="A12" s="869" t="str">
        <f>Begriffe!F286</f>
        <v>Erste Schritte</v>
      </c>
      <c r="B12" s="869"/>
      <c r="C12" s="868"/>
      <c r="D12" s="868"/>
      <c r="E12" s="868"/>
      <c r="F12" s="868"/>
      <c r="G12" s="868"/>
      <c r="H12" s="868"/>
    </row>
    <row r="13" spans="1:11" ht="15" hidden="1" customHeight="1">
      <c r="A13" s="870" t="s">
        <v>551</v>
      </c>
      <c r="B13" s="1018" t="str">
        <f>Begriffe!F287</f>
        <v>Schauen Sie sich die Beispiele "Büro" und "Wohnen" an.</v>
      </c>
      <c r="C13" s="1018"/>
      <c r="D13" s="1018"/>
      <c r="E13" s="1018"/>
      <c r="F13" s="1018"/>
      <c r="G13" s="1018"/>
      <c r="H13" s="1018"/>
    </row>
    <row r="14" spans="1:11" ht="31.5" hidden="1" customHeight="1">
      <c r="A14" s="870" t="s">
        <v>552</v>
      </c>
      <c r="B14" s="1018" t="str">
        <f>Begriffe!F288</f>
        <v>Um ein neues Gebäude zu rechnen, erstellen Sie ein neues Eingabeblatt, indem Sie einen Blattnamen in die Eingabezeile unten eingeben und die "+" Schaltfläche drücken.</v>
      </c>
      <c r="C14" s="1018"/>
      <c r="D14" s="1018"/>
      <c r="E14" s="1018"/>
      <c r="F14" s="1018"/>
      <c r="G14" s="1018"/>
      <c r="H14" s="1018"/>
    </row>
    <row r="15" spans="1:11" ht="15" hidden="1" customHeight="1">
      <c r="A15" s="870" t="s">
        <v>553</v>
      </c>
      <c r="B15" s="1018" t="str">
        <f>Begriffe!F289</f>
        <v>Um bereits eingefügte Blätter zu löschen, geben Sie den Blattnamen erneut ein und drücken Sie die "-" Schaltfläche.</v>
      </c>
      <c r="C15" s="1018"/>
      <c r="D15" s="1018"/>
      <c r="E15" s="1018"/>
      <c r="F15" s="1018"/>
      <c r="G15" s="1018"/>
      <c r="H15" s="1018"/>
    </row>
    <row r="16" spans="1:11" hidden="1">
      <c r="B16" s="871"/>
      <c r="C16" s="871"/>
      <c r="D16" s="871"/>
      <c r="E16" s="871"/>
      <c r="F16" s="871"/>
      <c r="G16" s="871"/>
      <c r="H16" s="871"/>
    </row>
    <row r="17" spans="1:8" ht="12.9" hidden="1">
      <c r="B17" s="872" t="str">
        <f>Begriffe!F290</f>
        <v>Blattname</v>
      </c>
      <c r="C17" s="1014"/>
      <c r="D17" s="1015"/>
      <c r="E17" s="1015"/>
      <c r="F17" s="868"/>
      <c r="G17" s="868"/>
      <c r="H17" s="868"/>
    </row>
    <row r="18" spans="1:8" ht="12.9" hidden="1">
      <c r="B18" s="873"/>
      <c r="C18" s="874"/>
      <c r="D18" s="1016"/>
      <c r="E18" s="1016"/>
      <c r="F18" s="868"/>
      <c r="G18" s="868"/>
      <c r="H18" s="868"/>
    </row>
    <row r="19" spans="1:8">
      <c r="B19" s="873"/>
      <c r="C19" s="868"/>
      <c r="D19" s="868"/>
      <c r="E19" s="868"/>
      <c r="F19" s="868"/>
      <c r="G19" s="868"/>
      <c r="H19" s="868"/>
    </row>
    <row r="20" spans="1:8" ht="15" customHeight="1">
      <c r="A20" s="869" t="str">
        <f>Begriffe!F291</f>
        <v>Eingabedaten, die Sie brauchen um ein Projekt zu berechnen:</v>
      </c>
      <c r="B20" s="869"/>
      <c r="C20" s="868"/>
      <c r="D20" s="868"/>
      <c r="E20" s="868"/>
      <c r="F20" s="868"/>
      <c r="G20" s="868"/>
      <c r="H20" s="868"/>
    </row>
    <row r="21" spans="1:8" ht="15" customHeight="1">
      <c r="A21" s="875" t="s">
        <v>89</v>
      </c>
      <c r="B21" s="212" t="str">
        <f>Begriffe!F292</f>
        <v>geplante Raumnutzungen nach SIA 2024</v>
      </c>
      <c r="C21" s="868"/>
      <c r="D21" s="868"/>
      <c r="E21" s="868"/>
      <c r="F21" s="868"/>
      <c r="G21" s="868"/>
      <c r="H21" s="868"/>
    </row>
    <row r="22" spans="1:8" ht="15" customHeight="1">
      <c r="A22" s="875" t="s">
        <v>89</v>
      </c>
      <c r="B22" s="212" t="str">
        <f>Begriffe!F293</f>
        <v>dazugehörige Nettogeschossflächen</v>
      </c>
      <c r="C22" s="868"/>
      <c r="D22" s="868"/>
      <c r="E22" s="868"/>
      <c r="F22" s="868"/>
      <c r="G22" s="868"/>
      <c r="H22" s="868"/>
    </row>
    <row r="23" spans="1:8" ht="15" customHeight="1">
      <c r="A23" s="875" t="s">
        <v>89</v>
      </c>
      <c r="B23" s="212" t="str">
        <f>Begriffe!F294</f>
        <v>Anteil der Konstruktionsfläche an EBF</v>
      </c>
      <c r="C23" s="868"/>
      <c r="D23" s="868"/>
      <c r="E23" s="868"/>
      <c r="F23" s="868"/>
      <c r="G23" s="868"/>
      <c r="H23" s="868"/>
    </row>
    <row r="24" spans="1:8" ht="15" customHeight="1">
      <c r="A24" s="875" t="s">
        <v>89</v>
      </c>
      <c r="B24" s="212" t="str">
        <f>Begriffe!F295</f>
        <v>geplante Lüftungsanlagen</v>
      </c>
      <c r="C24" s="868"/>
      <c r="D24" s="868"/>
      <c r="E24" s="868"/>
      <c r="F24" s="868"/>
      <c r="G24" s="868"/>
      <c r="H24" s="868"/>
    </row>
    <row r="25" spans="1:8" ht="15" customHeight="1">
      <c r="A25" s="875" t="s">
        <v>89</v>
      </c>
      <c r="B25" s="212" t="str">
        <f>Begriffe!F296</f>
        <v>geplante Wärme- und Kälteerzeuger</v>
      </c>
      <c r="C25" s="868"/>
      <c r="D25" s="868"/>
      <c r="E25" s="868"/>
      <c r="F25" s="868"/>
      <c r="G25" s="868"/>
      <c r="H25" s="868"/>
    </row>
    <row r="26" spans="1:8" ht="15" customHeight="1">
      <c r="A26" s="875" t="s">
        <v>89</v>
      </c>
      <c r="B26" s="212" t="str">
        <f>Begriffe!F297</f>
        <v>geplante Warmwassererzeuger</v>
      </c>
      <c r="C26" s="868"/>
      <c r="D26" s="868"/>
      <c r="E26" s="868"/>
      <c r="F26" s="868"/>
      <c r="G26" s="868"/>
      <c r="H26" s="868"/>
    </row>
    <row r="27" spans="1:8" ht="15" customHeight="1">
      <c r="A27" s="875" t="s">
        <v>89</v>
      </c>
      <c r="B27" s="212" t="str">
        <f>Begriffe!F298</f>
        <v>geplanter Baustandard:</v>
      </c>
      <c r="C27" s="868"/>
      <c r="D27" s="868"/>
      <c r="E27" s="868"/>
      <c r="F27" s="868"/>
      <c r="G27" s="868"/>
      <c r="H27" s="868"/>
    </row>
    <row r="28" spans="1:8" ht="28.1" customHeight="1">
      <c r="B28" s="876" t="str">
        <f>Begriffe!F76</f>
        <v>Standard</v>
      </c>
      <c r="C28" s="1012" t="str">
        <f>Begriffe!F299</f>
        <v>Typische Planungswerte für Neubauten und Gesamterneuerungen, welche die SIA-Grenzwerte einhalten.</v>
      </c>
      <c r="D28" s="1012"/>
      <c r="E28" s="1012"/>
      <c r="F28" s="1012"/>
      <c r="G28" s="1012"/>
      <c r="H28" s="1012"/>
    </row>
    <row r="29" spans="1:8" ht="28.1" customHeight="1">
      <c r="B29" s="876" t="str">
        <f>Begriffe!F77</f>
        <v>Zielwert</v>
      </c>
      <c r="C29" s="1012" t="str">
        <f>Begriffe!F300</f>
        <v>Optimale Planungswerte für Neubauten und Gesamterneuerungen, welche die SIA-Zielwerte einhalten.</v>
      </c>
      <c r="D29" s="1012"/>
      <c r="E29" s="1012"/>
      <c r="F29" s="1012"/>
      <c r="G29" s="1012"/>
      <c r="H29" s="1012"/>
    </row>
    <row r="30" spans="1:8" ht="28.1" customHeight="1">
      <c r="B30" s="876" t="str">
        <f>Begriffe!F78</f>
        <v>Bestand</v>
      </c>
      <c r="C30" s="877" t="str">
        <f>Begriffe!F301</f>
        <v>Typische Werte für bestehende, energetisch nicht erneuerte Gebäude mit Baujahr vor 1980</v>
      </c>
      <c r="D30" s="868"/>
      <c r="E30" s="868"/>
      <c r="F30" s="868"/>
      <c r="G30" s="868"/>
      <c r="H30" s="868"/>
    </row>
    <row r="31" spans="1:8">
      <c r="B31" s="873"/>
      <c r="C31" s="868"/>
      <c r="D31" s="868"/>
      <c r="E31" s="868"/>
      <c r="F31" s="868"/>
      <c r="G31" s="868"/>
      <c r="H31" s="868"/>
    </row>
    <row r="135" hidden="1"/>
    <row r="136" hidden="1"/>
    <row r="137" hidden="1"/>
    <row r="138" hidden="1"/>
    <row r="139" hidden="1"/>
    <row r="140" hidden="1"/>
    <row r="141" hidden="1"/>
    <row r="142" hidden="1"/>
    <row r="143" hidden="1"/>
    <row r="144" hidden="1"/>
    <row r="145" hidden="1"/>
    <row r="146" hidden="1"/>
    <row r="147" hidden="1"/>
    <row r="148" hidden="1"/>
    <row r="149" hidden="1"/>
    <row r="150" hidden="1"/>
    <row r="151" hidden="1"/>
    <row r="152" hidden="1"/>
    <row r="153" hidden="1"/>
    <row r="154" hidden="1"/>
    <row r="155" hidden="1"/>
    <row r="156" hidden="1"/>
    <row r="157" hidden="1"/>
    <row r="158" hidden="1"/>
    <row r="159" hidden="1"/>
    <row r="160"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hidden="1"/>
    <row r="178" hidden="1"/>
    <row r="179" hidden="1"/>
    <row r="180" hidden="1"/>
    <row r="181" hidden="1"/>
    <row r="182" hidden="1"/>
    <row r="183" hidden="1"/>
    <row r="184" hidden="1"/>
    <row r="185" hidden="1"/>
    <row r="186" hidden="1"/>
    <row r="187" hidden="1"/>
    <row r="188" hidden="1"/>
    <row r="189" hidden="1"/>
    <row r="190" hidden="1"/>
    <row r="191" hidden="1"/>
    <row r="19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sheetData>
  <sheetProtection algorithmName="SHA-512" hashValue="WRhZ4pUt1YOGfo+enUpUAFnLjzuf+j008yWUqsBQvWMTmRtNOac9Q67/iotWRUjDPmomA1GqJ3YlR5lg1r3W3Q==" saltValue="Ro282f1hrUCbUzWeCMYzQQ==" spinCount="100000" sheet="1" objects="1" scenarios="1"/>
  <mergeCells count="12">
    <mergeCell ref="C29:H29"/>
    <mergeCell ref="C28:H28"/>
    <mergeCell ref="B6:H6"/>
    <mergeCell ref="B7:H7"/>
    <mergeCell ref="B8:H8"/>
    <mergeCell ref="B9:H9"/>
    <mergeCell ref="C17:E17"/>
    <mergeCell ref="D18:E18"/>
    <mergeCell ref="B10:H10"/>
    <mergeCell ref="B13:H13"/>
    <mergeCell ref="B14:H14"/>
    <mergeCell ref="B15:H15"/>
  </mergeCells>
  <pageMargins left="0.7" right="0.7" top="0.78740157499999996" bottom="0.78740157499999996" header="0.3" footer="0.3"/>
  <pageSetup paperSize="9" scale="81" fitToHeight="0" orientation="portrait" r:id="rId1"/>
  <headerFooter>
    <oddHeader>&amp;LWärmepumpe Erdsonden 35°C&amp;CVersion 1.3&amp;R4/20/2025</oddHeader>
    <oddFooter>&amp;CSIA 2024, Copyright © 2017 by SIA Zurich</oddFooter>
  </headerFooter>
  <drawing r:id="rId2"/>
  <legacyDrawing r:id="rId3"/>
  <controls>
    <mc:AlternateContent xmlns:mc="http://schemas.openxmlformats.org/markup-compatibility/2006">
      <mc:Choice Requires="x14">
        <control shapeId="20481" r:id="rId4" name="SprachwahlBox">
          <controlPr defaultSize="0" autoLine="0" listFillRange="I3:I5" r:id="rId5">
            <anchor moveWithCells="1">
              <from>
                <xdr:col>2</xdr:col>
                <xdr:colOff>0</xdr:colOff>
                <xdr:row>2</xdr:row>
                <xdr:rowOff>70757</xdr:rowOff>
              </from>
              <to>
                <xdr:col>2</xdr:col>
                <xdr:colOff>125186</xdr:colOff>
                <xdr:row>2</xdr:row>
                <xdr:rowOff>97971</xdr:rowOff>
              </to>
            </anchor>
          </controlPr>
        </control>
      </mc:Choice>
      <mc:Fallback>
        <control shapeId="20481" r:id="rId4" name="SprachwahlBox"/>
      </mc:Fallback>
    </mc:AlternateContent>
    <mc:AlternateContent xmlns:mc="http://schemas.openxmlformats.org/markup-compatibility/2006">
      <mc:Choice Requires="x14">
        <control shapeId="20490" r:id="rId6" name="Drop Down 10">
          <controlPr defaultSize="0" autoLine="0" autoPict="0" macro="[0]!SprachWechsel">
            <anchor moveWithCells="1">
              <from>
                <xdr:col>1</xdr:col>
                <xdr:colOff>1137557</xdr:colOff>
                <xdr:row>2</xdr:row>
                <xdr:rowOff>108857</xdr:rowOff>
              </from>
              <to>
                <xdr:col>2</xdr:col>
                <xdr:colOff>1213757</xdr:colOff>
                <xdr:row>3</xdr:row>
                <xdr:rowOff>168729</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blBegriffe"/>
  <dimension ref="A1:F322"/>
  <sheetViews>
    <sheetView zoomScale="80" zoomScaleNormal="80" workbookViewId="0">
      <pane ySplit="1" topLeftCell="A2" activePane="bottomLeft" state="frozen"/>
      <selection activeCell="F98" sqref="F98"/>
      <selection pane="bottomLeft" activeCell="D1" sqref="D1"/>
    </sheetView>
  </sheetViews>
  <sheetFormatPr baseColWidth="10" defaultColWidth="11.4609375" defaultRowHeight="12.45"/>
  <cols>
    <col min="1" max="1" width="6.23046875" style="230" customWidth="1"/>
    <col min="2" max="2" width="8.53515625" style="231" customWidth="1"/>
    <col min="3" max="3" width="56.765625" style="230" customWidth="1"/>
    <col min="4" max="4" width="64.4609375" style="230" customWidth="1"/>
    <col min="5" max="5" width="63.23046875" style="230" customWidth="1"/>
    <col min="6" max="6" width="51.23046875" style="287" customWidth="1"/>
    <col min="7" max="7" width="21.765625" style="230" customWidth="1"/>
    <col min="8" max="16384" width="11.4609375" style="230"/>
  </cols>
  <sheetData>
    <row r="1" spans="1:6" ht="24.75" customHeight="1">
      <c r="A1" s="225" t="s">
        <v>266</v>
      </c>
      <c r="B1" s="226"/>
      <c r="C1" s="227"/>
      <c r="D1" s="878">
        <v>1</v>
      </c>
      <c r="E1" s="227"/>
      <c r="F1" s="286"/>
    </row>
    <row r="3" spans="1:6">
      <c r="C3" s="234" t="s">
        <v>267</v>
      </c>
      <c r="D3" s="235" t="s">
        <v>270</v>
      </c>
      <c r="E3" s="235" t="s">
        <v>271</v>
      </c>
    </row>
    <row r="4" spans="1:6" ht="14.15">
      <c r="A4" s="773" t="s">
        <v>1107</v>
      </c>
    </row>
    <row r="5" spans="1:6">
      <c r="C5" s="283" t="s">
        <v>538</v>
      </c>
      <c r="D5" s="283" t="s">
        <v>541</v>
      </c>
      <c r="E5" s="283" t="s">
        <v>542</v>
      </c>
      <c r="F5" s="287" t="str">
        <f t="shared" ref="F5:F12" si="0">IF($D$1=1,C5,IF($D$1=2,D5,E5))</f>
        <v>Lizenzieren</v>
      </c>
    </row>
    <row r="6" spans="1:6">
      <c r="C6" s="283" t="s">
        <v>539</v>
      </c>
      <c r="D6" s="283" t="s">
        <v>543</v>
      </c>
      <c r="E6" s="283" t="s">
        <v>544</v>
      </c>
      <c r="F6" s="287" t="str">
        <f t="shared" si="0"/>
        <v>Anleitung</v>
      </c>
    </row>
    <row r="7" spans="1:6">
      <c r="C7" s="283" t="s">
        <v>1108</v>
      </c>
      <c r="D7" s="283" t="s">
        <v>1186</v>
      </c>
      <c r="E7" s="283" t="s">
        <v>1187</v>
      </c>
      <c r="F7" s="287" t="str">
        <f t="shared" si="0"/>
        <v>Gebäude</v>
      </c>
    </row>
    <row r="8" spans="1:6">
      <c r="C8" s="283" t="s">
        <v>1</v>
      </c>
      <c r="D8" s="283" t="s">
        <v>335</v>
      </c>
      <c r="E8" s="283" t="s">
        <v>336</v>
      </c>
      <c r="F8" s="287" t="str">
        <f t="shared" si="0"/>
        <v>Lüftung</v>
      </c>
    </row>
    <row r="9" spans="1:6">
      <c r="C9" s="283" t="s">
        <v>540</v>
      </c>
      <c r="D9" s="283" t="s">
        <v>560</v>
      </c>
      <c r="E9" s="283" t="s">
        <v>563</v>
      </c>
      <c r="F9" s="287" t="str">
        <f t="shared" si="0"/>
        <v>Erzeugung</v>
      </c>
    </row>
    <row r="10" spans="1:6">
      <c r="C10" s="283" t="s">
        <v>1072</v>
      </c>
      <c r="D10" s="283" t="s">
        <v>1188</v>
      </c>
      <c r="E10" s="283" t="s">
        <v>1189</v>
      </c>
      <c r="F10" s="287" t="str">
        <f t="shared" si="0"/>
        <v>Resultate</v>
      </c>
    </row>
    <row r="11" spans="1:6">
      <c r="F11" s="287">
        <f t="shared" si="0"/>
        <v>0</v>
      </c>
    </row>
    <row r="12" spans="1:6" ht="14.15">
      <c r="A12" s="232" t="s">
        <v>533</v>
      </c>
      <c r="F12" s="287">
        <f t="shared" si="0"/>
        <v>0</v>
      </c>
    </row>
    <row r="13" spans="1:6">
      <c r="B13" s="399">
        <v>1.01</v>
      </c>
      <c r="C13" s="823" t="s">
        <v>234</v>
      </c>
      <c r="D13" s="823" t="s">
        <v>272</v>
      </c>
      <c r="E13" s="918" t="s">
        <v>273</v>
      </c>
      <c r="F13" s="288" t="str">
        <f t="shared" ref="F13:F47" si="1">IF($D$1=1,C13,IF($D$1=2,D13,E13))</f>
        <v>Wohnen MFH</v>
      </c>
    </row>
    <row r="14" spans="1:6">
      <c r="B14" s="399">
        <v>1.02</v>
      </c>
      <c r="C14" s="823" t="s">
        <v>236</v>
      </c>
      <c r="D14" s="823" t="s">
        <v>274</v>
      </c>
      <c r="E14" s="918" t="s">
        <v>275</v>
      </c>
      <c r="F14" s="288" t="str">
        <f t="shared" si="1"/>
        <v>Wohnen EFH</v>
      </c>
    </row>
    <row r="15" spans="1:6">
      <c r="B15" s="399">
        <v>2.0099999999999998</v>
      </c>
      <c r="C15" s="823" t="s">
        <v>5</v>
      </c>
      <c r="D15" s="823" t="s">
        <v>276</v>
      </c>
      <c r="E15" s="918" t="s">
        <v>277</v>
      </c>
      <c r="F15" s="288" t="str">
        <f t="shared" si="1"/>
        <v xml:space="preserve">Hotelzimmer </v>
      </c>
    </row>
    <row r="16" spans="1:6">
      <c r="B16" s="399">
        <v>2.02</v>
      </c>
      <c r="C16" s="823" t="s">
        <v>6</v>
      </c>
      <c r="D16" s="823" t="s">
        <v>278</v>
      </c>
      <c r="E16" s="918" t="s">
        <v>1245</v>
      </c>
      <c r="F16" s="288" t="str">
        <f t="shared" si="1"/>
        <v>Empfang, Lobby</v>
      </c>
    </row>
    <row r="17" spans="2:6">
      <c r="B17" s="399">
        <v>3.01</v>
      </c>
      <c r="C17" s="823" t="s">
        <v>7</v>
      </c>
      <c r="D17" s="823" t="s">
        <v>279</v>
      </c>
      <c r="E17" s="918" t="s">
        <v>1246</v>
      </c>
      <c r="F17" s="288" t="str">
        <f t="shared" si="1"/>
        <v>Einzel-, Gruppenbüro</v>
      </c>
    </row>
    <row r="18" spans="2:6">
      <c r="B18" s="399">
        <v>3.02</v>
      </c>
      <c r="C18" s="823" t="s">
        <v>8</v>
      </c>
      <c r="D18" s="823" t="s">
        <v>280</v>
      </c>
      <c r="E18" s="918" t="s">
        <v>1247</v>
      </c>
      <c r="F18" s="288" t="str">
        <f t="shared" si="1"/>
        <v>Grossraumbüro</v>
      </c>
    </row>
    <row r="19" spans="2:6">
      <c r="B19" s="399">
        <v>3.03</v>
      </c>
      <c r="C19" s="823" t="s">
        <v>9</v>
      </c>
      <c r="D19" s="823" t="s">
        <v>281</v>
      </c>
      <c r="E19" s="918" t="s">
        <v>282</v>
      </c>
      <c r="F19" s="288" t="str">
        <f t="shared" si="1"/>
        <v>Sitzungszimmer</v>
      </c>
    </row>
    <row r="20" spans="2:6">
      <c r="B20" s="399">
        <v>3.04</v>
      </c>
      <c r="C20" s="823" t="s">
        <v>10</v>
      </c>
      <c r="D20" s="823" t="s">
        <v>283</v>
      </c>
      <c r="E20" s="918" t="s">
        <v>1248</v>
      </c>
      <c r="F20" s="288" t="str">
        <f t="shared" si="1"/>
        <v>Schalterhalle, Empfang</v>
      </c>
    </row>
    <row r="21" spans="2:6">
      <c r="B21" s="399">
        <v>4.01</v>
      </c>
      <c r="C21" s="823" t="s">
        <v>11</v>
      </c>
      <c r="D21" s="823" t="s">
        <v>284</v>
      </c>
      <c r="E21" s="919" t="s">
        <v>285</v>
      </c>
      <c r="F21" s="288" t="str">
        <f t="shared" si="1"/>
        <v>Schulzimmer</v>
      </c>
    </row>
    <row r="22" spans="2:6">
      <c r="B22" s="399">
        <v>4.0199999999999996</v>
      </c>
      <c r="C22" s="823" t="s">
        <v>12</v>
      </c>
      <c r="D22" s="823" t="s">
        <v>286</v>
      </c>
      <c r="E22" s="918" t="s">
        <v>1249</v>
      </c>
      <c r="F22" s="288" t="str">
        <f t="shared" si="1"/>
        <v>Lehrerzimmer</v>
      </c>
    </row>
    <row r="23" spans="2:6">
      <c r="B23" s="399">
        <v>4.03</v>
      </c>
      <c r="C23" s="823" t="s">
        <v>13</v>
      </c>
      <c r="D23" s="823" t="s">
        <v>287</v>
      </c>
      <c r="E23" s="918" t="s">
        <v>288</v>
      </c>
      <c r="F23" s="288" t="str">
        <f t="shared" si="1"/>
        <v>Bibliothek</v>
      </c>
    </row>
    <row r="24" spans="2:6">
      <c r="B24" s="399">
        <v>4.04</v>
      </c>
      <c r="C24" s="823" t="s">
        <v>14</v>
      </c>
      <c r="D24" s="823" t="s">
        <v>289</v>
      </c>
      <c r="E24" s="918" t="s">
        <v>290</v>
      </c>
      <c r="F24" s="288" t="str">
        <f t="shared" si="1"/>
        <v>Hörsaal</v>
      </c>
    </row>
    <row r="25" spans="2:6">
      <c r="B25" s="399">
        <v>4.05</v>
      </c>
      <c r="C25" s="823" t="s">
        <v>291</v>
      </c>
      <c r="D25" s="824" t="s">
        <v>1118</v>
      </c>
      <c r="E25" s="918" t="s">
        <v>1250</v>
      </c>
      <c r="F25" s="288" t="str">
        <f t="shared" si="1"/>
        <v>Schulfachraum (Spezialraum)</v>
      </c>
    </row>
    <row r="26" spans="2:6">
      <c r="B26" s="399">
        <v>5.01</v>
      </c>
      <c r="C26" s="823" t="s">
        <v>15</v>
      </c>
      <c r="D26" s="823" t="s">
        <v>292</v>
      </c>
      <c r="E26" s="918" t="s">
        <v>1251</v>
      </c>
      <c r="F26" s="288" t="str">
        <f t="shared" si="1"/>
        <v>Lebensmittelverkauf</v>
      </c>
    </row>
    <row r="27" spans="2:6">
      <c r="B27" s="399">
        <v>5.0199999999999996</v>
      </c>
      <c r="C27" s="823" t="s">
        <v>92</v>
      </c>
      <c r="D27" s="823" t="s">
        <v>293</v>
      </c>
      <c r="E27" s="918" t="s">
        <v>1252</v>
      </c>
      <c r="F27" s="288" t="str">
        <f t="shared" si="1"/>
        <v>Fachgeschäft</v>
      </c>
    </row>
    <row r="28" spans="2:6">
      <c r="B28" s="399">
        <v>5.03</v>
      </c>
      <c r="C28" s="823" t="s">
        <v>201</v>
      </c>
      <c r="D28" s="825" t="s">
        <v>1119</v>
      </c>
      <c r="E28" s="918" t="s">
        <v>1253</v>
      </c>
      <c r="F28" s="288" t="str">
        <f t="shared" si="1"/>
        <v>Verkauf Möbel, Bau, Garten</v>
      </c>
    </row>
    <row r="29" spans="2:6">
      <c r="B29" s="399">
        <v>6.01</v>
      </c>
      <c r="C29" s="823" t="s">
        <v>16</v>
      </c>
      <c r="D29" s="823" t="s">
        <v>16</v>
      </c>
      <c r="E29" s="918" t="s">
        <v>294</v>
      </c>
      <c r="F29" s="288" t="str">
        <f t="shared" si="1"/>
        <v>Restaurant</v>
      </c>
    </row>
    <row r="30" spans="2:6">
      <c r="B30" s="399">
        <v>6.02</v>
      </c>
      <c r="C30" s="823" t="s">
        <v>102</v>
      </c>
      <c r="D30" s="823" t="s">
        <v>295</v>
      </c>
      <c r="E30" s="918" t="s">
        <v>296</v>
      </c>
      <c r="F30" s="288" t="str">
        <f t="shared" si="1"/>
        <v>Selbstbedienungsrestaurant</v>
      </c>
    </row>
    <row r="31" spans="2:6">
      <c r="B31" s="399">
        <v>6.03</v>
      </c>
      <c r="C31" s="823" t="s">
        <v>17</v>
      </c>
      <c r="D31" s="823" t="s">
        <v>297</v>
      </c>
      <c r="E31" s="918" t="s">
        <v>1254</v>
      </c>
      <c r="F31" s="288" t="str">
        <f t="shared" si="1"/>
        <v>Küche zu Restaurant</v>
      </c>
    </row>
    <row r="32" spans="2:6">
      <c r="B32" s="399">
        <v>6.04</v>
      </c>
      <c r="C32" s="823" t="s">
        <v>18</v>
      </c>
      <c r="D32" s="823" t="s">
        <v>298</v>
      </c>
      <c r="E32" s="918" t="s">
        <v>1255</v>
      </c>
      <c r="F32" s="288" t="str">
        <f t="shared" si="1"/>
        <v>Küche zu Selbstbedienungsrest.</v>
      </c>
    </row>
    <row r="33" spans="2:6">
      <c r="B33" s="399">
        <v>7.01</v>
      </c>
      <c r="C33" s="823" t="s">
        <v>19</v>
      </c>
      <c r="D33" s="824" t="s">
        <v>1120</v>
      </c>
      <c r="E33" s="918" t="s">
        <v>1256</v>
      </c>
      <c r="F33" s="288" t="str">
        <f t="shared" si="1"/>
        <v>Vorstellungsraum</v>
      </c>
    </row>
    <row r="34" spans="2:6">
      <c r="B34" s="399">
        <v>7.02</v>
      </c>
      <c r="C34" s="823" t="s">
        <v>20</v>
      </c>
      <c r="D34" s="823" t="s">
        <v>466</v>
      </c>
      <c r="E34" s="918" t="s">
        <v>1257</v>
      </c>
      <c r="F34" s="288" t="str">
        <f t="shared" si="1"/>
        <v>Mehrzweckhalle</v>
      </c>
    </row>
    <row r="35" spans="2:6">
      <c r="B35" s="399">
        <v>7.03</v>
      </c>
      <c r="C35" s="823" t="s">
        <v>21</v>
      </c>
      <c r="D35" s="823" t="s">
        <v>299</v>
      </c>
      <c r="E35" s="918" t="s">
        <v>1258</v>
      </c>
      <c r="F35" s="288" t="str">
        <f t="shared" si="1"/>
        <v>Ausstellungshalle</v>
      </c>
    </row>
    <row r="36" spans="2:6">
      <c r="B36" s="826">
        <v>8.01</v>
      </c>
      <c r="C36" s="823" t="s">
        <v>22</v>
      </c>
      <c r="D36" s="823" t="s">
        <v>300</v>
      </c>
      <c r="E36" s="918" t="s">
        <v>1259</v>
      </c>
      <c r="F36" s="288" t="str">
        <f t="shared" si="1"/>
        <v xml:space="preserve">Bettenzimmer </v>
      </c>
    </row>
    <row r="37" spans="2:6">
      <c r="B37" s="399">
        <v>8.02</v>
      </c>
      <c r="C37" s="823" t="s">
        <v>23</v>
      </c>
      <c r="D37" s="824" t="s">
        <v>1121</v>
      </c>
      <c r="E37" s="918" t="s">
        <v>1260</v>
      </c>
      <c r="F37" s="288" t="str">
        <f t="shared" si="1"/>
        <v xml:space="preserve">Stationszimmer </v>
      </c>
    </row>
    <row r="38" spans="2:6">
      <c r="B38" s="399">
        <v>8.0299999999999994</v>
      </c>
      <c r="C38" s="823" t="s">
        <v>202</v>
      </c>
      <c r="D38" s="824" t="s">
        <v>1122</v>
      </c>
      <c r="E38" s="918" t="s">
        <v>1261</v>
      </c>
      <c r="F38" s="288" t="str">
        <f t="shared" si="1"/>
        <v>Behandlungsraum</v>
      </c>
    </row>
    <row r="39" spans="2:6">
      <c r="B39" s="399">
        <v>9.01</v>
      </c>
      <c r="C39" s="823" t="s">
        <v>24</v>
      </c>
      <c r="D39" s="823" t="s">
        <v>301</v>
      </c>
      <c r="E39" s="918" t="s">
        <v>1262</v>
      </c>
      <c r="F39" s="288" t="str">
        <f t="shared" si="1"/>
        <v>Produktion (grobe Arbeit)</v>
      </c>
    </row>
    <row r="40" spans="2:6">
      <c r="B40" s="399">
        <v>9.02</v>
      </c>
      <c r="C40" s="823" t="s">
        <v>25</v>
      </c>
      <c r="D40" s="823" t="s">
        <v>302</v>
      </c>
      <c r="E40" s="918" t="s">
        <v>1263</v>
      </c>
      <c r="F40" s="288" t="str">
        <f t="shared" si="1"/>
        <v>Produktion (feine Arbeit)</v>
      </c>
    </row>
    <row r="41" spans="2:6">
      <c r="B41" s="399">
        <v>9.0299999999999994</v>
      </c>
      <c r="C41" s="823" t="s">
        <v>104</v>
      </c>
      <c r="D41" s="824" t="s">
        <v>1123</v>
      </c>
      <c r="E41" s="918" t="s">
        <v>303</v>
      </c>
      <c r="F41" s="288" t="str">
        <f t="shared" si="1"/>
        <v>Laborraum</v>
      </c>
    </row>
    <row r="42" spans="2:6">
      <c r="B42" s="399">
        <v>10.01</v>
      </c>
      <c r="C42" s="823" t="s">
        <v>26</v>
      </c>
      <c r="D42" s="823" t="s">
        <v>304</v>
      </c>
      <c r="E42" s="918" t="s">
        <v>439</v>
      </c>
      <c r="F42" s="288" t="str">
        <f t="shared" si="1"/>
        <v>Lagerhalle</v>
      </c>
    </row>
    <row r="43" spans="2:6">
      <c r="B43" s="399">
        <v>11.01</v>
      </c>
      <c r="C43" s="823" t="s">
        <v>27</v>
      </c>
      <c r="D43" s="823" t="s">
        <v>305</v>
      </c>
      <c r="E43" s="918" t="s">
        <v>306</v>
      </c>
      <c r="F43" s="288" t="str">
        <f t="shared" si="1"/>
        <v>Turnhalle</v>
      </c>
    </row>
    <row r="44" spans="2:6">
      <c r="B44" s="399">
        <v>11.02</v>
      </c>
      <c r="C44" s="823" t="s">
        <v>28</v>
      </c>
      <c r="D44" s="823" t="s">
        <v>307</v>
      </c>
      <c r="E44" s="918" t="s">
        <v>308</v>
      </c>
      <c r="F44" s="288" t="str">
        <f t="shared" si="1"/>
        <v>Fitnessraum</v>
      </c>
    </row>
    <row r="45" spans="2:6">
      <c r="B45" s="399">
        <v>11.03</v>
      </c>
      <c r="C45" s="823" t="s">
        <v>29</v>
      </c>
      <c r="D45" s="823" t="s">
        <v>309</v>
      </c>
      <c r="E45" s="918" t="s">
        <v>310</v>
      </c>
      <c r="F45" s="288" t="str">
        <f t="shared" si="1"/>
        <v>Schwimmhalle</v>
      </c>
    </row>
    <row r="46" spans="2:6">
      <c r="B46" s="399">
        <v>12.01</v>
      </c>
      <c r="C46" s="823" t="s">
        <v>30</v>
      </c>
      <c r="D46" s="823" t="s">
        <v>311</v>
      </c>
      <c r="E46" s="918" t="s">
        <v>312</v>
      </c>
      <c r="F46" s="288" t="str">
        <f t="shared" si="1"/>
        <v>Verkehrsfläche</v>
      </c>
    </row>
    <row r="47" spans="2:6">
      <c r="B47" s="399">
        <v>12.02</v>
      </c>
      <c r="C47" s="823" t="s">
        <v>105</v>
      </c>
      <c r="D47" s="823" t="s">
        <v>313</v>
      </c>
      <c r="E47" s="918" t="s">
        <v>314</v>
      </c>
      <c r="F47" s="288" t="str">
        <f t="shared" si="1"/>
        <v>Verkehrsfläche 24 h</v>
      </c>
    </row>
    <row r="48" spans="2:6">
      <c r="B48" s="399">
        <v>12.03</v>
      </c>
      <c r="C48" s="823" t="s">
        <v>98</v>
      </c>
      <c r="D48" s="823" t="s">
        <v>315</v>
      </c>
      <c r="E48" s="918" t="s">
        <v>1264</v>
      </c>
      <c r="F48" s="288" t="str">
        <f t="shared" ref="F48:F66" si="2">IF($D$1=1,C48,IF($D$1=2,D48,E48))</f>
        <v>Treppenhaus</v>
      </c>
    </row>
    <row r="49" spans="1:6">
      <c r="B49" s="399">
        <v>12.04</v>
      </c>
      <c r="C49" s="823" t="s">
        <v>200</v>
      </c>
      <c r="D49" s="824" t="s">
        <v>1124</v>
      </c>
      <c r="E49" s="918" t="s">
        <v>1265</v>
      </c>
      <c r="F49" s="288" t="str">
        <f t="shared" si="2"/>
        <v>Nebenraum</v>
      </c>
    </row>
    <row r="50" spans="1:6">
      <c r="B50" s="399">
        <v>12.05</v>
      </c>
      <c r="C50" s="823" t="s">
        <v>106</v>
      </c>
      <c r="D50" s="824" t="s">
        <v>1125</v>
      </c>
      <c r="E50" s="918" t="s">
        <v>1266</v>
      </c>
      <c r="F50" s="288" t="str">
        <f t="shared" si="2"/>
        <v>Küche, Teeküche</v>
      </c>
    </row>
    <row r="51" spans="1:6">
      <c r="B51" s="399">
        <v>12.06</v>
      </c>
      <c r="C51" s="823" t="s">
        <v>31</v>
      </c>
      <c r="D51" s="823" t="s">
        <v>316</v>
      </c>
      <c r="E51" s="918" t="s">
        <v>317</v>
      </c>
      <c r="F51" s="288" t="str">
        <f t="shared" si="2"/>
        <v xml:space="preserve">WC, Bad, Dusche </v>
      </c>
    </row>
    <row r="52" spans="1:6">
      <c r="B52" s="399">
        <v>12.07</v>
      </c>
      <c r="C52" s="827" t="s">
        <v>32</v>
      </c>
      <c r="D52" s="823" t="s">
        <v>32</v>
      </c>
      <c r="E52" s="918" t="s">
        <v>32</v>
      </c>
      <c r="F52" s="288" t="str">
        <f t="shared" si="2"/>
        <v>WC</v>
      </c>
    </row>
    <row r="53" spans="1:6">
      <c r="B53" s="399">
        <v>12.08</v>
      </c>
      <c r="C53" s="827" t="s">
        <v>203</v>
      </c>
      <c r="D53" s="823" t="s">
        <v>318</v>
      </c>
      <c r="E53" s="918" t="s">
        <v>1267</v>
      </c>
      <c r="F53" s="288" t="str">
        <f t="shared" si="2"/>
        <v>Garderobe, Dusche</v>
      </c>
    </row>
    <row r="54" spans="1:6">
      <c r="B54" s="399">
        <v>12.09</v>
      </c>
      <c r="C54" s="827" t="s">
        <v>33</v>
      </c>
      <c r="D54" s="823" t="s">
        <v>319</v>
      </c>
      <c r="E54" s="918" t="s">
        <v>1268</v>
      </c>
      <c r="F54" s="288" t="str">
        <f t="shared" si="2"/>
        <v>Parkhaus</v>
      </c>
    </row>
    <row r="55" spans="1:6">
      <c r="B55" s="399">
        <v>12.1</v>
      </c>
      <c r="C55" s="827" t="s">
        <v>34</v>
      </c>
      <c r="D55" s="823" t="s">
        <v>320</v>
      </c>
      <c r="E55" s="918" t="s">
        <v>1269</v>
      </c>
      <c r="F55" s="288" t="str">
        <f t="shared" si="2"/>
        <v>Wasch- und Trockenraum</v>
      </c>
    </row>
    <row r="56" spans="1:6">
      <c r="B56" s="399">
        <v>12.11</v>
      </c>
      <c r="C56" s="823" t="s">
        <v>35</v>
      </c>
      <c r="D56" s="823" t="s">
        <v>321</v>
      </c>
      <c r="E56" s="918" t="s">
        <v>1270</v>
      </c>
      <c r="F56" s="288" t="str">
        <f t="shared" si="2"/>
        <v>Kühlraum</v>
      </c>
    </row>
    <row r="57" spans="1:6">
      <c r="B57" s="399">
        <v>12.12</v>
      </c>
      <c r="C57" s="823" t="s">
        <v>36</v>
      </c>
      <c r="D57" s="823" t="s">
        <v>322</v>
      </c>
      <c r="E57" s="918" t="s">
        <v>323</v>
      </c>
      <c r="F57" s="288" t="str">
        <f t="shared" si="2"/>
        <v>Serverraum</v>
      </c>
    </row>
    <row r="58" spans="1:6">
      <c r="B58" s="774"/>
      <c r="C58" s="283"/>
      <c r="D58" s="283"/>
      <c r="E58" s="283"/>
      <c r="F58" s="287">
        <f t="shared" si="2"/>
        <v>0</v>
      </c>
    </row>
    <row r="59" spans="1:6" ht="14.15">
      <c r="A59" s="232" t="s">
        <v>562</v>
      </c>
      <c r="B59" s="774"/>
      <c r="C59" s="283"/>
      <c r="D59" s="283"/>
      <c r="E59" s="283"/>
      <c r="F59" s="287">
        <f t="shared" si="2"/>
        <v>0</v>
      </c>
    </row>
    <row r="60" spans="1:6" ht="14.15">
      <c r="A60" s="232"/>
      <c r="B60" s="774"/>
      <c r="C60" s="283"/>
      <c r="D60" s="283"/>
      <c r="E60" s="283"/>
      <c r="F60" s="287">
        <f t="shared" si="2"/>
        <v>0</v>
      </c>
    </row>
    <row r="61" spans="1:6">
      <c r="A61" s="233" t="s">
        <v>1108</v>
      </c>
      <c r="B61" s="774"/>
      <c r="C61" s="283" t="s">
        <v>531</v>
      </c>
      <c r="D61" s="283" t="s">
        <v>534</v>
      </c>
      <c r="E61" s="283" t="s">
        <v>537</v>
      </c>
      <c r="F61" s="287" t="str">
        <f t="shared" si="2"/>
        <v>Projektname</v>
      </c>
    </row>
    <row r="62" spans="1:6">
      <c r="A62" s="233"/>
      <c r="B62" s="774"/>
      <c r="C62" s="299" t="s">
        <v>1079</v>
      </c>
      <c r="D62" s="824" t="s">
        <v>1126</v>
      </c>
      <c r="E62" s="299" t="s">
        <v>1271</v>
      </c>
      <c r="F62" s="287" t="str">
        <f t="shared" si="2"/>
        <v>Klimastation</v>
      </c>
    </row>
    <row r="63" spans="1:6" ht="14.15">
      <c r="A63" s="232"/>
      <c r="B63" s="774"/>
      <c r="C63" s="283" t="s">
        <v>532</v>
      </c>
      <c r="D63" s="283" t="s">
        <v>535</v>
      </c>
      <c r="E63" s="283" t="s">
        <v>536</v>
      </c>
      <c r="F63" s="287" t="str">
        <f t="shared" si="2"/>
        <v>Autor</v>
      </c>
    </row>
    <row r="64" spans="1:6" ht="14.15">
      <c r="A64" s="232"/>
      <c r="B64" s="774"/>
      <c r="C64" s="299" t="s">
        <v>641</v>
      </c>
      <c r="D64" s="824" t="s">
        <v>1115</v>
      </c>
      <c r="E64" s="299" t="s">
        <v>1116</v>
      </c>
      <c r="F64" s="287" t="str">
        <f t="shared" si="2"/>
        <v>Datum</v>
      </c>
    </row>
    <row r="65" spans="2:6">
      <c r="B65" s="774"/>
      <c r="C65" s="283" t="s">
        <v>96</v>
      </c>
      <c r="D65" s="283" t="s">
        <v>324</v>
      </c>
      <c r="E65" s="283" t="s">
        <v>325</v>
      </c>
      <c r="F65" s="287" t="str">
        <f t="shared" si="2"/>
        <v>Bezeichnung</v>
      </c>
    </row>
    <row r="66" spans="2:6">
      <c r="B66" s="774"/>
      <c r="C66" s="828" t="s">
        <v>237</v>
      </c>
      <c r="D66" s="283" t="s">
        <v>326</v>
      </c>
      <c r="E66" s="299" t="s">
        <v>1272</v>
      </c>
      <c r="F66" s="287" t="str">
        <f t="shared" si="2"/>
        <v>Raumnutzung</v>
      </c>
    </row>
    <row r="67" spans="2:6">
      <c r="B67" s="774"/>
      <c r="C67" s="283" t="s">
        <v>238</v>
      </c>
      <c r="D67" s="283" t="s">
        <v>327</v>
      </c>
      <c r="E67" s="283" t="s">
        <v>328</v>
      </c>
      <c r="F67" s="287" t="str">
        <f>IF($D$1=1,C67,IF($D$1=2,D67,E67))</f>
        <v>Raum</v>
      </c>
    </row>
    <row r="68" spans="2:6">
      <c r="B68" s="774"/>
      <c r="C68" s="169" t="s">
        <v>94</v>
      </c>
      <c r="D68" s="283" t="s">
        <v>329</v>
      </c>
      <c r="E68" s="283" t="s">
        <v>330</v>
      </c>
      <c r="F68" s="287" t="str">
        <f t="shared" ref="F68:F80" si="3">IF($D$1=1,C68,IF($D$1=2,D68,E68))</f>
        <v>Personen</v>
      </c>
    </row>
    <row r="69" spans="2:6">
      <c r="B69" s="774"/>
      <c r="C69" s="169" t="s">
        <v>219</v>
      </c>
      <c r="D69" s="283" t="s">
        <v>331</v>
      </c>
      <c r="E69" s="283" t="s">
        <v>332</v>
      </c>
      <c r="F69" s="287" t="str">
        <f t="shared" si="3"/>
        <v>Geräte</v>
      </c>
    </row>
    <row r="70" spans="2:6">
      <c r="B70" s="774"/>
      <c r="C70" s="299" t="s">
        <v>602</v>
      </c>
      <c r="D70" s="824" t="s">
        <v>1127</v>
      </c>
      <c r="E70" s="299" t="s">
        <v>1273</v>
      </c>
      <c r="F70" s="287" t="str">
        <f>IF($D$1=1,C70,IF($D$1=2,D70,E70))</f>
        <v>Prozessanlagen</v>
      </c>
    </row>
    <row r="71" spans="2:6">
      <c r="B71" s="774"/>
      <c r="C71" s="169" t="s">
        <v>0</v>
      </c>
      <c r="D71" s="283" t="s">
        <v>333</v>
      </c>
      <c r="E71" s="283" t="s">
        <v>334</v>
      </c>
      <c r="F71" s="287" t="str">
        <f t="shared" si="3"/>
        <v>Beleuchtung</v>
      </c>
    </row>
    <row r="72" spans="2:6">
      <c r="B72" s="774"/>
      <c r="C72" s="169" t="s">
        <v>1</v>
      </c>
      <c r="D72" s="283" t="s">
        <v>335</v>
      </c>
      <c r="E72" s="283" t="s">
        <v>336</v>
      </c>
      <c r="F72" s="287" t="str">
        <f t="shared" si="3"/>
        <v>Lüftung</v>
      </c>
    </row>
    <row r="73" spans="2:6">
      <c r="B73" s="774"/>
      <c r="C73" s="169" t="s">
        <v>176</v>
      </c>
      <c r="D73" s="283" t="s">
        <v>337</v>
      </c>
      <c r="E73" s="299" t="s">
        <v>1274</v>
      </c>
      <c r="F73" s="287" t="str">
        <f t="shared" si="3"/>
        <v>Raumkühlung</v>
      </c>
    </row>
    <row r="74" spans="2:6">
      <c r="B74" s="774"/>
      <c r="C74" s="169" t="s">
        <v>175</v>
      </c>
      <c r="D74" s="283" t="s">
        <v>339</v>
      </c>
      <c r="E74" s="283" t="s">
        <v>340</v>
      </c>
      <c r="F74" s="287" t="str">
        <f t="shared" si="3"/>
        <v>Raumheizung</v>
      </c>
    </row>
    <row r="75" spans="2:6">
      <c r="B75" s="774"/>
      <c r="C75" s="169" t="s">
        <v>78</v>
      </c>
      <c r="D75" s="283" t="s">
        <v>341</v>
      </c>
      <c r="E75" s="283" t="s">
        <v>1275</v>
      </c>
      <c r="F75" s="287" t="str">
        <f t="shared" si="3"/>
        <v>Warmwasser</v>
      </c>
    </row>
    <row r="76" spans="2:6">
      <c r="B76" s="774"/>
      <c r="C76" s="829" t="s">
        <v>88</v>
      </c>
      <c r="D76" s="283" t="s">
        <v>88</v>
      </c>
      <c r="E76" s="299" t="s">
        <v>88</v>
      </c>
      <c r="F76" s="287" t="str">
        <f t="shared" si="3"/>
        <v>Standard</v>
      </c>
    </row>
    <row r="77" spans="2:6">
      <c r="B77" s="774"/>
      <c r="C77" s="829" t="s">
        <v>99</v>
      </c>
      <c r="D77" s="283" t="s">
        <v>342</v>
      </c>
      <c r="E77" s="299" t="s">
        <v>343</v>
      </c>
      <c r="F77" s="287" t="str">
        <f t="shared" si="3"/>
        <v>Zielwert</v>
      </c>
    </row>
    <row r="78" spans="2:6">
      <c r="B78" s="774"/>
      <c r="C78" s="829" t="s">
        <v>100</v>
      </c>
      <c r="D78" s="283" t="s">
        <v>344</v>
      </c>
      <c r="E78" s="283" t="s">
        <v>440</v>
      </c>
      <c r="F78" s="287" t="str">
        <f t="shared" si="3"/>
        <v>Bestand</v>
      </c>
    </row>
    <row r="79" spans="2:6">
      <c r="B79" s="774"/>
      <c r="C79" s="283" t="s">
        <v>228</v>
      </c>
      <c r="D79" s="283" t="s">
        <v>345</v>
      </c>
      <c r="E79" s="283" t="s">
        <v>1276</v>
      </c>
      <c r="F79" s="287" t="str">
        <f t="shared" si="3"/>
        <v>Projektwert</v>
      </c>
    </row>
    <row r="80" spans="2:6">
      <c r="B80" s="774"/>
      <c r="C80" s="169" t="s">
        <v>227</v>
      </c>
      <c r="D80" s="283" t="s">
        <v>441</v>
      </c>
      <c r="E80" s="283" t="s">
        <v>346</v>
      </c>
      <c r="F80" s="287" t="str">
        <f t="shared" si="3"/>
        <v>Standardwert</v>
      </c>
    </row>
    <row r="81" spans="1:6">
      <c r="A81" s="233"/>
      <c r="B81" s="774"/>
      <c r="C81" s="283" t="s">
        <v>151</v>
      </c>
      <c r="D81" s="283" t="s">
        <v>367</v>
      </c>
      <c r="E81" s="283" t="s">
        <v>524</v>
      </c>
      <c r="F81" s="287" t="str">
        <f>IF($D$1=1,C81,IF($D$1=2,D81,E81))</f>
        <v>Räume</v>
      </c>
    </row>
    <row r="82" spans="1:6">
      <c r="B82" s="774"/>
      <c r="C82" s="283" t="s">
        <v>471</v>
      </c>
      <c r="D82" s="283" t="s">
        <v>513</v>
      </c>
      <c r="E82" s="283" t="s">
        <v>1277</v>
      </c>
      <c r="F82" s="287" t="str">
        <f t="shared" ref="F82:F85" si="4">IF($D$1=1,C82,IF($D$1=2,D82,E82))</f>
        <v>Rechenwert</v>
      </c>
    </row>
    <row r="83" spans="1:6">
      <c r="B83" s="774"/>
      <c r="C83" s="283" t="s">
        <v>146</v>
      </c>
      <c r="D83" s="283" t="s">
        <v>146</v>
      </c>
      <c r="E83" s="283" t="s">
        <v>442</v>
      </c>
      <c r="F83" s="287" t="str">
        <f t="shared" si="4"/>
        <v>Total</v>
      </c>
    </row>
    <row r="84" spans="1:6">
      <c r="B84" s="774"/>
      <c r="C84" s="283" t="s">
        <v>484</v>
      </c>
      <c r="D84" s="283" t="s">
        <v>514</v>
      </c>
      <c r="E84" s="283" t="s">
        <v>1278</v>
      </c>
      <c r="F84" s="287" t="str">
        <f t="shared" si="4"/>
        <v>Werte aus anderen Quellen</v>
      </c>
    </row>
    <row r="85" spans="1:6">
      <c r="B85" s="774"/>
      <c r="C85" s="283" t="s">
        <v>139</v>
      </c>
      <c r="D85" s="283" t="s">
        <v>378</v>
      </c>
      <c r="E85" s="283" t="s">
        <v>462</v>
      </c>
      <c r="F85" s="287" t="str">
        <f t="shared" si="4"/>
        <v>Fläche</v>
      </c>
    </row>
    <row r="86" spans="1:6">
      <c r="B86" s="774"/>
      <c r="C86" s="283" t="s">
        <v>128</v>
      </c>
      <c r="D86" s="283" t="s">
        <v>420</v>
      </c>
      <c r="E86" s="299" t="s">
        <v>446</v>
      </c>
      <c r="F86" s="287" t="str">
        <f t="shared" ref="F86:F103" si="5">IF($D$1=1,C86,IF($D$1=2,D86,E86))</f>
        <v>Anteil Konstruktionsfläche</v>
      </c>
    </row>
    <row r="87" spans="1:6">
      <c r="B87" s="774"/>
      <c r="C87" s="283" t="s">
        <v>130</v>
      </c>
      <c r="D87" s="283" t="s">
        <v>431</v>
      </c>
      <c r="E87" s="283" t="s">
        <v>434</v>
      </c>
      <c r="F87" s="287" t="str">
        <f t="shared" si="5"/>
        <v>Geschossfläche (GF)</v>
      </c>
    </row>
    <row r="88" spans="1:6">
      <c r="B88" s="774"/>
      <c r="C88" s="283" t="s">
        <v>213</v>
      </c>
      <c r="D88" s="283" t="s">
        <v>421</v>
      </c>
      <c r="E88" s="283" t="s">
        <v>435</v>
      </c>
      <c r="F88" s="287" t="str">
        <f t="shared" si="5"/>
        <v>Energiebezugsfläche (EBF)</v>
      </c>
    </row>
    <row r="89" spans="1:6">
      <c r="B89" s="774"/>
      <c r="C89" s="283" t="s">
        <v>152</v>
      </c>
      <c r="D89" s="283" t="s">
        <v>573</v>
      </c>
      <c r="E89" s="283" t="s">
        <v>1279</v>
      </c>
      <c r="F89" s="287" t="str">
        <f t="shared" si="5"/>
        <v>Raumnutzung (SIA 2024)</v>
      </c>
    </row>
    <row r="90" spans="1:6">
      <c r="B90" s="774"/>
      <c r="C90" s="283" t="s">
        <v>125</v>
      </c>
      <c r="D90" s="283" t="s">
        <v>379</v>
      </c>
      <c r="E90" s="283" t="s">
        <v>379</v>
      </c>
      <c r="F90" s="287" t="str">
        <f t="shared" si="5"/>
        <v>EBF</v>
      </c>
    </row>
    <row r="91" spans="1:6">
      <c r="B91" s="774"/>
      <c r="C91" s="283" t="s">
        <v>181</v>
      </c>
      <c r="D91" s="283" t="s">
        <v>380</v>
      </c>
      <c r="E91" s="283" t="s">
        <v>380</v>
      </c>
      <c r="F91" s="287" t="str">
        <f t="shared" si="5"/>
        <v>NGF</v>
      </c>
    </row>
    <row r="92" spans="1:6">
      <c r="B92" s="774"/>
      <c r="C92" s="283" t="s">
        <v>85</v>
      </c>
      <c r="D92" s="283" t="s">
        <v>398</v>
      </c>
      <c r="E92" s="283" t="s">
        <v>448</v>
      </c>
      <c r="F92" s="287" t="str">
        <f t="shared" si="5"/>
        <v>Energieträger</v>
      </c>
    </row>
    <row r="93" spans="1:6">
      <c r="B93" s="774"/>
      <c r="C93" s="283" t="s">
        <v>140</v>
      </c>
      <c r="D93" s="283" t="s">
        <v>422</v>
      </c>
      <c r="E93" s="283" t="s">
        <v>447</v>
      </c>
      <c r="F93" s="287" t="str">
        <f t="shared" si="5"/>
        <v>Anteil</v>
      </c>
    </row>
    <row r="94" spans="1:6">
      <c r="B94" s="774"/>
      <c r="C94" s="283" t="s">
        <v>214</v>
      </c>
      <c r="D94" s="283" t="s">
        <v>423</v>
      </c>
      <c r="E94" s="283" t="s">
        <v>1280</v>
      </c>
      <c r="F94" s="287" t="str">
        <f t="shared" si="5"/>
        <v>Bedarf pro Energiebezugsfläche</v>
      </c>
    </row>
    <row r="95" spans="1:6">
      <c r="B95" s="774"/>
      <c r="C95" s="299" t="s">
        <v>116</v>
      </c>
      <c r="D95" s="824" t="s">
        <v>1128</v>
      </c>
      <c r="E95" s="299" t="s">
        <v>1281</v>
      </c>
      <c r="F95" s="287" t="str">
        <f t="shared" si="5"/>
        <v>Anlage</v>
      </c>
    </row>
    <row r="96" spans="1:6">
      <c r="B96" s="774"/>
      <c r="C96" s="283" t="s">
        <v>178</v>
      </c>
      <c r="D96" s="283" t="s">
        <v>377</v>
      </c>
      <c r="E96" s="283" t="s">
        <v>567</v>
      </c>
      <c r="F96" s="287" t="str">
        <f t="shared" si="5"/>
        <v>belüftet</v>
      </c>
    </row>
    <row r="97" spans="2:6">
      <c r="B97" s="774"/>
      <c r="C97" s="283" t="s">
        <v>171</v>
      </c>
      <c r="D97" s="283" t="s">
        <v>376</v>
      </c>
      <c r="E97" s="299" t="s">
        <v>1386</v>
      </c>
      <c r="F97" s="287" t="str">
        <f t="shared" si="5"/>
        <v>gekühlt</v>
      </c>
    </row>
    <row r="98" spans="2:6">
      <c r="B98" s="774"/>
      <c r="C98" s="283" t="s">
        <v>371</v>
      </c>
      <c r="D98" s="283" t="s">
        <v>375</v>
      </c>
      <c r="E98" s="283" t="s">
        <v>1387</v>
      </c>
      <c r="F98" s="287" t="str">
        <f t="shared" si="5"/>
        <v>beheizt</v>
      </c>
    </row>
    <row r="99" spans="2:6">
      <c r="B99" s="774"/>
      <c r="C99" s="283" t="s">
        <v>212</v>
      </c>
      <c r="D99" s="283" t="s">
        <v>372</v>
      </c>
      <c r="E99" s="283" t="s">
        <v>461</v>
      </c>
      <c r="F99" s="287" t="str">
        <f t="shared" si="5"/>
        <v>Volumenstr.</v>
      </c>
    </row>
    <row r="100" spans="2:6">
      <c r="B100" s="774"/>
      <c r="C100" s="283" t="s">
        <v>110</v>
      </c>
      <c r="D100" s="283" t="s">
        <v>373</v>
      </c>
      <c r="E100" s="283" t="s">
        <v>443</v>
      </c>
      <c r="F100" s="287" t="str">
        <f t="shared" si="5"/>
        <v>Leistung</v>
      </c>
    </row>
    <row r="101" spans="2:6">
      <c r="B101" s="774"/>
      <c r="C101" s="283" t="s">
        <v>111</v>
      </c>
      <c r="D101" s="283" t="s">
        <v>111</v>
      </c>
      <c r="E101" s="283" t="s">
        <v>444</v>
      </c>
      <c r="F101" s="287" t="str">
        <f t="shared" si="5"/>
        <v>Energie</v>
      </c>
    </row>
    <row r="102" spans="2:6">
      <c r="B102" s="774"/>
      <c r="C102" s="283" t="s">
        <v>138</v>
      </c>
      <c r="D102" s="283" t="s">
        <v>374</v>
      </c>
      <c r="E102" s="283" t="s">
        <v>445</v>
      </c>
      <c r="F102" s="287" t="str">
        <f t="shared" si="5"/>
        <v>Bedarf</v>
      </c>
    </row>
    <row r="103" spans="2:6">
      <c r="B103" s="774"/>
      <c r="C103" s="283" t="s">
        <v>217</v>
      </c>
      <c r="D103" s="283" t="s">
        <v>387</v>
      </c>
      <c r="E103" s="283" t="s">
        <v>388</v>
      </c>
      <c r="F103" s="287" t="str">
        <f t="shared" si="5"/>
        <v>Projekt</v>
      </c>
    </row>
    <row r="104" spans="2:6">
      <c r="B104" s="774"/>
      <c r="C104" s="830" t="s">
        <v>623</v>
      </c>
      <c r="D104" s="824" t="s">
        <v>1129</v>
      </c>
      <c r="E104" s="299" t="s">
        <v>1282</v>
      </c>
      <c r="F104" s="287" t="str">
        <f t="shared" ref="F104:F164" si="6">IF($D$1=1,C104,IF($D$1=2,D104,E104))</f>
        <v>Allgemeine Gebäudetechnik</v>
      </c>
    </row>
    <row r="105" spans="2:6">
      <c r="B105" s="774"/>
      <c r="C105" s="830" t="s">
        <v>243</v>
      </c>
      <c r="D105" s="824" t="s">
        <v>1130</v>
      </c>
      <c r="E105" s="299" t="s">
        <v>1283</v>
      </c>
      <c r="F105" s="287" t="str">
        <f t="shared" si="6"/>
        <v>Nr</v>
      </c>
    </row>
    <row r="106" spans="2:6">
      <c r="B106" s="774"/>
      <c r="C106" s="830" t="s">
        <v>256</v>
      </c>
      <c r="D106" s="824" t="s">
        <v>1131</v>
      </c>
      <c r="E106" s="299" t="s">
        <v>1284</v>
      </c>
      <c r="F106" s="287" t="str">
        <f t="shared" si="6"/>
        <v>Anlagentyp</v>
      </c>
    </row>
    <row r="107" spans="2:6">
      <c r="B107" s="774"/>
      <c r="C107" s="830" t="s">
        <v>635</v>
      </c>
      <c r="D107" s="824" t="s">
        <v>1132</v>
      </c>
      <c r="E107" s="299" t="s">
        <v>1285</v>
      </c>
      <c r="F107" s="287" t="str">
        <f t="shared" si="6"/>
        <v>Intensität</v>
      </c>
    </row>
    <row r="108" spans="2:6">
      <c r="B108" s="774"/>
      <c r="C108" s="830" t="s">
        <v>634</v>
      </c>
      <c r="D108" s="824" t="s">
        <v>1133</v>
      </c>
      <c r="E108" s="299" t="s">
        <v>1286</v>
      </c>
      <c r="F108" s="287" t="str">
        <f t="shared" si="6"/>
        <v>Wert</v>
      </c>
    </row>
    <row r="109" spans="2:6">
      <c r="B109" s="774"/>
      <c r="C109" s="830" t="s">
        <v>253</v>
      </c>
      <c r="D109" s="824" t="s">
        <v>1134</v>
      </c>
      <c r="E109" s="299" t="s">
        <v>1287</v>
      </c>
      <c r="F109" s="287" t="str">
        <f t="shared" si="6"/>
        <v>Einheit</v>
      </c>
    </row>
    <row r="110" spans="2:6">
      <c r="B110" s="774"/>
      <c r="C110" s="830" t="s">
        <v>637</v>
      </c>
      <c r="D110" s="824" t="s">
        <v>1135</v>
      </c>
      <c r="E110" s="299" t="s">
        <v>1409</v>
      </c>
      <c r="F110" s="287" t="str">
        <f t="shared" si="6"/>
        <v>Nettofläche</v>
      </c>
    </row>
    <row r="111" spans="2:6">
      <c r="B111" s="774"/>
      <c r="C111" s="830" t="s">
        <v>254</v>
      </c>
      <c r="D111" s="824" t="s">
        <v>1136</v>
      </c>
      <c r="E111" s="299" t="s">
        <v>1288</v>
      </c>
      <c r="F111" s="287" t="str">
        <f t="shared" si="6"/>
        <v>Anzahl</v>
      </c>
    </row>
    <row r="112" spans="2:6">
      <c r="B112" s="774"/>
      <c r="C112" s="830" t="s">
        <v>638</v>
      </c>
      <c r="D112" s="824" t="s">
        <v>389</v>
      </c>
      <c r="E112" s="299" t="s">
        <v>390</v>
      </c>
      <c r="F112" s="287" t="str">
        <f t="shared" si="6"/>
        <v>Volllaststd.</v>
      </c>
    </row>
    <row r="113" spans="2:6">
      <c r="B113" s="774"/>
      <c r="C113" s="830" t="s">
        <v>255</v>
      </c>
      <c r="D113" s="824" t="s">
        <v>1137</v>
      </c>
      <c r="E113" s="299" t="s">
        <v>1289</v>
      </c>
      <c r="F113" s="287" t="str">
        <f t="shared" si="6"/>
        <v>Stk</v>
      </c>
    </row>
    <row r="114" spans="2:6">
      <c r="B114" s="774" t="s">
        <v>1109</v>
      </c>
      <c r="C114" s="830" t="s">
        <v>603</v>
      </c>
      <c r="D114" s="824" t="s">
        <v>1138</v>
      </c>
      <c r="E114" s="299" t="s">
        <v>1290</v>
      </c>
      <c r="F114" s="287" t="str">
        <f t="shared" si="6"/>
        <v>Elektroverbraucher nach kWh/m²</v>
      </c>
    </row>
    <row r="115" spans="2:6">
      <c r="B115" s="774"/>
      <c r="C115" s="830" t="s">
        <v>607</v>
      </c>
      <c r="D115" s="824" t="s">
        <v>1139</v>
      </c>
      <c r="E115" s="299" t="s">
        <v>1406</v>
      </c>
      <c r="F115" s="287" t="str">
        <f t="shared" si="6"/>
        <v>Notlichtanlage mit Bereitschaft</v>
      </c>
    </row>
    <row r="116" spans="2:6">
      <c r="B116" s="774"/>
      <c r="C116" s="830" t="s">
        <v>608</v>
      </c>
      <c r="D116" s="824" t="s">
        <v>1140</v>
      </c>
      <c r="E116" s="299" t="s">
        <v>1407</v>
      </c>
      <c r="F116" s="287" t="str">
        <f t="shared" si="6"/>
        <v>Notlichtanlage mit Dauerlicht</v>
      </c>
    </row>
    <row r="117" spans="2:6">
      <c r="B117" s="774"/>
      <c r="C117" s="830" t="s">
        <v>609</v>
      </c>
      <c r="D117" s="824" t="s">
        <v>1141</v>
      </c>
      <c r="E117" s="920" t="s">
        <v>1408</v>
      </c>
      <c r="F117" s="287" t="str">
        <f t="shared" si="6"/>
        <v>Beschattungsanlage (manuell)</v>
      </c>
    </row>
    <row r="118" spans="2:6">
      <c r="B118" s="774"/>
      <c r="C118" s="830" t="s">
        <v>610</v>
      </c>
      <c r="D118" s="824" t="s">
        <v>1190</v>
      </c>
      <c r="E118" s="920" t="s">
        <v>1291</v>
      </c>
      <c r="F118" s="287" t="str">
        <f t="shared" si="6"/>
        <v>Beschattungsanlage (automatisch)</v>
      </c>
    </row>
    <row r="119" spans="2:6">
      <c r="B119" s="774"/>
      <c r="C119" s="830" t="s">
        <v>611</v>
      </c>
      <c r="D119" s="824" t="s">
        <v>1191</v>
      </c>
      <c r="E119" s="299" t="s">
        <v>1292</v>
      </c>
      <c r="F119" s="287" t="str">
        <f t="shared" si="6"/>
        <v>Beschattungsanlage (auto. + HLK)</v>
      </c>
    </row>
    <row r="120" spans="2:6">
      <c r="B120" s="774"/>
      <c r="C120" s="830" t="s">
        <v>612</v>
      </c>
      <c r="D120" s="831" t="s">
        <v>1142</v>
      </c>
      <c r="E120" s="299" t="s">
        <v>1293</v>
      </c>
      <c r="F120" s="287" t="str">
        <f t="shared" si="6"/>
        <v>Gebäudeautomation</v>
      </c>
    </row>
    <row r="121" spans="2:6">
      <c r="B121" s="774"/>
      <c r="C121" s="830" t="s">
        <v>613</v>
      </c>
      <c r="D121" s="831" t="s">
        <v>1143</v>
      </c>
      <c r="E121" s="299" t="s">
        <v>1294</v>
      </c>
      <c r="F121" s="287" t="str">
        <f t="shared" si="6"/>
        <v>Einbruchmeldeanlage</v>
      </c>
    </row>
    <row r="122" spans="2:6">
      <c r="B122" s="774"/>
      <c r="C122" s="830" t="s">
        <v>614</v>
      </c>
      <c r="D122" s="831" t="s">
        <v>1144</v>
      </c>
      <c r="E122" s="299" t="s">
        <v>1295</v>
      </c>
      <c r="F122" s="287" t="str">
        <f t="shared" si="6"/>
        <v>Kleinstverbraucher</v>
      </c>
    </row>
    <row r="123" spans="2:6">
      <c r="B123" s="774"/>
      <c r="C123" s="830" t="s">
        <v>615</v>
      </c>
      <c r="D123" s="824" t="s">
        <v>1145</v>
      </c>
      <c r="E123" s="299" t="s">
        <v>1296</v>
      </c>
      <c r="F123" s="287" t="str">
        <f t="shared" si="6"/>
        <v>Schrankenanlage</v>
      </c>
    </row>
    <row r="124" spans="2:6">
      <c r="B124" s="774"/>
      <c r="C124" s="830" t="s">
        <v>616</v>
      </c>
      <c r="D124" s="824" t="s">
        <v>1146</v>
      </c>
      <c r="E124" s="299" t="s">
        <v>1297</v>
      </c>
      <c r="F124" s="287" t="str">
        <f t="shared" si="6"/>
        <v>Zentrale Parkuhr</v>
      </c>
    </row>
    <row r="125" spans="2:6">
      <c r="B125" s="774"/>
      <c r="C125" s="830" t="s">
        <v>617</v>
      </c>
      <c r="D125" s="824" t="s">
        <v>1147</v>
      </c>
      <c r="E125" s="299" t="s">
        <v>1298</v>
      </c>
      <c r="F125" s="287" t="str">
        <f t="shared" si="6"/>
        <v>Drehtüre on/off</v>
      </c>
    </row>
    <row r="126" spans="2:6">
      <c r="B126" s="774"/>
      <c r="C126" s="830" t="s">
        <v>618</v>
      </c>
      <c r="D126" s="824" t="s">
        <v>1148</v>
      </c>
      <c r="E126" s="299" t="s">
        <v>1299</v>
      </c>
      <c r="F126" s="287" t="str">
        <f t="shared" si="6"/>
        <v>Drehtüre schleichend</v>
      </c>
    </row>
    <row r="127" spans="2:6">
      <c r="B127" s="774"/>
      <c r="C127" s="830" t="s">
        <v>619</v>
      </c>
      <c r="D127" s="824" t="s">
        <v>1149</v>
      </c>
      <c r="E127" s="299" t="s">
        <v>1300</v>
      </c>
      <c r="F127" s="287" t="str">
        <f t="shared" si="6"/>
        <v>Schiebetüre</v>
      </c>
    </row>
    <row r="128" spans="2:6">
      <c r="B128" s="774"/>
      <c r="C128" s="830" t="s">
        <v>620</v>
      </c>
      <c r="D128" s="824" t="s">
        <v>1150</v>
      </c>
      <c r="E128" s="299" t="s">
        <v>1301</v>
      </c>
      <c r="F128" s="287" t="str">
        <f t="shared" si="6"/>
        <v>Drehkreuz</v>
      </c>
    </row>
    <row r="129" spans="1:6">
      <c r="B129" s="774"/>
      <c r="C129" s="830" t="s">
        <v>621</v>
      </c>
      <c r="D129" s="824" t="s">
        <v>1151</v>
      </c>
      <c r="E129" s="299" t="s">
        <v>1302</v>
      </c>
      <c r="F129" s="287" t="str">
        <f t="shared" si="6"/>
        <v>Zutrittskontrolle</v>
      </c>
    </row>
    <row r="130" spans="1:6">
      <c r="B130" s="774"/>
      <c r="C130" s="830" t="s">
        <v>622</v>
      </c>
      <c r="D130" s="824" t="s">
        <v>1152</v>
      </c>
      <c r="E130" s="299" t="s">
        <v>1303</v>
      </c>
      <c r="F130" s="287" t="str">
        <f t="shared" si="6"/>
        <v>Aufzug</v>
      </c>
    </row>
    <row r="131" spans="1:6">
      <c r="B131" s="774"/>
      <c r="C131" s="169"/>
      <c r="D131" s="283"/>
      <c r="E131" s="283"/>
      <c r="F131" s="287">
        <f t="shared" si="6"/>
        <v>0</v>
      </c>
    </row>
    <row r="132" spans="1:6">
      <c r="B132" s="774"/>
      <c r="C132" s="169"/>
      <c r="D132" s="283"/>
      <c r="E132" s="283"/>
      <c r="F132" s="287">
        <f t="shared" si="6"/>
        <v>0</v>
      </c>
    </row>
    <row r="133" spans="1:6">
      <c r="A133" s="233" t="s">
        <v>1</v>
      </c>
      <c r="B133" s="774"/>
      <c r="C133" s="830" t="s">
        <v>127</v>
      </c>
      <c r="D133" s="824" t="s">
        <v>1153</v>
      </c>
      <c r="E133" s="299" t="s">
        <v>1304</v>
      </c>
      <c r="F133" s="287" t="str">
        <f t="shared" si="6"/>
        <v>Lüftungsanlagen</v>
      </c>
    </row>
    <row r="134" spans="1:6">
      <c r="B134" s="774"/>
      <c r="C134" s="830" t="s">
        <v>114</v>
      </c>
      <c r="D134" s="824" t="s">
        <v>1154</v>
      </c>
      <c r="E134" s="299" t="s">
        <v>461</v>
      </c>
      <c r="F134" s="287" t="str">
        <f t="shared" si="6"/>
        <v>Volumenstrom</v>
      </c>
    </row>
    <row r="135" spans="1:6">
      <c r="B135" s="774"/>
      <c r="C135" s="830" t="s">
        <v>654</v>
      </c>
      <c r="D135" s="824" t="s">
        <v>1155</v>
      </c>
      <c r="E135" s="299" t="s">
        <v>1305</v>
      </c>
      <c r="F135" s="287" t="str">
        <f t="shared" si="6"/>
        <v>Zu- und Abluft-Ventilator</v>
      </c>
    </row>
    <row r="136" spans="1:6">
      <c r="B136" s="774"/>
      <c r="C136" s="830" t="s">
        <v>174</v>
      </c>
      <c r="D136" s="824" t="s">
        <v>1156</v>
      </c>
      <c r="E136" s="299" t="s">
        <v>1306</v>
      </c>
      <c r="F136" s="287" t="str">
        <f t="shared" si="6"/>
        <v>Zuluftkonditionierung</v>
      </c>
    </row>
    <row r="137" spans="1:6">
      <c r="B137" s="774"/>
      <c r="C137" s="830" t="s">
        <v>153</v>
      </c>
      <c r="D137" s="824" t="s">
        <v>1201</v>
      </c>
      <c r="E137" s="299" t="s">
        <v>1388</v>
      </c>
      <c r="F137" s="287" t="str">
        <f t="shared" si="6"/>
        <v>Luftkühlung</v>
      </c>
    </row>
    <row r="138" spans="1:6">
      <c r="B138" s="774"/>
      <c r="C138" s="830" t="s">
        <v>177</v>
      </c>
      <c r="D138" s="824" t="s">
        <v>1202</v>
      </c>
      <c r="E138" s="299" t="s">
        <v>1389</v>
      </c>
      <c r="F138" s="287" t="str">
        <f t="shared" si="6"/>
        <v>Lufterwärmung</v>
      </c>
    </row>
    <row r="139" spans="1:6">
      <c r="B139" s="774"/>
      <c r="C139" s="830" t="s">
        <v>116</v>
      </c>
      <c r="D139" s="824" t="s">
        <v>1128</v>
      </c>
      <c r="E139" s="299" t="s">
        <v>1281</v>
      </c>
      <c r="F139" s="287" t="str">
        <f t="shared" si="6"/>
        <v>Anlage</v>
      </c>
    </row>
    <row r="140" spans="1:6">
      <c r="B140" s="774"/>
      <c r="C140" s="830" t="s">
        <v>93</v>
      </c>
      <c r="D140" s="824" t="s">
        <v>1157</v>
      </c>
      <c r="E140" s="299" t="s">
        <v>1309</v>
      </c>
      <c r="F140" s="287" t="str">
        <f t="shared" si="6"/>
        <v>Nutzung</v>
      </c>
    </row>
    <row r="141" spans="1:6">
      <c r="B141" s="774"/>
      <c r="C141" s="830" t="s">
        <v>1090</v>
      </c>
      <c r="D141" s="824" t="s">
        <v>1158</v>
      </c>
      <c r="E141" s="299" t="s">
        <v>1310</v>
      </c>
      <c r="F141" s="287" t="str">
        <f t="shared" si="6"/>
        <v>Hygiene</v>
      </c>
    </row>
    <row r="142" spans="1:6">
      <c r="B142" s="774"/>
      <c r="C142" s="830" t="s">
        <v>1091</v>
      </c>
      <c r="D142" s="824" t="s">
        <v>1159</v>
      </c>
      <c r="E142" s="299" t="s">
        <v>1311</v>
      </c>
      <c r="F142" s="287" t="str">
        <f t="shared" si="6"/>
        <v>Prozess</v>
      </c>
    </row>
    <row r="143" spans="1:6">
      <c r="B143" s="774"/>
      <c r="C143" s="830" t="s">
        <v>143</v>
      </c>
      <c r="D143" s="824" t="s">
        <v>143</v>
      </c>
      <c r="E143" s="299" t="s">
        <v>143</v>
      </c>
      <c r="F143" s="287" t="str">
        <f t="shared" si="6"/>
        <v>SFP</v>
      </c>
    </row>
    <row r="144" spans="1:6">
      <c r="B144" s="774"/>
      <c r="C144" s="830" t="s">
        <v>134</v>
      </c>
      <c r="D144" s="824" t="s">
        <v>1160</v>
      </c>
      <c r="E144" s="299" t="s">
        <v>1312</v>
      </c>
      <c r="F144" s="287" t="str">
        <f t="shared" si="6"/>
        <v>Regelung</v>
      </c>
    </row>
    <row r="145" spans="2:6">
      <c r="B145" s="774"/>
      <c r="C145" s="830" t="s">
        <v>1110</v>
      </c>
      <c r="D145" s="824" t="s">
        <v>1161</v>
      </c>
      <c r="E145" s="299" t="s">
        <v>1313</v>
      </c>
      <c r="F145" s="287" t="str">
        <f t="shared" si="6"/>
        <v>Vollast.</v>
      </c>
    </row>
    <row r="146" spans="2:6">
      <c r="B146" s="774"/>
      <c r="C146" s="830" t="s">
        <v>131</v>
      </c>
      <c r="D146" s="824" t="s">
        <v>1194</v>
      </c>
      <c r="E146" s="299" t="s">
        <v>1392</v>
      </c>
      <c r="F146" s="287" t="str">
        <f t="shared" si="6"/>
        <v>WRG</v>
      </c>
    </row>
    <row r="147" spans="2:6">
      <c r="B147" s="774"/>
      <c r="C147" s="830" t="s">
        <v>1105</v>
      </c>
      <c r="D147" s="824" t="s">
        <v>1162</v>
      </c>
      <c r="E147" s="299" t="s">
        <v>1393</v>
      </c>
      <c r="F147" s="287" t="str">
        <f t="shared" si="6"/>
        <v>Kühlfall</v>
      </c>
    </row>
    <row r="148" spans="2:6">
      <c r="B148" s="774"/>
      <c r="C148" s="830" t="s">
        <v>1106</v>
      </c>
      <c r="D148" s="824" t="s">
        <v>1163</v>
      </c>
      <c r="E148" s="299" t="s">
        <v>1394</v>
      </c>
      <c r="F148" s="287" t="str">
        <f t="shared" si="6"/>
        <v>Heizfall</v>
      </c>
    </row>
    <row r="149" spans="2:6">
      <c r="B149" s="774"/>
      <c r="C149" s="830" t="s">
        <v>1111</v>
      </c>
      <c r="D149" s="824" t="s">
        <v>1164</v>
      </c>
      <c r="E149" s="299" t="s">
        <v>1314</v>
      </c>
      <c r="F149" s="287" t="str">
        <f t="shared" si="6"/>
        <v>Ergebnisse pro Lüftungsanlage</v>
      </c>
    </row>
    <row r="150" spans="2:6">
      <c r="B150" s="774"/>
      <c r="C150" s="830" t="s">
        <v>1222</v>
      </c>
      <c r="D150" s="824" t="s">
        <v>1165</v>
      </c>
      <c r="E150" s="299" t="s">
        <v>1315</v>
      </c>
      <c r="F150" s="287" t="str">
        <f t="shared" si="6"/>
        <v>Energiebedarf Luftförderung und Luftkonditionierung</v>
      </c>
    </row>
    <row r="151" spans="2:6">
      <c r="B151" s="774"/>
      <c r="C151" s="830" t="s">
        <v>986</v>
      </c>
      <c r="D151" s="824" t="s">
        <v>1166</v>
      </c>
      <c r="E151" s="299" t="s">
        <v>1316</v>
      </c>
      <c r="F151" s="287" t="str">
        <f t="shared" si="6"/>
        <v>Energiebedarf pro Aussentemp., kWh</v>
      </c>
    </row>
    <row r="152" spans="2:6">
      <c r="B152" s="774"/>
      <c r="C152" s="830" t="s">
        <v>999</v>
      </c>
      <c r="D152" s="824" t="s">
        <v>1167</v>
      </c>
      <c r="E152" s="299" t="s">
        <v>1317</v>
      </c>
      <c r="F152" s="287" t="str">
        <f t="shared" si="6"/>
        <v>Aussentemperatur</v>
      </c>
    </row>
    <row r="153" spans="2:6">
      <c r="B153" s="774"/>
      <c r="C153" s="830" t="s">
        <v>1000</v>
      </c>
      <c r="D153" s="824" t="s">
        <v>1225</v>
      </c>
      <c r="E153" s="299" t="s">
        <v>1318</v>
      </c>
      <c r="F153" s="287" t="str">
        <f t="shared" si="6"/>
        <v>Luftförderung</v>
      </c>
    </row>
    <row r="154" spans="2:6">
      <c r="B154" s="774"/>
      <c r="C154" s="830" t="s">
        <v>177</v>
      </c>
      <c r="D154" s="824" t="s">
        <v>1226</v>
      </c>
      <c r="E154" s="299" t="s">
        <v>1308</v>
      </c>
      <c r="F154" s="287" t="str">
        <f t="shared" si="6"/>
        <v>Lufterwärmung</v>
      </c>
    </row>
    <row r="155" spans="2:6">
      <c r="B155" s="774"/>
      <c r="C155" s="830" t="s">
        <v>1001</v>
      </c>
      <c r="D155" s="824" t="s">
        <v>1223</v>
      </c>
      <c r="E155" s="299" t="s">
        <v>1319</v>
      </c>
      <c r="F155" s="287" t="str">
        <f t="shared" si="6"/>
        <v>Erwärmung Befeuchtung</v>
      </c>
    </row>
    <row r="156" spans="2:6">
      <c r="B156" s="774"/>
      <c r="C156" s="830" t="s">
        <v>153</v>
      </c>
      <c r="D156" s="824" t="s">
        <v>1227</v>
      </c>
      <c r="E156" s="299" t="s">
        <v>1307</v>
      </c>
      <c r="F156" s="287" t="str">
        <f t="shared" si="6"/>
        <v>Luftkühlung</v>
      </c>
    </row>
    <row r="157" spans="2:6">
      <c r="B157" s="774"/>
      <c r="C157" s="830" t="s">
        <v>1002</v>
      </c>
      <c r="D157" s="824" t="s">
        <v>1224</v>
      </c>
      <c r="E157" s="299" t="s">
        <v>1320</v>
      </c>
      <c r="F157" s="287" t="str">
        <f t="shared" si="6"/>
        <v>Kühlung Entfeuchtung</v>
      </c>
    </row>
    <row r="158" spans="2:6">
      <c r="B158" s="774"/>
      <c r="C158" s="830" t="s">
        <v>1003</v>
      </c>
      <c r="D158" s="824" t="s">
        <v>1228</v>
      </c>
      <c r="E158" s="299" t="s">
        <v>1321</v>
      </c>
      <c r="F158" s="287" t="str">
        <f t="shared" si="6"/>
        <v>Erwärmung Entfeuchtung</v>
      </c>
    </row>
    <row r="159" spans="2:6">
      <c r="B159" s="774"/>
      <c r="C159" s="830" t="s">
        <v>471</v>
      </c>
      <c r="D159" s="824" t="s">
        <v>1390</v>
      </c>
      <c r="E159" s="921" t="s">
        <v>1391</v>
      </c>
      <c r="F159" s="287" t="str">
        <f t="shared" si="6"/>
        <v>Rechenwert</v>
      </c>
    </row>
    <row r="160" spans="2:6">
      <c r="B160" s="774"/>
      <c r="C160" s="830"/>
      <c r="D160" s="824"/>
      <c r="E160" s="283"/>
      <c r="F160" s="287">
        <f t="shared" si="6"/>
        <v>0</v>
      </c>
    </row>
    <row r="161" spans="1:6">
      <c r="B161" s="774"/>
      <c r="C161" s="830"/>
      <c r="D161" s="824"/>
      <c r="E161" s="283"/>
      <c r="F161" s="287">
        <f t="shared" si="6"/>
        <v>0</v>
      </c>
    </row>
    <row r="162" spans="1:6">
      <c r="B162" s="774"/>
      <c r="C162" s="830"/>
      <c r="D162" s="824"/>
      <c r="E162" s="283"/>
      <c r="F162" s="287">
        <f t="shared" si="6"/>
        <v>0</v>
      </c>
    </row>
    <row r="163" spans="1:6">
      <c r="B163" s="774"/>
      <c r="C163" s="169"/>
      <c r="D163" s="283"/>
      <c r="E163" s="283"/>
      <c r="F163" s="287">
        <f t="shared" si="6"/>
        <v>0</v>
      </c>
    </row>
    <row r="164" spans="1:6">
      <c r="A164" s="233" t="s">
        <v>81</v>
      </c>
      <c r="B164" s="774"/>
      <c r="C164" s="283" t="s">
        <v>485</v>
      </c>
      <c r="D164" s="283" t="s">
        <v>486</v>
      </c>
      <c r="E164" s="299" t="s">
        <v>1322</v>
      </c>
      <c r="F164" s="287" t="str">
        <f t="shared" si="6"/>
        <v>Abkürzung</v>
      </c>
    </row>
    <row r="165" spans="1:6">
      <c r="B165" s="774"/>
      <c r="C165" s="283" t="s">
        <v>179</v>
      </c>
      <c r="D165" s="283" t="s">
        <v>363</v>
      </c>
      <c r="E165" s="283" t="s">
        <v>1323</v>
      </c>
      <c r="F165" s="287" t="str">
        <f>IF($D$1=1,C165,IF($D$1=2,D165,E165))</f>
        <v>Kälteerzeugung</v>
      </c>
    </row>
    <row r="166" spans="1:6">
      <c r="B166" s="774"/>
      <c r="C166" s="283" t="s">
        <v>348</v>
      </c>
      <c r="D166" s="283" t="s">
        <v>419</v>
      </c>
      <c r="E166" s="283" t="s">
        <v>1324</v>
      </c>
      <c r="F166" s="287" t="str">
        <f t="shared" ref="F166:F228" si="7">IF($D$1=1,C166,IF($D$1=2,D166,E166))</f>
        <v>Kompaktkältemaschine 7°C</v>
      </c>
    </row>
    <row r="167" spans="1:6">
      <c r="B167" s="774"/>
      <c r="C167" s="283" t="s">
        <v>347</v>
      </c>
      <c r="D167" s="824" t="s">
        <v>1168</v>
      </c>
      <c r="E167" s="283" t="s">
        <v>1325</v>
      </c>
      <c r="F167" s="287" t="str">
        <f t="shared" si="7"/>
        <v>Kompaktkältemaschine 14°C</v>
      </c>
    </row>
    <row r="168" spans="1:6">
      <c r="B168" s="774"/>
      <c r="C168" s="283" t="s">
        <v>349</v>
      </c>
      <c r="D168" s="283" t="s">
        <v>417</v>
      </c>
      <c r="E168" s="283" t="s">
        <v>1326</v>
      </c>
      <c r="F168" s="287" t="str">
        <f t="shared" si="7"/>
        <v>Kältemaschine 7°C</v>
      </c>
    </row>
    <row r="169" spans="1:6">
      <c r="B169" s="774"/>
      <c r="C169" s="283" t="s">
        <v>350</v>
      </c>
      <c r="D169" s="283" t="s">
        <v>418</v>
      </c>
      <c r="E169" s="283" t="s">
        <v>464</v>
      </c>
      <c r="F169" s="287" t="str">
        <f t="shared" si="7"/>
        <v>Kältemaschine 14°C</v>
      </c>
    </row>
    <row r="170" spans="1:6">
      <c r="B170" s="774"/>
      <c r="C170" s="283" t="s">
        <v>351</v>
      </c>
      <c r="D170" s="283" t="s">
        <v>415</v>
      </c>
      <c r="E170" s="283" t="s">
        <v>1327</v>
      </c>
      <c r="F170" s="287" t="str">
        <f t="shared" si="7"/>
        <v>Direktkühlung Erdreich</v>
      </c>
    </row>
    <row r="171" spans="1:6">
      <c r="B171" s="774"/>
      <c r="C171" s="283" t="s">
        <v>352</v>
      </c>
      <c r="D171" s="283" t="s">
        <v>416</v>
      </c>
      <c r="E171" s="283" t="s">
        <v>1328</v>
      </c>
      <c r="F171" s="287" t="str">
        <f t="shared" si="7"/>
        <v>Direktkühlung Grundwasser</v>
      </c>
    </row>
    <row r="172" spans="1:6">
      <c r="B172" s="774"/>
      <c r="C172" s="283"/>
      <c r="D172" s="283"/>
      <c r="E172" s="283"/>
      <c r="F172" s="230"/>
    </row>
    <row r="173" spans="1:6">
      <c r="B173" s="774"/>
      <c r="C173" s="283" t="s">
        <v>180</v>
      </c>
      <c r="D173" s="283" t="s">
        <v>364</v>
      </c>
      <c r="E173" s="283" t="s">
        <v>566</v>
      </c>
      <c r="F173" s="287" t="str">
        <f t="shared" si="7"/>
        <v>Wärmeerzeugung</v>
      </c>
    </row>
    <row r="174" spans="1:6">
      <c r="B174" s="774"/>
      <c r="C174" s="283" t="s">
        <v>204</v>
      </c>
      <c r="D174" s="283" t="s">
        <v>413</v>
      </c>
      <c r="E174" s="299" t="s">
        <v>1329</v>
      </c>
      <c r="F174" s="287" t="str">
        <f t="shared" si="7"/>
        <v xml:space="preserve">Ölfeuerung kondensierend </v>
      </c>
    </row>
    <row r="175" spans="1:6">
      <c r="B175" s="774"/>
      <c r="C175" s="283" t="s">
        <v>205</v>
      </c>
      <c r="D175" s="283" t="s">
        <v>414</v>
      </c>
      <c r="E175" s="299" t="s">
        <v>1330</v>
      </c>
      <c r="F175" s="287" t="str">
        <f t="shared" si="7"/>
        <v xml:space="preserve">Gasfeuerung kondensierend </v>
      </c>
    </row>
    <row r="176" spans="1:6">
      <c r="B176" s="774"/>
      <c r="C176" s="283" t="s">
        <v>222</v>
      </c>
      <c r="D176" s="283" t="s">
        <v>401</v>
      </c>
      <c r="E176" s="283" t="s">
        <v>1331</v>
      </c>
      <c r="F176" s="287" t="str">
        <f t="shared" si="7"/>
        <v>Stückholzfeuerung</v>
      </c>
    </row>
    <row r="177" spans="2:6">
      <c r="B177" s="774"/>
      <c r="C177" s="283" t="s">
        <v>223</v>
      </c>
      <c r="D177" s="283" t="s">
        <v>404</v>
      </c>
      <c r="E177" s="283" t="s">
        <v>1332</v>
      </c>
      <c r="F177" s="287" t="str">
        <f t="shared" si="7"/>
        <v xml:space="preserve">Hackschnitzelfeuerung </v>
      </c>
    </row>
    <row r="178" spans="2:6">
      <c r="B178" s="774"/>
      <c r="C178" s="283" t="s">
        <v>206</v>
      </c>
      <c r="D178" s="283" t="s">
        <v>406</v>
      </c>
      <c r="E178" s="299" t="s">
        <v>1333</v>
      </c>
      <c r="F178" s="287" t="str">
        <f t="shared" si="7"/>
        <v xml:space="preserve">Pelletfeuerung </v>
      </c>
    </row>
    <row r="179" spans="2:6">
      <c r="B179" s="774"/>
      <c r="C179" s="283" t="s">
        <v>224</v>
      </c>
      <c r="D179" s="283" t="s">
        <v>405</v>
      </c>
      <c r="E179" s="299" t="s">
        <v>1334</v>
      </c>
      <c r="F179" s="287" t="str">
        <f t="shared" si="7"/>
        <v xml:space="preserve">Fernwärme (CH-Durchschnitt) </v>
      </c>
    </row>
    <row r="180" spans="2:6">
      <c r="B180" s="774"/>
      <c r="C180" s="283" t="s">
        <v>207</v>
      </c>
      <c r="D180" s="283" t="s">
        <v>403</v>
      </c>
      <c r="E180" s="299" t="s">
        <v>1335</v>
      </c>
      <c r="F180" s="287" t="str">
        <f t="shared" si="7"/>
        <v xml:space="preserve">Elektrospeicher-Zentralheizung </v>
      </c>
    </row>
    <row r="181" spans="2:6">
      <c r="B181" s="774"/>
      <c r="C181" s="283" t="s">
        <v>208</v>
      </c>
      <c r="D181" s="283" t="s">
        <v>437</v>
      </c>
      <c r="E181" s="283" t="s">
        <v>1336</v>
      </c>
      <c r="F181" s="287" t="str">
        <f t="shared" si="7"/>
        <v xml:space="preserve">Elektro direkt </v>
      </c>
    </row>
    <row r="182" spans="2:6">
      <c r="B182" s="774"/>
      <c r="C182" s="283" t="s">
        <v>225</v>
      </c>
      <c r="D182" s="283" t="s">
        <v>438</v>
      </c>
      <c r="E182" s="299" t="s">
        <v>1410</v>
      </c>
      <c r="F182" s="287" t="str">
        <f t="shared" si="7"/>
        <v xml:space="preserve">WKK, thermischer Nutzungsgrad </v>
      </c>
    </row>
    <row r="183" spans="2:6">
      <c r="B183" s="774"/>
      <c r="C183" s="283" t="s">
        <v>211</v>
      </c>
      <c r="D183" s="283" t="s">
        <v>409</v>
      </c>
      <c r="E183" s="283" t="s">
        <v>1337</v>
      </c>
      <c r="F183" s="287" t="str">
        <f t="shared" si="7"/>
        <v>Solarenergie thermisch</v>
      </c>
    </row>
    <row r="184" spans="2:6">
      <c r="B184" s="774"/>
      <c r="C184" s="283" t="s">
        <v>353</v>
      </c>
      <c r="D184" s="283" t="s">
        <v>368</v>
      </c>
      <c r="E184" s="283" t="s">
        <v>1338</v>
      </c>
      <c r="F184" s="287" t="str">
        <f t="shared" si="7"/>
        <v>Wärmepumpe Aussenluft 35°C</v>
      </c>
    </row>
    <row r="185" spans="2:6">
      <c r="B185" s="774"/>
      <c r="C185" s="283" t="s">
        <v>354</v>
      </c>
      <c r="D185" s="283" t="s">
        <v>369</v>
      </c>
      <c r="E185" s="283" t="s">
        <v>1339</v>
      </c>
      <c r="F185" s="287" t="str">
        <f t="shared" si="7"/>
        <v>Wärmepumpe Aussenluft 50°C</v>
      </c>
    </row>
    <row r="186" spans="2:6">
      <c r="B186" s="774"/>
      <c r="C186" s="283" t="s">
        <v>355</v>
      </c>
      <c r="D186" s="283" t="s">
        <v>429</v>
      </c>
      <c r="E186" s="283" t="s">
        <v>1340</v>
      </c>
      <c r="F186" s="287" t="str">
        <f t="shared" si="7"/>
        <v>Wärmepumpe Erdsonden 35°C</v>
      </c>
    </row>
    <row r="187" spans="2:6">
      <c r="B187" s="774"/>
      <c r="C187" s="283" t="s">
        <v>356</v>
      </c>
      <c r="D187" s="283" t="s">
        <v>430</v>
      </c>
      <c r="E187" s="283" t="s">
        <v>1341</v>
      </c>
      <c r="F187" s="287" t="str">
        <f t="shared" si="7"/>
        <v>Wärmepumpe Erdsonden 50°C</v>
      </c>
    </row>
    <row r="188" spans="2:6">
      <c r="B188" s="774"/>
      <c r="C188" s="283" t="s">
        <v>357</v>
      </c>
      <c r="D188" s="283" t="s">
        <v>410</v>
      </c>
      <c r="E188" s="283" t="s">
        <v>1342</v>
      </c>
      <c r="F188" s="287" t="str">
        <f t="shared" si="7"/>
        <v>Wärmepumpe Grundwasser 35°C</v>
      </c>
    </row>
    <row r="189" spans="2:6">
      <c r="B189" s="774"/>
      <c r="C189" s="283" t="s">
        <v>358</v>
      </c>
      <c r="D189" s="283" t="s">
        <v>411</v>
      </c>
      <c r="E189" s="283" t="s">
        <v>1343</v>
      </c>
      <c r="F189" s="287" t="str">
        <f t="shared" si="7"/>
        <v>Wärmepumpe Grundwasser 50°C</v>
      </c>
    </row>
    <row r="190" spans="2:6">
      <c r="B190" s="774"/>
      <c r="C190" s="283"/>
      <c r="D190" s="283"/>
      <c r="E190" s="283"/>
      <c r="F190" s="287">
        <f t="shared" si="7"/>
        <v>0</v>
      </c>
    </row>
    <row r="191" spans="2:6">
      <c r="B191" s="774"/>
      <c r="C191" s="283" t="s">
        <v>468</v>
      </c>
      <c r="D191" s="283" t="s">
        <v>365</v>
      </c>
      <c r="E191" s="283" t="s">
        <v>1344</v>
      </c>
      <c r="F191" s="287" t="str">
        <f t="shared" si="7"/>
        <v>Warmwassererzeugung</v>
      </c>
    </row>
    <row r="192" spans="2:6">
      <c r="B192" s="774"/>
      <c r="C192" s="283" t="s">
        <v>204</v>
      </c>
      <c r="D192" s="283" t="s">
        <v>412</v>
      </c>
      <c r="E192" s="299" t="s">
        <v>1329</v>
      </c>
      <c r="F192" s="287" t="str">
        <f t="shared" si="7"/>
        <v xml:space="preserve">Ölfeuerung kondensierend </v>
      </c>
    </row>
    <row r="193" spans="2:6">
      <c r="B193" s="774"/>
      <c r="C193" s="283" t="s">
        <v>205</v>
      </c>
      <c r="D193" s="283" t="s">
        <v>402</v>
      </c>
      <c r="E193" s="299" t="s">
        <v>1330</v>
      </c>
      <c r="F193" s="287" t="str">
        <f t="shared" si="7"/>
        <v xml:space="preserve">Gasfeuerung kondensierend </v>
      </c>
    </row>
    <row r="194" spans="2:6">
      <c r="B194" s="774"/>
      <c r="C194" s="283" t="s">
        <v>222</v>
      </c>
      <c r="D194" s="283" t="s">
        <v>401</v>
      </c>
      <c r="E194" s="283" t="s">
        <v>1331</v>
      </c>
      <c r="F194" s="287" t="str">
        <f t="shared" si="7"/>
        <v>Stückholzfeuerung</v>
      </c>
    </row>
    <row r="195" spans="2:6">
      <c r="B195" s="774"/>
      <c r="C195" s="283" t="s">
        <v>223</v>
      </c>
      <c r="D195" s="283" t="s">
        <v>404</v>
      </c>
      <c r="E195" s="283" t="s">
        <v>1332</v>
      </c>
      <c r="F195" s="287" t="str">
        <f t="shared" si="7"/>
        <v xml:space="preserve">Hackschnitzelfeuerung </v>
      </c>
    </row>
    <row r="196" spans="2:6">
      <c r="B196" s="774"/>
      <c r="C196" s="283" t="s">
        <v>206</v>
      </c>
      <c r="D196" s="283" t="s">
        <v>406</v>
      </c>
      <c r="E196" s="299" t="s">
        <v>1333</v>
      </c>
      <c r="F196" s="287" t="str">
        <f t="shared" si="7"/>
        <v xml:space="preserve">Pelletfeuerung </v>
      </c>
    </row>
    <row r="197" spans="2:6">
      <c r="B197" s="774"/>
      <c r="C197" s="283" t="s">
        <v>224</v>
      </c>
      <c r="D197" s="283" t="s">
        <v>405</v>
      </c>
      <c r="E197" s="299" t="s">
        <v>1334</v>
      </c>
      <c r="F197" s="287" t="str">
        <f t="shared" si="7"/>
        <v xml:space="preserve">Fernwärme (CH-Durchschnitt) </v>
      </c>
    </row>
    <row r="198" spans="2:6">
      <c r="B198" s="774"/>
      <c r="C198" s="283" t="s">
        <v>209</v>
      </c>
      <c r="D198" s="283" t="s">
        <v>407</v>
      </c>
      <c r="E198" s="299" t="s">
        <v>1345</v>
      </c>
      <c r="F198" s="287" t="str">
        <f t="shared" si="7"/>
        <v xml:space="preserve">Elekro-Wassererwärmer </v>
      </c>
    </row>
    <row r="199" spans="2:6">
      <c r="B199" s="774"/>
      <c r="C199" s="283" t="s">
        <v>210</v>
      </c>
      <c r="D199" s="283" t="s">
        <v>408</v>
      </c>
      <c r="E199" s="299" t="s">
        <v>1346</v>
      </c>
      <c r="F199" s="287" t="str">
        <f t="shared" si="7"/>
        <v xml:space="preserve">Gas-Wassererwärmer </v>
      </c>
    </row>
    <row r="200" spans="2:6">
      <c r="B200" s="774"/>
      <c r="C200" s="283" t="s">
        <v>211</v>
      </c>
      <c r="D200" s="283" t="s">
        <v>409</v>
      </c>
      <c r="E200" s="283" t="s">
        <v>1337</v>
      </c>
      <c r="F200" s="287" t="str">
        <f t="shared" si="7"/>
        <v>Solarenergie thermisch</v>
      </c>
    </row>
    <row r="201" spans="2:6">
      <c r="B201" s="774"/>
      <c r="C201" s="283" t="s">
        <v>225</v>
      </c>
      <c r="D201" s="283" t="s">
        <v>438</v>
      </c>
      <c r="E201" s="299" t="s">
        <v>1410</v>
      </c>
      <c r="F201" s="287" t="str">
        <f t="shared" si="7"/>
        <v xml:space="preserve">WKK, thermischer Nutzungsgrad </v>
      </c>
    </row>
    <row r="202" spans="2:6">
      <c r="B202" s="774"/>
      <c r="C202" s="283" t="s">
        <v>359</v>
      </c>
      <c r="D202" s="283" t="s">
        <v>574</v>
      </c>
      <c r="E202" s="283" t="s">
        <v>1347</v>
      </c>
      <c r="F202" s="287" t="str">
        <f t="shared" si="7"/>
        <v>Wärmepumpe Aussenluft</v>
      </c>
    </row>
    <row r="203" spans="2:6">
      <c r="B203" s="774"/>
      <c r="C203" s="283" t="s">
        <v>360</v>
      </c>
      <c r="D203" s="283" t="s">
        <v>575</v>
      </c>
      <c r="E203" s="283" t="s">
        <v>1348</v>
      </c>
      <c r="F203" s="287" t="str">
        <f t="shared" si="7"/>
        <v>Wärmepumpe Erdsonden</v>
      </c>
    </row>
    <row r="204" spans="2:6">
      <c r="B204" s="774"/>
      <c r="C204" s="283" t="s">
        <v>361</v>
      </c>
      <c r="D204" s="283" t="s">
        <v>576</v>
      </c>
      <c r="E204" s="283" t="s">
        <v>1349</v>
      </c>
      <c r="F204" s="287" t="str">
        <f t="shared" si="7"/>
        <v>Wärmepumpe Grundwasser</v>
      </c>
    </row>
    <row r="205" spans="2:6">
      <c r="B205" s="774"/>
      <c r="C205" s="283" t="s">
        <v>648</v>
      </c>
      <c r="D205" s="283" t="s">
        <v>1195</v>
      </c>
      <c r="E205" s="283" t="s">
        <v>1196</v>
      </c>
      <c r="F205" s="287" t="str">
        <f t="shared" si="7"/>
        <v>einstufig</v>
      </c>
    </row>
    <row r="206" spans="2:6">
      <c r="B206" s="774"/>
      <c r="C206" s="283" t="s">
        <v>649</v>
      </c>
      <c r="D206" s="283" t="s">
        <v>1197</v>
      </c>
      <c r="E206" s="283" t="s">
        <v>1198</v>
      </c>
      <c r="F206" s="287" t="str">
        <f t="shared" si="7"/>
        <v>zweistufig</v>
      </c>
    </row>
    <row r="207" spans="2:6">
      <c r="B207" s="774"/>
      <c r="C207" s="283" t="s">
        <v>650</v>
      </c>
      <c r="D207" s="283" t="s">
        <v>1199</v>
      </c>
      <c r="E207" s="283" t="s">
        <v>1200</v>
      </c>
      <c r="F207" s="287" t="str">
        <f t="shared" si="7"/>
        <v>stufenlos</v>
      </c>
    </row>
    <row r="208" spans="2:6">
      <c r="B208" s="774"/>
      <c r="C208" s="283"/>
      <c r="D208" s="283"/>
      <c r="E208" s="283"/>
      <c r="F208" s="287">
        <f t="shared" si="7"/>
        <v>0</v>
      </c>
    </row>
    <row r="209" spans="1:6">
      <c r="A209" s="233" t="s">
        <v>540</v>
      </c>
      <c r="B209" s="774"/>
      <c r="C209" s="169" t="s">
        <v>469</v>
      </c>
      <c r="D209" s="283" t="s">
        <v>591</v>
      </c>
      <c r="E209" s="283" t="s">
        <v>1397</v>
      </c>
      <c r="F209" s="287" t="str">
        <f t="shared" si="7"/>
        <v>Aufheizzeit Warmwasser pro Tag:</v>
      </c>
    </row>
    <row r="210" spans="1:6">
      <c r="B210" s="774"/>
      <c r="C210" s="283" t="s">
        <v>472</v>
      </c>
      <c r="D210" s="283" t="s">
        <v>366</v>
      </c>
      <c r="E210" s="283" t="s">
        <v>1350</v>
      </c>
      <c r="F210" s="287" t="str">
        <f t="shared" si="7"/>
        <v>Elektrizitätserzeugung</v>
      </c>
    </row>
    <row r="211" spans="1:6">
      <c r="B211" s="774"/>
      <c r="C211" s="299" t="s">
        <v>257</v>
      </c>
      <c r="D211" s="824" t="s">
        <v>1169</v>
      </c>
      <c r="E211" s="299" t="s">
        <v>1351</v>
      </c>
      <c r="F211" s="287" t="str">
        <f t="shared" si="7"/>
        <v>Installierte Leistung</v>
      </c>
    </row>
    <row r="212" spans="1:6">
      <c r="B212" s="774"/>
      <c r="C212" s="299" t="s">
        <v>1112</v>
      </c>
      <c r="D212" s="824" t="s">
        <v>1170</v>
      </c>
      <c r="E212" s="299" t="s">
        <v>1352</v>
      </c>
      <c r="F212" s="287" t="str">
        <f t="shared" si="7"/>
        <v>Generatorwirkungsgrad</v>
      </c>
    </row>
    <row r="213" spans="1:6">
      <c r="B213" s="774"/>
      <c r="C213" s="299" t="s">
        <v>1113</v>
      </c>
      <c r="D213" s="824" t="s">
        <v>1171</v>
      </c>
      <c r="E213" s="299" t="s">
        <v>1353</v>
      </c>
      <c r="F213" s="287" t="str">
        <f t="shared" si="7"/>
        <v>Syst. Nutzungsggrad</v>
      </c>
    </row>
    <row r="214" spans="1:6">
      <c r="B214" s="774"/>
      <c r="C214" s="299" t="s">
        <v>183</v>
      </c>
      <c r="D214" s="824" t="s">
        <v>389</v>
      </c>
      <c r="E214" s="299" t="s">
        <v>390</v>
      </c>
      <c r="F214" s="287" t="str">
        <f t="shared" si="7"/>
        <v>Volllaststunden</v>
      </c>
    </row>
    <row r="215" spans="1:6">
      <c r="B215" s="774"/>
      <c r="C215" s="299" t="s">
        <v>261</v>
      </c>
      <c r="D215" s="824" t="s">
        <v>1172</v>
      </c>
      <c r="E215" s="299" t="s">
        <v>1354</v>
      </c>
      <c r="F215" s="287" t="str">
        <f t="shared" si="7"/>
        <v>Eingaben Photovoltaik</v>
      </c>
    </row>
    <row r="216" spans="1:6">
      <c r="B216" s="774"/>
      <c r="C216" s="299" t="s">
        <v>258</v>
      </c>
      <c r="D216" s="824" t="s">
        <v>1173</v>
      </c>
      <c r="E216" s="299" t="s">
        <v>1355</v>
      </c>
      <c r="F216" s="287" t="str">
        <f t="shared" si="7"/>
        <v>Produzierte Energie</v>
      </c>
    </row>
    <row r="217" spans="1:6">
      <c r="B217" s="774"/>
      <c r="C217" s="299" t="s">
        <v>256</v>
      </c>
      <c r="D217" s="824" t="s">
        <v>1131</v>
      </c>
      <c r="E217" s="299" t="s">
        <v>1284</v>
      </c>
      <c r="F217" s="287" t="str">
        <f t="shared" si="7"/>
        <v>Anlagentyp</v>
      </c>
    </row>
    <row r="218" spans="1:6">
      <c r="B218" s="774"/>
      <c r="C218" s="299" t="s">
        <v>259</v>
      </c>
      <c r="D218" s="824" t="s">
        <v>1174</v>
      </c>
      <c r="E218" s="299" t="s">
        <v>1356</v>
      </c>
      <c r="F218" s="287" t="str">
        <f t="shared" si="7"/>
        <v>elektr.</v>
      </c>
    </row>
    <row r="219" spans="1:6">
      <c r="B219" s="774"/>
      <c r="C219" s="299" t="s">
        <v>260</v>
      </c>
      <c r="D219" s="824" t="s">
        <v>1175</v>
      </c>
      <c r="E219" s="299" t="s">
        <v>1357</v>
      </c>
      <c r="F219" s="287" t="str">
        <f t="shared" si="7"/>
        <v>therm.</v>
      </c>
    </row>
    <row r="220" spans="1:6">
      <c r="B220" s="774"/>
      <c r="C220" s="299" t="s">
        <v>262</v>
      </c>
      <c r="D220" s="824" t="s">
        <v>1176</v>
      </c>
      <c r="E220" s="299" t="s">
        <v>1358</v>
      </c>
      <c r="F220" s="287" t="str">
        <f t="shared" si="7"/>
        <v>Orient.</v>
      </c>
    </row>
    <row r="221" spans="1:6">
      <c r="B221" s="774"/>
      <c r="C221" s="299" t="s">
        <v>252</v>
      </c>
      <c r="D221" s="824" t="s">
        <v>252</v>
      </c>
      <c r="E221" s="299" t="s">
        <v>252</v>
      </c>
      <c r="F221" s="287" t="str">
        <f t="shared" si="7"/>
        <v>Azimut</v>
      </c>
    </row>
    <row r="222" spans="1:6">
      <c r="B222" s="774"/>
      <c r="C222" s="299" t="s">
        <v>264</v>
      </c>
      <c r="D222" s="824" t="s">
        <v>1177</v>
      </c>
      <c r="E222" s="299" t="s">
        <v>1359</v>
      </c>
      <c r="F222" s="287" t="str">
        <f t="shared" si="7"/>
        <v>Faktor</v>
      </c>
    </row>
    <row r="223" spans="1:6">
      <c r="B223" s="774"/>
      <c r="C223" s="299" t="s">
        <v>245</v>
      </c>
      <c r="D223" s="824" t="s">
        <v>1178</v>
      </c>
      <c r="E223" s="299" t="s">
        <v>1360</v>
      </c>
      <c r="F223" s="287" t="str">
        <f t="shared" si="7"/>
        <v>PV-Anlage</v>
      </c>
    </row>
    <row r="224" spans="1:6">
      <c r="B224" s="774"/>
      <c r="C224" s="299" t="s">
        <v>1114</v>
      </c>
      <c r="D224" s="824" t="s">
        <v>1179</v>
      </c>
      <c r="E224" s="299" t="s">
        <v>1398</v>
      </c>
      <c r="F224" s="287" t="str">
        <f t="shared" si="7"/>
        <v>WKK-Erdgas</v>
      </c>
    </row>
    <row r="225" spans="1:6">
      <c r="B225" s="774"/>
      <c r="C225" s="299" t="s">
        <v>246</v>
      </c>
      <c r="D225" s="824" t="s">
        <v>1180</v>
      </c>
      <c r="E225" s="299" t="s">
        <v>1399</v>
      </c>
      <c r="F225" s="287" t="str">
        <f t="shared" si="7"/>
        <v>WKK-Biogas</v>
      </c>
    </row>
    <row r="226" spans="1:6">
      <c r="B226" s="774"/>
      <c r="C226" s="283"/>
      <c r="D226" s="299"/>
      <c r="E226" s="283"/>
      <c r="F226" s="287">
        <f t="shared" si="7"/>
        <v>0</v>
      </c>
    </row>
    <row r="227" spans="1:6">
      <c r="B227" s="774"/>
      <c r="C227" s="283"/>
      <c r="D227" s="299"/>
      <c r="E227" s="283"/>
      <c r="F227" s="287">
        <f t="shared" si="7"/>
        <v>0</v>
      </c>
    </row>
    <row r="228" spans="1:6">
      <c r="B228" s="774"/>
      <c r="C228" s="283"/>
      <c r="D228" s="299"/>
      <c r="E228" s="283"/>
      <c r="F228" s="287">
        <f t="shared" si="7"/>
        <v>0</v>
      </c>
    </row>
    <row r="229" spans="1:6">
      <c r="B229" s="774"/>
      <c r="C229" s="283"/>
      <c r="D229" s="299"/>
      <c r="E229" s="283"/>
      <c r="F229" s="287">
        <f t="shared" ref="F229:F230" si="8">IF($D$1=1,C229,IF($D$1=2,D229,E229))</f>
        <v>0</v>
      </c>
    </row>
    <row r="230" spans="1:6">
      <c r="A230" s="233" t="s">
        <v>1072</v>
      </c>
      <c r="B230" s="774"/>
      <c r="C230" s="299" t="s">
        <v>658</v>
      </c>
      <c r="D230" s="824" t="s">
        <v>1181</v>
      </c>
      <c r="E230" s="299" t="s">
        <v>1361</v>
      </c>
      <c r="F230" s="287" t="str">
        <f t="shared" si="8"/>
        <v>Nationale Energie-Kennzahl</v>
      </c>
    </row>
    <row r="231" spans="1:6">
      <c r="B231" s="774"/>
      <c r="C231" s="283" t="s">
        <v>76</v>
      </c>
      <c r="D231" s="283" t="s">
        <v>400</v>
      </c>
      <c r="E231" s="283" t="s">
        <v>449</v>
      </c>
      <c r="F231" s="287" t="str">
        <f t="shared" ref="F231:F266" si="9">IF($D$1=1,C231,IF($D$1=2,D231,E231))</f>
        <v>Primärenergie nicht erneuerbar</v>
      </c>
    </row>
    <row r="232" spans="1:6">
      <c r="B232" s="774"/>
      <c r="C232" s="283" t="s">
        <v>77</v>
      </c>
      <c r="D232" s="283" t="s">
        <v>370</v>
      </c>
      <c r="E232" s="283" t="s">
        <v>450</v>
      </c>
      <c r="F232" s="287" t="str">
        <f t="shared" si="9"/>
        <v>Treibhausgasemissionen</v>
      </c>
    </row>
    <row r="233" spans="1:6">
      <c r="B233" s="774"/>
      <c r="C233" s="283" t="s">
        <v>184</v>
      </c>
      <c r="D233" s="283" t="s">
        <v>1405</v>
      </c>
      <c r="E233" s="283" t="s">
        <v>1404</v>
      </c>
      <c r="F233" s="287" t="str">
        <f t="shared" si="9"/>
        <v>Primärenergie nicht ern.</v>
      </c>
    </row>
    <row r="234" spans="1:6">
      <c r="B234" s="774"/>
      <c r="C234" s="283" t="s">
        <v>226</v>
      </c>
      <c r="D234" s="283" t="s">
        <v>424</v>
      </c>
      <c r="E234" s="283" t="s">
        <v>460</v>
      </c>
      <c r="F234" s="287" t="str">
        <f t="shared" si="9"/>
        <v>Elektrische Energie</v>
      </c>
    </row>
    <row r="235" spans="1:6">
      <c r="B235" s="774"/>
      <c r="C235" s="283" t="s">
        <v>162</v>
      </c>
      <c r="D235" s="283" t="s">
        <v>425</v>
      </c>
      <c r="E235" s="283" t="s">
        <v>459</v>
      </c>
      <c r="F235" s="287" t="str">
        <f t="shared" si="9"/>
        <v>Thermische Nutzenergie</v>
      </c>
    </row>
    <row r="236" spans="1:6">
      <c r="B236" s="774"/>
      <c r="C236" s="283"/>
      <c r="D236" s="283"/>
      <c r="E236" s="283"/>
      <c r="F236" s="287">
        <f t="shared" si="9"/>
        <v>0</v>
      </c>
    </row>
    <row r="237" spans="1:6">
      <c r="B237" s="774"/>
      <c r="C237" s="283" t="s">
        <v>97</v>
      </c>
      <c r="D237" s="283" t="s">
        <v>426</v>
      </c>
      <c r="E237" s="299" t="s">
        <v>1362</v>
      </c>
      <c r="F237" s="287" t="str">
        <f t="shared" si="9"/>
        <v>Wertebereich</v>
      </c>
    </row>
    <row r="238" spans="1:6">
      <c r="B238" s="774"/>
      <c r="C238" s="283" t="s">
        <v>172</v>
      </c>
      <c r="D238" s="824" t="s">
        <v>1182</v>
      </c>
      <c r="E238" s="283" t="s">
        <v>1363</v>
      </c>
      <c r="F238" s="287" t="str">
        <f t="shared" si="9"/>
        <v>Auswahlfelder</v>
      </c>
    </row>
    <row r="239" spans="1:6">
      <c r="B239" s="774"/>
      <c r="C239" s="283" t="s">
        <v>173</v>
      </c>
      <c r="D239" s="283" t="s">
        <v>427</v>
      </c>
      <c r="E239" s="283" t="s">
        <v>1364</v>
      </c>
      <c r="F239" s="287" t="str">
        <f t="shared" si="9"/>
        <v>Eingabefelder</v>
      </c>
    </row>
    <row r="240" spans="1:6">
      <c r="B240" s="774"/>
      <c r="C240" s="830" t="s">
        <v>642</v>
      </c>
      <c r="D240" s="824" t="s">
        <v>1203</v>
      </c>
      <c r="E240" s="921" t="s">
        <v>1400</v>
      </c>
      <c r="F240" s="287" t="str">
        <f t="shared" si="9"/>
        <v>Allg. Gebäudetechnik</v>
      </c>
    </row>
    <row r="241" spans="2:6">
      <c r="B241" s="774"/>
      <c r="C241" s="299" t="s">
        <v>602</v>
      </c>
      <c r="D241" s="824" t="s">
        <v>1204</v>
      </c>
      <c r="E241" s="921" t="s">
        <v>1401</v>
      </c>
      <c r="F241" s="287" t="str">
        <f t="shared" si="9"/>
        <v>Prozessanlagen</v>
      </c>
    </row>
    <row r="242" spans="2:6">
      <c r="B242" s="774"/>
      <c r="C242" s="283" t="s">
        <v>91</v>
      </c>
      <c r="D242" s="283" t="s">
        <v>473</v>
      </c>
      <c r="E242" s="283" t="s">
        <v>1365</v>
      </c>
      <c r="F242" s="287" t="str">
        <f t="shared" si="9"/>
        <v>Hilfsenergie (%)</v>
      </c>
    </row>
    <row r="243" spans="2:6">
      <c r="B243" s="774"/>
      <c r="C243" s="283" t="s">
        <v>154</v>
      </c>
      <c r="D243" s="283" t="s">
        <v>386</v>
      </c>
      <c r="E243" s="299" t="s">
        <v>1366</v>
      </c>
      <c r="F243" s="287" t="str">
        <f t="shared" si="9"/>
        <v>Erzeugertyp</v>
      </c>
    </row>
    <row r="244" spans="2:6">
      <c r="B244" s="774"/>
      <c r="C244" s="283" t="s">
        <v>81</v>
      </c>
      <c r="D244" s="283" t="s">
        <v>428</v>
      </c>
      <c r="E244" s="283" t="s">
        <v>451</v>
      </c>
      <c r="F244" s="287" t="str">
        <f t="shared" si="9"/>
        <v>Nutzungsgrad</v>
      </c>
    </row>
    <row r="245" spans="2:6">
      <c r="B245" s="774"/>
      <c r="C245" s="299" t="s">
        <v>652</v>
      </c>
      <c r="D245" s="824" t="s">
        <v>383</v>
      </c>
      <c r="E245" s="283" t="s">
        <v>465</v>
      </c>
      <c r="F245" s="287" t="str">
        <f t="shared" si="9"/>
        <v>Deckungsgrad</v>
      </c>
    </row>
    <row r="246" spans="2:6">
      <c r="B246" s="774"/>
      <c r="C246" s="283" t="s">
        <v>220</v>
      </c>
      <c r="D246" s="283" t="s">
        <v>384</v>
      </c>
      <c r="E246" s="283" t="s">
        <v>1396</v>
      </c>
      <c r="F246" s="287" t="str">
        <f t="shared" si="9"/>
        <v>Speicher - und Verteilverluste</v>
      </c>
    </row>
    <row r="247" spans="2:6">
      <c r="B247" s="774"/>
      <c r="C247" s="283" t="s">
        <v>182</v>
      </c>
      <c r="D247" s="283" t="s">
        <v>385</v>
      </c>
      <c r="E247" s="283" t="s">
        <v>1367</v>
      </c>
      <c r="F247" s="287" t="str">
        <f t="shared" si="9"/>
        <v>Kälte (inkl. Verluste)</v>
      </c>
    </row>
    <row r="248" spans="2:6">
      <c r="B248" s="774"/>
      <c r="C248" s="283" t="s">
        <v>90</v>
      </c>
      <c r="D248" s="283" t="s">
        <v>382</v>
      </c>
      <c r="E248" s="283" t="s">
        <v>458</v>
      </c>
      <c r="F248" s="287" t="str">
        <f t="shared" si="9"/>
        <v>Endenergie</v>
      </c>
    </row>
    <row r="249" spans="2:6">
      <c r="B249" s="774"/>
      <c r="C249" s="283" t="s">
        <v>80</v>
      </c>
      <c r="D249" s="283" t="s">
        <v>381</v>
      </c>
      <c r="E249" s="283" t="s">
        <v>452</v>
      </c>
      <c r="F249" s="287" t="str">
        <f t="shared" si="9"/>
        <v>Hilfsenergie</v>
      </c>
    </row>
    <row r="250" spans="2:6">
      <c r="B250" s="774"/>
      <c r="C250" s="283" t="s">
        <v>183</v>
      </c>
      <c r="D250" s="283" t="s">
        <v>389</v>
      </c>
      <c r="E250" s="283" t="s">
        <v>390</v>
      </c>
      <c r="F250" s="287" t="str">
        <f t="shared" si="9"/>
        <v>Volllaststunden</v>
      </c>
    </row>
    <row r="251" spans="2:6">
      <c r="B251" s="774"/>
      <c r="C251" s="283" t="s">
        <v>85</v>
      </c>
      <c r="D251" s="283" t="s">
        <v>1192</v>
      </c>
      <c r="E251" s="283" t="s">
        <v>1193</v>
      </c>
      <c r="F251" s="287" t="str">
        <f t="shared" si="9"/>
        <v>Energieträger</v>
      </c>
    </row>
    <row r="252" spans="2:6">
      <c r="B252" s="774"/>
      <c r="C252" s="283" t="s">
        <v>218</v>
      </c>
      <c r="D252" s="283" t="s">
        <v>399</v>
      </c>
      <c r="E252" s="283" t="s">
        <v>453</v>
      </c>
      <c r="F252" s="287" t="str">
        <f t="shared" si="9"/>
        <v>Energietr.</v>
      </c>
    </row>
    <row r="253" spans="2:6">
      <c r="B253" s="774"/>
      <c r="C253" s="283" t="s">
        <v>161</v>
      </c>
      <c r="D253" s="283" t="s">
        <v>397</v>
      </c>
      <c r="E253" s="283" t="s">
        <v>1368</v>
      </c>
      <c r="F253" s="287" t="str">
        <f t="shared" si="9"/>
        <v>Wärme (inkl. Verluste)</v>
      </c>
    </row>
    <row r="254" spans="2:6">
      <c r="B254" s="774"/>
      <c r="C254" s="283" t="s">
        <v>170</v>
      </c>
      <c r="D254" s="283" t="s">
        <v>396</v>
      </c>
      <c r="E254" s="283" t="s">
        <v>1369</v>
      </c>
      <c r="F254" s="287" t="str">
        <f t="shared" si="9"/>
        <v>Gewichtete Energie</v>
      </c>
    </row>
    <row r="255" spans="2:6">
      <c r="B255" s="774"/>
      <c r="C255" s="283" t="s">
        <v>1214</v>
      </c>
      <c r="D255" s="283" t="s">
        <v>1215</v>
      </c>
      <c r="E255" s="283" t="s">
        <v>1216</v>
      </c>
      <c r="F255" s="287" t="str">
        <f t="shared" si="9"/>
        <v>Energiebilanz pro Verwendungszweck</v>
      </c>
    </row>
    <row r="256" spans="2:6">
      <c r="B256" s="774"/>
      <c r="C256" s="283" t="s">
        <v>467</v>
      </c>
      <c r="D256" s="283" t="s">
        <v>564</v>
      </c>
      <c r="E256" s="283" t="s">
        <v>1370</v>
      </c>
      <c r="F256" s="287" t="str">
        <f t="shared" si="9"/>
        <v>Anteil der Raumnutzflächen</v>
      </c>
    </row>
    <row r="257" spans="2:6">
      <c r="B257" s="774"/>
      <c r="C257" s="283" t="s">
        <v>82</v>
      </c>
      <c r="D257" s="283" t="s">
        <v>394</v>
      </c>
      <c r="E257" s="283" t="s">
        <v>457</v>
      </c>
      <c r="F257" s="287" t="str">
        <f t="shared" si="9"/>
        <v>Elektrizität</v>
      </c>
    </row>
    <row r="258" spans="2:6">
      <c r="B258" s="774"/>
      <c r="C258" s="283" t="s">
        <v>87</v>
      </c>
      <c r="D258" s="283" t="s">
        <v>433</v>
      </c>
      <c r="E258" s="283" t="s">
        <v>456</v>
      </c>
      <c r="F258" s="287" t="str">
        <f t="shared" si="9"/>
        <v>Heizöl EL</v>
      </c>
    </row>
    <row r="259" spans="2:6">
      <c r="B259" s="774"/>
      <c r="C259" s="283" t="s">
        <v>83</v>
      </c>
      <c r="D259" s="283" t="s">
        <v>393</v>
      </c>
      <c r="E259" s="283" t="s">
        <v>455</v>
      </c>
      <c r="F259" s="287" t="str">
        <f t="shared" si="9"/>
        <v>Erdgas</v>
      </c>
    </row>
    <row r="260" spans="2:6">
      <c r="B260" s="774"/>
      <c r="C260" s="283" t="s">
        <v>79</v>
      </c>
      <c r="D260" s="283" t="s">
        <v>79</v>
      </c>
      <c r="E260" s="283" t="s">
        <v>79</v>
      </c>
      <c r="F260" s="287" t="str">
        <f t="shared" si="9"/>
        <v>Pellets</v>
      </c>
    </row>
    <row r="261" spans="2:6">
      <c r="B261" s="774"/>
      <c r="C261" s="283" t="s">
        <v>362</v>
      </c>
      <c r="D261" s="283" t="s">
        <v>436</v>
      </c>
      <c r="E261" s="283" t="s">
        <v>454</v>
      </c>
      <c r="F261" s="287" t="str">
        <f t="shared" si="9"/>
        <v>Holz</v>
      </c>
    </row>
    <row r="262" spans="2:6">
      <c r="B262" s="774"/>
      <c r="C262" s="283" t="s">
        <v>86</v>
      </c>
      <c r="D262" s="283" t="s">
        <v>395</v>
      </c>
      <c r="E262" s="283" t="s">
        <v>463</v>
      </c>
      <c r="F262" s="287" t="str">
        <f t="shared" si="9"/>
        <v>Holzschnitzel</v>
      </c>
    </row>
    <row r="263" spans="2:6">
      <c r="B263" s="774"/>
      <c r="C263" s="283" t="s">
        <v>163</v>
      </c>
      <c r="D263" s="283" t="s">
        <v>432</v>
      </c>
      <c r="E263" s="283" t="s">
        <v>565</v>
      </c>
      <c r="F263" s="287" t="str">
        <f t="shared" si="9"/>
        <v>Stückholz</v>
      </c>
    </row>
    <row r="264" spans="2:6">
      <c r="B264" s="774"/>
      <c r="C264" s="283" t="s">
        <v>164</v>
      </c>
      <c r="D264" s="283" t="s">
        <v>392</v>
      </c>
      <c r="E264" s="283" t="s">
        <v>164</v>
      </c>
      <c r="F264" s="287" t="str">
        <f t="shared" si="9"/>
        <v>Biogas</v>
      </c>
    </row>
    <row r="265" spans="2:6">
      <c r="B265" s="774"/>
      <c r="C265" s="283" t="s">
        <v>169</v>
      </c>
      <c r="D265" s="283" t="s">
        <v>391</v>
      </c>
      <c r="E265" s="299" t="s">
        <v>1371</v>
      </c>
      <c r="F265" s="287" t="str">
        <f t="shared" si="9"/>
        <v>Fernwärme</v>
      </c>
    </row>
    <row r="266" spans="2:6">
      <c r="B266" s="774"/>
      <c r="C266" s="283" t="s">
        <v>474</v>
      </c>
      <c r="D266" s="283" t="s">
        <v>475</v>
      </c>
      <c r="E266" s="283" t="s">
        <v>476</v>
      </c>
      <c r="F266" s="287" t="str">
        <f t="shared" si="9"/>
        <v>Sonne</v>
      </c>
    </row>
    <row r="267" spans="2:6">
      <c r="B267" s="774"/>
      <c r="C267" s="283" t="s">
        <v>2</v>
      </c>
      <c r="D267" s="283" t="s">
        <v>337</v>
      </c>
      <c r="E267" s="283" t="s">
        <v>338</v>
      </c>
      <c r="F267" s="287" t="str">
        <f t="shared" ref="F267:F301" si="10">IF($D$1=1,C267,IF($D$1=2,D267,E267))</f>
        <v>Kühlung</v>
      </c>
    </row>
    <row r="268" spans="2:6">
      <c r="B268" s="774"/>
      <c r="C268" s="283" t="s">
        <v>1210</v>
      </c>
      <c r="D268" s="283" t="s">
        <v>1212</v>
      </c>
      <c r="E268" s="283" t="s">
        <v>1402</v>
      </c>
      <c r="F268" s="287" t="str">
        <f t="shared" si="10"/>
        <v>Kühlung (Raum, Luft)</v>
      </c>
    </row>
    <row r="269" spans="2:6">
      <c r="B269" s="774"/>
      <c r="C269" s="283" t="s">
        <v>4</v>
      </c>
      <c r="D269" s="283" t="s">
        <v>339</v>
      </c>
      <c r="E269" s="283" t="s">
        <v>340</v>
      </c>
      <c r="F269" s="287" t="str">
        <f t="shared" si="10"/>
        <v>Heizung</v>
      </c>
    </row>
    <row r="270" spans="2:6">
      <c r="B270" s="774"/>
      <c r="C270" s="283" t="s">
        <v>1211</v>
      </c>
      <c r="D270" s="283" t="s">
        <v>1213</v>
      </c>
      <c r="E270" s="283" t="s">
        <v>1403</v>
      </c>
      <c r="F270" s="287" t="str">
        <f t="shared" si="10"/>
        <v>Heizung (Raum, Luft)</v>
      </c>
    </row>
    <row r="271" spans="2:6">
      <c r="B271" s="774"/>
      <c r="C271" s="283"/>
      <c r="D271" s="283"/>
      <c r="E271" s="283"/>
      <c r="F271" s="287">
        <f t="shared" si="10"/>
        <v>0</v>
      </c>
    </row>
    <row r="272" spans="2:6" s="299" customFormat="1">
      <c r="B272" s="300"/>
    </row>
    <row r="273" spans="1:6" s="299" customFormat="1">
      <c r="B273" s="300"/>
      <c r="F273" s="287">
        <f t="shared" si="10"/>
        <v>0</v>
      </c>
    </row>
    <row r="274" spans="1:6" s="299" customFormat="1">
      <c r="B274" s="300"/>
      <c r="F274" s="287">
        <f t="shared" si="10"/>
        <v>0</v>
      </c>
    </row>
    <row r="275" spans="1:6" s="299" customFormat="1">
      <c r="B275" s="300"/>
      <c r="F275" s="287">
        <f t="shared" si="10"/>
        <v>0</v>
      </c>
    </row>
    <row r="276" spans="1:6">
      <c r="B276" s="774"/>
      <c r="C276" s="283"/>
      <c r="D276" s="283"/>
      <c r="E276" s="283"/>
      <c r="F276" s="287">
        <f t="shared" si="10"/>
        <v>0</v>
      </c>
    </row>
    <row r="277" spans="1:6" ht="14.15">
      <c r="A277" s="232" t="s">
        <v>561</v>
      </c>
      <c r="B277" s="774"/>
      <c r="C277" s="283"/>
      <c r="D277" s="283"/>
      <c r="E277" s="283"/>
      <c r="F277" s="287">
        <f t="shared" si="10"/>
        <v>0</v>
      </c>
    </row>
    <row r="278" spans="1:6">
      <c r="B278" s="774"/>
      <c r="C278" s="283" t="s">
        <v>580</v>
      </c>
      <c r="D278" s="283" t="s">
        <v>581</v>
      </c>
      <c r="E278" s="283" t="s">
        <v>582</v>
      </c>
      <c r="F278" s="287" t="str">
        <f t="shared" si="10"/>
        <v>SIA 2024 Gebäude-Tool</v>
      </c>
    </row>
    <row r="279" spans="1:6">
      <c r="B279" s="774"/>
      <c r="C279" s="283" t="s">
        <v>477</v>
      </c>
      <c r="D279" s="283" t="s">
        <v>583</v>
      </c>
      <c r="E279" s="283" t="s">
        <v>478</v>
      </c>
      <c r="F279" s="287" t="str">
        <f t="shared" si="10"/>
        <v>Anleitung - SIA 2024 Gebäude-Tool</v>
      </c>
    </row>
    <row r="280" spans="1:6">
      <c r="B280" s="774"/>
      <c r="C280" s="283" t="s">
        <v>266</v>
      </c>
      <c r="D280" s="283" t="s">
        <v>482</v>
      </c>
      <c r="E280" s="283" t="s">
        <v>483</v>
      </c>
      <c r="F280" s="287" t="str">
        <f t="shared" si="10"/>
        <v>Sprache</v>
      </c>
    </row>
    <row r="281" spans="1:6" ht="52.5" customHeight="1">
      <c r="B281" s="774"/>
      <c r="C281" s="284" t="s">
        <v>527</v>
      </c>
      <c r="D281" s="284" t="s">
        <v>528</v>
      </c>
      <c r="E281" s="832" t="s">
        <v>1372</v>
      </c>
      <c r="F281" s="290" t="str">
        <f t="shared" si="10"/>
        <v>Dieses Excel Tool ermöglicht die Abschätzung des Leistungs- und Energiebedarfs von Gebäuden in einer frühen Planungsphase. Bei der Anwendung sind zwingend die Festlegungen in SIA 2024 zu berücksichtigen.</v>
      </c>
    </row>
    <row r="282" spans="1:6" ht="78.75" customHeight="1">
      <c r="A282" s="233"/>
      <c r="B282" s="774"/>
      <c r="C282" s="284" t="s">
        <v>525</v>
      </c>
      <c r="D282" s="824" t="s">
        <v>1183</v>
      </c>
      <c r="E282" s="284" t="s">
        <v>1373</v>
      </c>
      <c r="F282" s="290" t="str">
        <f t="shared" si="10"/>
        <v xml:space="preserve">Das Merkblatt SIA 2024 dient der Vereinheitlichung von Annahmen über die Raumnutzungen. Diese Annahmen sollen bei den Berechnungen und Nachweisen nach den Normen der Energie- und Gebäudeteechnik verwendet werden, solange keine genaueren Angaben vorliegen. </v>
      </c>
    </row>
    <row r="283" spans="1:6" ht="61.5" customHeight="1">
      <c r="B283" s="774"/>
      <c r="C283" s="284" t="s">
        <v>572</v>
      </c>
      <c r="D283" s="824" t="s">
        <v>1184</v>
      </c>
      <c r="E283" s="284" t="s">
        <v>1374</v>
      </c>
      <c r="F283" s="290" t="str">
        <f t="shared" si="10"/>
        <v>Spätenstens im Bauprojekt müssen für die Dimensionierung der Anlagen die projektspezifischen Gebäudedaten, Nutzungsbedingungen und Bemessungskriterien festgelegt und festgehalten werden.</v>
      </c>
    </row>
    <row r="284" spans="1:6" ht="46.5" customHeight="1">
      <c r="B284" s="774"/>
      <c r="C284" s="284" t="s">
        <v>526</v>
      </c>
      <c r="D284" s="284" t="s">
        <v>592</v>
      </c>
      <c r="E284" s="284" t="s">
        <v>593</v>
      </c>
      <c r="F284" s="290" t="str">
        <f t="shared" si="10"/>
        <v xml:space="preserve">Für die Anzeige und den Ausdruck der Raumdatenblätter gemäss SIA 2024 steht unter www.energytools.ch das Excel Tool "SIA 2024 Raumdatenblätter" zur Verfügung. </v>
      </c>
    </row>
    <row r="285" spans="1:6" ht="46.5" customHeight="1">
      <c r="B285" s="774"/>
      <c r="C285" s="284" t="s">
        <v>590</v>
      </c>
      <c r="D285" s="824" t="s">
        <v>1185</v>
      </c>
      <c r="E285" s="284" t="s">
        <v>1375</v>
      </c>
      <c r="F285" s="290" t="str">
        <f t="shared" si="10"/>
        <v xml:space="preserve">Hinweis: In Excel müssen die Makros aktiviert werden, weitere Informationen finden Sie in der Hilfe Ihres Office-Programms. </v>
      </c>
    </row>
    <row r="286" spans="1:6">
      <c r="B286" s="774"/>
      <c r="C286" s="284" t="s">
        <v>529</v>
      </c>
      <c r="D286" s="284" t="s">
        <v>530</v>
      </c>
      <c r="E286" s="284" t="s">
        <v>594</v>
      </c>
      <c r="F286" s="290" t="str">
        <f t="shared" si="10"/>
        <v>Erste Schritte</v>
      </c>
    </row>
    <row r="287" spans="1:6">
      <c r="B287" s="774"/>
      <c r="C287" s="284" t="s">
        <v>554</v>
      </c>
      <c r="D287" s="284" t="s">
        <v>595</v>
      </c>
      <c r="E287" s="284" t="s">
        <v>1376</v>
      </c>
      <c r="F287" s="290" t="str">
        <f t="shared" si="10"/>
        <v>Schauen Sie sich die Beispiele "Büro" und "Wohnen" an.</v>
      </c>
    </row>
    <row r="288" spans="1:6" ht="57.75" customHeight="1">
      <c r="B288" s="774"/>
      <c r="C288" s="284" t="s">
        <v>555</v>
      </c>
      <c r="D288" s="284" t="s">
        <v>568</v>
      </c>
      <c r="E288" s="284" t="s">
        <v>596</v>
      </c>
      <c r="F288" s="290" t="str">
        <f t="shared" si="10"/>
        <v>Um ein neues Gebäude zu rechnen, erstellen Sie ein neues Eingabeblatt, indem Sie einen Blattnamen in die Eingabezeile unten eingeben und die "+" Schaltfläche drücken.</v>
      </c>
    </row>
    <row r="289" spans="2:6" ht="39.75" customHeight="1">
      <c r="B289" s="774"/>
      <c r="C289" s="284" t="s">
        <v>556</v>
      </c>
      <c r="D289" s="284" t="s">
        <v>569</v>
      </c>
      <c r="E289" s="284" t="s">
        <v>1377</v>
      </c>
      <c r="F289" s="290" t="str">
        <f t="shared" si="10"/>
        <v>Um bereits eingefügte Blätter zu löschen, geben Sie den Blattnamen erneut ein und drücken Sie die "-" Schaltfläche.</v>
      </c>
    </row>
    <row r="290" spans="2:6" ht="18.75" customHeight="1">
      <c r="B290" s="774"/>
      <c r="C290" s="284" t="s">
        <v>548</v>
      </c>
      <c r="D290" s="284" t="s">
        <v>549</v>
      </c>
      <c r="E290" s="284" t="s">
        <v>597</v>
      </c>
      <c r="F290" s="290" t="str">
        <f t="shared" si="10"/>
        <v>Blattname</v>
      </c>
    </row>
    <row r="291" spans="2:6">
      <c r="B291" s="774"/>
      <c r="C291" s="284" t="s">
        <v>545</v>
      </c>
      <c r="D291" s="284" t="s">
        <v>598</v>
      </c>
      <c r="E291" s="284" t="s">
        <v>599</v>
      </c>
      <c r="F291" s="290" t="str">
        <f t="shared" si="10"/>
        <v>Eingabedaten, die Sie brauchen um ein Projekt zu berechnen:</v>
      </c>
    </row>
    <row r="292" spans="2:6">
      <c r="B292" s="774"/>
      <c r="C292" s="284" t="s">
        <v>550</v>
      </c>
      <c r="D292" s="284" t="s">
        <v>600</v>
      </c>
      <c r="E292" s="284" t="s">
        <v>1378</v>
      </c>
      <c r="F292" s="290" t="str">
        <f t="shared" si="10"/>
        <v>geplante Raumnutzungen nach SIA 2024</v>
      </c>
    </row>
    <row r="293" spans="2:6">
      <c r="B293" s="774"/>
      <c r="C293" s="284" t="s">
        <v>557</v>
      </c>
      <c r="D293" s="284" t="s">
        <v>601</v>
      </c>
      <c r="E293" s="284" t="s">
        <v>1379</v>
      </c>
      <c r="F293" s="290" t="str">
        <f t="shared" si="10"/>
        <v>dazugehörige Nettogeschossflächen</v>
      </c>
    </row>
    <row r="294" spans="2:6">
      <c r="B294" s="774"/>
      <c r="C294" s="284" t="s">
        <v>558</v>
      </c>
      <c r="D294" s="284" t="s">
        <v>571</v>
      </c>
      <c r="E294" s="284" t="s">
        <v>1380</v>
      </c>
      <c r="F294" s="290" t="str">
        <f t="shared" si="10"/>
        <v>Anteil der Konstruktionsfläche an EBF</v>
      </c>
    </row>
    <row r="295" spans="2:6">
      <c r="B295" s="774"/>
      <c r="C295" s="284" t="s">
        <v>1217</v>
      </c>
      <c r="D295" s="284" t="s">
        <v>1220</v>
      </c>
      <c r="E295" s="284" t="s">
        <v>1221</v>
      </c>
      <c r="F295" s="290" t="str">
        <f t="shared" si="10"/>
        <v>geplante Lüftungsanlagen</v>
      </c>
    </row>
    <row r="296" spans="2:6">
      <c r="B296" s="774"/>
      <c r="C296" s="284" t="s">
        <v>546</v>
      </c>
      <c r="D296" s="284" t="s">
        <v>1218</v>
      </c>
      <c r="E296" s="284" t="s">
        <v>1384</v>
      </c>
      <c r="F296" s="290" t="str">
        <f t="shared" si="10"/>
        <v>geplante Wärme- und Kälteerzeuger</v>
      </c>
    </row>
    <row r="297" spans="2:6">
      <c r="B297" s="774"/>
      <c r="C297" s="284" t="s">
        <v>547</v>
      </c>
      <c r="D297" s="284" t="s">
        <v>1219</v>
      </c>
      <c r="E297" s="284" t="s">
        <v>1385</v>
      </c>
      <c r="F297" s="290" t="str">
        <f t="shared" si="10"/>
        <v>geplante Warmwassererzeuger</v>
      </c>
    </row>
    <row r="298" spans="2:6">
      <c r="B298" s="774"/>
      <c r="C298" s="284" t="s">
        <v>577</v>
      </c>
      <c r="D298" s="284" t="s">
        <v>586</v>
      </c>
      <c r="E298" s="284" t="s">
        <v>587</v>
      </c>
      <c r="F298" s="290" t="str">
        <f t="shared" si="10"/>
        <v>geplanter Baustandard:</v>
      </c>
    </row>
    <row r="299" spans="2:6" ht="24.9">
      <c r="B299" s="774"/>
      <c r="C299" s="284" t="s">
        <v>578</v>
      </c>
      <c r="D299" s="284" t="s">
        <v>585</v>
      </c>
      <c r="E299" s="284" t="s">
        <v>1381</v>
      </c>
      <c r="F299" s="290" t="str">
        <f t="shared" si="10"/>
        <v>Typische Planungswerte für Neubauten und Gesamterneuerungen, welche die SIA-Grenzwerte einhalten.</v>
      </c>
    </row>
    <row r="300" spans="2:6" ht="24.9">
      <c r="B300" s="774"/>
      <c r="C300" s="284" t="s">
        <v>579</v>
      </c>
      <c r="D300" s="284" t="s">
        <v>584</v>
      </c>
      <c r="E300" s="284" t="s">
        <v>1382</v>
      </c>
      <c r="F300" s="290" t="str">
        <f t="shared" si="10"/>
        <v>Optimale Planungswerte für Neubauten und Gesamterneuerungen, welche die SIA-Zielwerte einhalten.</v>
      </c>
    </row>
    <row r="301" spans="2:6" ht="24.9">
      <c r="B301" s="774"/>
      <c r="C301" s="284" t="s">
        <v>588</v>
      </c>
      <c r="D301" s="284" t="s">
        <v>589</v>
      </c>
      <c r="E301" s="284" t="s">
        <v>1383</v>
      </c>
      <c r="F301" s="290" t="str">
        <f t="shared" si="10"/>
        <v>Typische Werte für bestehende, energetisch nicht erneuerte Gebäude mit Baujahr vor 1980</v>
      </c>
    </row>
    <row r="302" spans="2:6">
      <c r="C302" s="285"/>
      <c r="D302" s="285"/>
      <c r="E302" s="285"/>
    </row>
    <row r="303" spans="2:6">
      <c r="C303" s="285"/>
      <c r="D303" s="285"/>
      <c r="E303" s="285"/>
    </row>
    <row r="304" spans="2:6">
      <c r="C304" s="285"/>
      <c r="D304" s="285"/>
      <c r="E304" s="285"/>
    </row>
    <row r="305" spans="3:5">
      <c r="C305" s="285"/>
      <c r="D305" s="285"/>
      <c r="E305" s="285"/>
    </row>
    <row r="306" spans="3:5">
      <c r="C306" s="285"/>
      <c r="D306" s="285"/>
      <c r="E306" s="285"/>
    </row>
    <row r="307" spans="3:5">
      <c r="C307" s="285"/>
      <c r="D307" s="285"/>
      <c r="E307" s="285"/>
    </row>
    <row r="308" spans="3:5">
      <c r="C308" s="285"/>
      <c r="D308" s="285"/>
      <c r="E308" s="285"/>
    </row>
    <row r="309" spans="3:5">
      <c r="C309" s="285"/>
      <c r="D309" s="285"/>
      <c r="E309" s="285"/>
    </row>
    <row r="310" spans="3:5">
      <c r="C310" s="285"/>
      <c r="D310" s="285"/>
      <c r="E310" s="285"/>
    </row>
    <row r="311" spans="3:5">
      <c r="C311" s="285"/>
      <c r="D311" s="285"/>
      <c r="E311" s="285"/>
    </row>
    <row r="312" spans="3:5">
      <c r="C312" s="285"/>
      <c r="D312" s="285"/>
      <c r="E312" s="285"/>
    </row>
    <row r="313" spans="3:5">
      <c r="C313" s="285"/>
      <c r="D313" s="285"/>
      <c r="E313" s="285"/>
    </row>
    <row r="314" spans="3:5">
      <c r="C314" s="285"/>
      <c r="D314" s="285"/>
      <c r="E314" s="285"/>
    </row>
    <row r="315" spans="3:5">
      <c r="C315" s="285"/>
      <c r="D315" s="285"/>
      <c r="E315" s="285"/>
    </row>
    <row r="316" spans="3:5">
      <c r="C316" s="285"/>
      <c r="D316" s="285"/>
      <c r="E316" s="285"/>
    </row>
    <row r="317" spans="3:5">
      <c r="C317" s="285"/>
      <c r="D317" s="285"/>
      <c r="E317" s="285"/>
    </row>
    <row r="318" spans="3:5">
      <c r="C318" s="285"/>
      <c r="D318" s="285"/>
      <c r="E318" s="285"/>
    </row>
    <row r="319" spans="3:5">
      <c r="C319" s="285"/>
      <c r="D319" s="285"/>
      <c r="E319" s="285"/>
    </row>
    <row r="320" spans="3:5">
      <c r="C320" s="285"/>
      <c r="D320" s="285"/>
      <c r="E320" s="285"/>
    </row>
    <row r="321" spans="3:5">
      <c r="C321" s="285"/>
      <c r="D321" s="285"/>
      <c r="E321" s="285"/>
    </row>
    <row r="322" spans="3:5">
      <c r="C322" s="285"/>
      <c r="D322" s="285"/>
      <c r="E322" s="285"/>
    </row>
  </sheetData>
  <sheetProtection algorithmName="SHA-512" hashValue="jGb2NcnRhfCCVQkMJ/nmlS1m+siHXRgvmeQZgq3VKIJ59mP5sRpyCZ/hiBg/Jq1KW0Z3K2j0fNyEs9rfNxshYw==" saltValue="JhU4lQnSvk8VRJRzmSnYWg==" spinCount="100000" sheet="1" objects="1" scenarios="1"/>
  <conditionalFormatting sqref="B13:E301">
    <cfRule type="expression" dxfId="2" priority="1">
      <formula>B13&lt;&gt;#REF!</formula>
    </cfRule>
  </conditionalFormatting>
  <pageMargins left="0.78740157480314965" right="0.78740157480314965" top="0.78740157480314965" bottom="0.78740157480314965" header="0.31496062992125984" footer="0.31496062992125984"/>
  <pageSetup paperSize="9" orientation="portrait" verticalDpi="180" r:id="rId1"/>
  <headerFooter>
    <oddHeader>&amp;LWärmepumpe Erdsonden 35°C&amp;CVersion 1.3&amp;R4/20/2025</oddHeader>
    <oddFooter>&amp;R&amp;F&amp;CSIA 2024, Copyright © 2017 by SIA Zurich</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blGebaeude">
    <pageSetUpPr fitToPage="1"/>
  </sheetPr>
  <dimension ref="A1:AM97"/>
  <sheetViews>
    <sheetView showGridLines="0" showRowColHeaders="0" zoomScaleNormal="100" zoomScaleSheetLayoutView="100" workbookViewId="0">
      <selection activeCell="X39" sqref="X39"/>
    </sheetView>
  </sheetViews>
  <sheetFormatPr baseColWidth="10" defaultRowHeight="12.45"/>
  <cols>
    <col min="1" max="1" width="6.53515625" style="2" customWidth="1"/>
    <col min="2" max="2" width="35" customWidth="1"/>
    <col min="3" max="3" width="8.4609375" customWidth="1"/>
    <col min="4" max="4" width="11.765625" customWidth="1"/>
    <col min="5" max="5" width="10" customWidth="1"/>
    <col min="6" max="6" width="9.69140625" style="4" customWidth="1"/>
    <col min="7" max="8" width="10.765625" style="4" customWidth="1"/>
    <col min="9" max="10" width="11.23046875" style="4" customWidth="1"/>
    <col min="11" max="11" width="10.765625" style="4" customWidth="1"/>
    <col min="12" max="12" width="9.4609375" style="43" customWidth="1"/>
    <col min="13" max="13" width="9.69140625" style="4" customWidth="1"/>
    <col min="14" max="15" width="9.69140625" style="329" hidden="1" customWidth="1"/>
    <col min="16" max="16" width="8.23046875" style="4" customWidth="1"/>
    <col min="17" max="17" width="8.53515625" style="4" customWidth="1"/>
    <col min="18" max="18" width="9.69140625" style="4" customWidth="1"/>
    <col min="19" max="19" width="6.765625" style="4" customWidth="1"/>
    <col min="20" max="22" width="9.69140625" style="4" customWidth="1"/>
    <col min="23" max="23" width="11.23046875" style="4" customWidth="1"/>
    <col min="24" max="24" width="7.765625" style="4" customWidth="1"/>
    <col min="25" max="26" width="8.69140625" customWidth="1"/>
    <col min="27" max="29" width="7.69140625" customWidth="1"/>
    <col min="30" max="30" width="10.4609375" customWidth="1"/>
    <col min="31" max="31" width="9.23046875" customWidth="1"/>
    <col min="32" max="32" width="15" customWidth="1"/>
    <col min="33" max="33" width="14.765625" customWidth="1"/>
    <col min="34" max="34" width="16.765625" customWidth="1"/>
    <col min="35" max="35" width="13.4609375" customWidth="1"/>
    <col min="36" max="36" width="23.69140625" customWidth="1"/>
    <col min="37" max="37" width="15.69140625" customWidth="1"/>
    <col min="38" max="39" width="18.23046875" customWidth="1"/>
    <col min="40" max="41" width="8.23046875" customWidth="1"/>
  </cols>
  <sheetData>
    <row r="1" spans="1:39">
      <c r="A1" s="1003"/>
      <c r="B1" s="20" t="str">
        <f>Begriffe!F61</f>
        <v>Projektname</v>
      </c>
      <c r="C1" s="12"/>
      <c r="D1" s="20" t="str">
        <f>Begriffe!F62</f>
        <v>Klimastation</v>
      </c>
      <c r="G1" s="20"/>
      <c r="H1"/>
      <c r="J1" s="19" t="str">
        <f>Begriffe!F64</f>
        <v>Datum</v>
      </c>
    </row>
    <row r="2" spans="1:39">
      <c r="A2" s="1003"/>
      <c r="B2" s="1004" t="s">
        <v>570</v>
      </c>
      <c r="D2" s="1019">
        <v>40</v>
      </c>
      <c r="E2" s="1019"/>
      <c r="G2" s="1004" t="s">
        <v>559</v>
      </c>
      <c r="H2" s="1005"/>
      <c r="J2" s="1006">
        <v>45767</v>
      </c>
      <c r="K2" s="1005"/>
    </row>
    <row r="3" spans="1:39">
      <c r="A3" s="4"/>
      <c r="D3" s="322" t="str" cm="1">
        <f t="array" ref="D3">INDEX(Klimadaten!B4:B43,D2,0)</f>
        <v>Zürich-MeteoSchweiz</v>
      </c>
      <c r="F3"/>
      <c r="G3"/>
      <c r="H3"/>
      <c r="I3"/>
      <c r="K3"/>
      <c r="L3" s="33"/>
      <c r="M3"/>
      <c r="O3" s="328"/>
      <c r="P3"/>
      <c r="Q3"/>
      <c r="S3"/>
      <c r="T3"/>
      <c r="U3"/>
      <c r="V3"/>
      <c r="W3"/>
      <c r="X3"/>
      <c r="AD3" s="12"/>
      <c r="AE3" s="12"/>
      <c r="AF3" s="12"/>
      <c r="AG3" s="12"/>
      <c r="AH3" s="12"/>
      <c r="AI3" s="12"/>
      <c r="AJ3" s="12"/>
      <c r="AK3" s="12"/>
      <c r="AL3" s="12"/>
      <c r="AM3" s="12"/>
    </row>
    <row r="4" spans="1:39" ht="13.5" customHeight="1">
      <c r="A4"/>
      <c r="B4" s="12" t="str">
        <f>Begriffe!F237</f>
        <v>Wertebereich</v>
      </c>
      <c r="D4" s="12"/>
      <c r="F4"/>
      <c r="G4"/>
      <c r="H4"/>
      <c r="I4"/>
      <c r="J4"/>
      <c r="K4"/>
      <c r="L4" s="33"/>
      <c r="M4"/>
      <c r="N4" s="328"/>
      <c r="R4"/>
      <c r="U4"/>
      <c r="V4"/>
      <c r="W4"/>
      <c r="X4"/>
      <c r="AD4" s="1"/>
      <c r="AE4" s="1"/>
      <c r="AF4" s="1"/>
      <c r="AG4" s="1"/>
      <c r="AH4" s="1"/>
      <c r="AI4" s="1"/>
      <c r="AJ4" s="1"/>
      <c r="AK4" s="1"/>
      <c r="AL4" s="1"/>
      <c r="AM4" s="1"/>
    </row>
    <row r="5" spans="1:39" ht="13.5" customHeight="1">
      <c r="A5"/>
      <c r="B5" s="1007" t="s">
        <v>88</v>
      </c>
      <c r="D5" s="1007" t="str">
        <f>Begriffe!F238</f>
        <v>Auswahlfelder</v>
      </c>
      <c r="E5" s="1008"/>
      <c r="F5"/>
      <c r="G5" s="1004" t="str">
        <f>Begriffe!F239</f>
        <v>Eingabefelder</v>
      </c>
      <c r="H5" s="1005"/>
      <c r="I5"/>
      <c r="J5" s="33"/>
      <c r="K5"/>
      <c r="L5" s="33"/>
      <c r="M5"/>
      <c r="N5" s="328"/>
      <c r="O5" s="328"/>
      <c r="P5"/>
      <c r="R5"/>
      <c r="S5"/>
      <c r="T5"/>
      <c r="U5"/>
      <c r="V5"/>
      <c r="W5"/>
      <c r="X5"/>
      <c r="AD5" s="1"/>
      <c r="AE5" s="1"/>
      <c r="AF5" s="1"/>
      <c r="AG5" s="1"/>
      <c r="AH5" s="1"/>
      <c r="AI5" s="1"/>
      <c r="AK5" s="1"/>
      <c r="AL5" s="1"/>
      <c r="AM5" s="1"/>
    </row>
    <row r="6" spans="1:39" ht="13.5" customHeight="1">
      <c r="A6" s="1009"/>
      <c r="B6" s="1009"/>
      <c r="C6" s="1009"/>
      <c r="D6" s="1009"/>
      <c r="E6" s="1009"/>
      <c r="F6" s="1009"/>
      <c r="G6" s="1009"/>
      <c r="H6" s="1009"/>
      <c r="I6" s="1009"/>
      <c r="J6" s="1009"/>
      <c r="K6" s="1009"/>
      <c r="L6" s="1010"/>
      <c r="M6" s="1009"/>
      <c r="N6" s="1011"/>
      <c r="O6" s="1011"/>
      <c r="P6" s="1009"/>
      <c r="Q6" s="1009"/>
      <c r="R6" s="1009"/>
      <c r="S6" s="1009"/>
      <c r="T6" s="1009"/>
      <c r="U6" s="1009"/>
      <c r="V6" s="1009"/>
      <c r="W6" s="1009"/>
      <c r="X6"/>
      <c r="AD6" s="1"/>
      <c r="AF6" s="1"/>
      <c r="AG6" s="1"/>
      <c r="AH6" s="1"/>
      <c r="AI6" s="1"/>
      <c r="AK6" s="1"/>
      <c r="AL6" s="1"/>
      <c r="AM6" s="1"/>
    </row>
    <row r="7" spans="1:39" ht="13.5" customHeight="1">
      <c r="A7" s="997" t="str">
        <f>Begriffe!F81</f>
        <v>Räume</v>
      </c>
      <c r="B7" s="998"/>
      <c r="C7" s="997" t="str">
        <f>Begriffe!F85</f>
        <v>Fläche</v>
      </c>
      <c r="D7" s="999"/>
      <c r="E7" s="1000"/>
      <c r="F7" s="997" t="str">
        <f>Begriffe!F69</f>
        <v>Geräte</v>
      </c>
      <c r="G7" s="998"/>
      <c r="H7" s="997" t="str">
        <f>Begriffe!F70</f>
        <v>Prozessanlagen</v>
      </c>
      <c r="I7" s="998"/>
      <c r="J7" s="997" t="str">
        <f>Begriffe!F71</f>
        <v>Beleuchtung</v>
      </c>
      <c r="K7" s="998"/>
      <c r="L7" s="997" t="str">
        <f>Begriffe!F72</f>
        <v>Lüftung</v>
      </c>
      <c r="M7" s="155"/>
      <c r="N7" s="1001"/>
      <c r="O7" s="1002"/>
      <c r="P7" s="997" t="str">
        <f>Begriffe!F73</f>
        <v>Raumkühlung</v>
      </c>
      <c r="Q7" s="155"/>
      <c r="R7" s="998"/>
      <c r="S7" s="997" t="str">
        <f>Begriffe!F74</f>
        <v>Raumheizung</v>
      </c>
      <c r="T7" s="155"/>
      <c r="U7" s="998"/>
      <c r="V7" s="997" t="str">
        <f>Begriffe!F75</f>
        <v>Warmwasser</v>
      </c>
      <c r="W7" s="998"/>
      <c r="X7"/>
      <c r="AF7" s="1"/>
      <c r="AG7" s="1"/>
      <c r="AH7" s="1"/>
      <c r="AI7" s="1"/>
      <c r="AK7" s="33"/>
      <c r="AL7" s="1"/>
      <c r="AM7" s="1"/>
    </row>
    <row r="8" spans="1:39" s="1" customFormat="1" ht="13.5" hidden="1" customHeight="1">
      <c r="A8" s="64"/>
      <c r="B8" s="65"/>
      <c r="C8" s="64"/>
      <c r="D8" s="13"/>
      <c r="E8" s="73"/>
      <c r="F8" s="81">
        <v>28</v>
      </c>
      <c r="G8" s="62">
        <v>2</v>
      </c>
      <c r="H8" s="81">
        <v>29</v>
      </c>
      <c r="I8" s="62">
        <v>3</v>
      </c>
      <c r="J8" s="81">
        <v>30</v>
      </c>
      <c r="K8" s="62">
        <v>4</v>
      </c>
      <c r="L8" s="238"/>
      <c r="M8" s="308">
        <v>3</v>
      </c>
      <c r="N8" s="379">
        <v>31</v>
      </c>
      <c r="O8" s="380">
        <v>5</v>
      </c>
      <c r="P8" s="81"/>
      <c r="Q8" s="56">
        <v>32</v>
      </c>
      <c r="R8" s="62">
        <v>6</v>
      </c>
      <c r="S8" s="81"/>
      <c r="T8" s="56">
        <v>33</v>
      </c>
      <c r="U8" s="62">
        <v>7</v>
      </c>
      <c r="V8" s="309">
        <v>8</v>
      </c>
      <c r="W8" s="62">
        <v>8</v>
      </c>
      <c r="AI8"/>
      <c r="AJ8"/>
      <c r="AK8"/>
    </row>
    <row r="9" spans="1:39" s="1" customFormat="1" ht="13.5" hidden="1" customHeight="1">
      <c r="A9" s="64"/>
      <c r="B9" s="65"/>
      <c r="C9" s="64"/>
      <c r="D9" s="13"/>
      <c r="E9" s="73"/>
      <c r="F9" s="81">
        <f>IF($B5=Begriffe!$F76,F8,IF($B5=Begriffe!$F77,F8+7,F8+14))</f>
        <v>28</v>
      </c>
      <c r="G9" s="62">
        <f>IF($B5=Begriffe!$F76,G8,IF($B5=Begriffe!$F77,G8+8,G8+16))</f>
        <v>2</v>
      </c>
      <c r="H9" s="81">
        <f>IF($B5=Begriffe!$F76,H8,IF($B5=Begriffe!$F77,H8+7,H8+14))</f>
        <v>29</v>
      </c>
      <c r="I9" s="62">
        <f>IF($B5=Begriffe!$F76,I8,IF($B5=Begriffe!$F77,I8+8,I8+16))</f>
        <v>3</v>
      </c>
      <c r="J9" s="81">
        <f>IF($B5=Begriffe!$F76,J8,IF($B5=Begriffe!$F77,J8+7,J8+14))</f>
        <v>30</v>
      </c>
      <c r="K9" s="62">
        <f>IF($B5=Begriffe!$F76,K8,IF($B5=Begriffe!$F77,K8+8,K8+16))</f>
        <v>4</v>
      </c>
      <c r="L9" s="238"/>
      <c r="M9" s="56"/>
      <c r="N9" s="379">
        <f>IF(B5=Begriffe!F76,N8,IF(B5=Begriffe!F77,N8+6,N8+12))</f>
        <v>31</v>
      </c>
      <c r="O9" s="380">
        <f>IF(B5=Begriffe!F76,O8,IF(B5=Begriffe!F77,O8+7,O8+14))</f>
        <v>5</v>
      </c>
      <c r="P9" s="81"/>
      <c r="Q9" s="56">
        <f>IF(B5=Begriffe!F76,Q8,IF(B5=Begriffe!F77,Q8+7,Q8+14))</f>
        <v>32</v>
      </c>
      <c r="R9" s="62">
        <f>IF(B5=Begriffe!F76,R8,IF(B5=Begriffe!F77,R8+8,R8+16))</f>
        <v>6</v>
      </c>
      <c r="S9" s="81"/>
      <c r="T9" s="56">
        <f>IF(B5=Begriffe!F76,T8,IF(B5=Begriffe!F77,T8+7,T8+14))</f>
        <v>33</v>
      </c>
      <c r="U9" s="62">
        <f>IF(B5=Begriffe!F76,U8,IF(B5=Begriffe!F77,U8+8,U8+16))</f>
        <v>7</v>
      </c>
      <c r="V9" s="81"/>
      <c r="W9" s="62">
        <f>IF(B5=Begriffe!F76,W8,IF(B5=Begriffe!F77,W8+8,W8+16))</f>
        <v>8</v>
      </c>
      <c r="AI9"/>
      <c r="AJ9"/>
      <c r="AK9"/>
    </row>
    <row r="10" spans="1:39" s="1" customFormat="1" ht="13.5" customHeight="1">
      <c r="A10" s="81" t="s">
        <v>150</v>
      </c>
      <c r="B10" s="236" t="str">
        <f>Begriffe!F89</f>
        <v>Raumnutzung (SIA 2024)</v>
      </c>
      <c r="C10" s="74" t="str">
        <f>Begriffe!F90</f>
        <v>EBF</v>
      </c>
      <c r="D10" s="5" t="str">
        <f>Begriffe!F91</f>
        <v>NGF</v>
      </c>
      <c r="E10" s="237" t="str">
        <f>Begriffe!F93</f>
        <v>Anteil</v>
      </c>
      <c r="F10" s="81" t="str">
        <f>Begriffe!$F$100</f>
        <v>Leistung</v>
      </c>
      <c r="G10" s="62" t="str">
        <f>Begriffe!$F$101</f>
        <v>Energie</v>
      </c>
      <c r="H10" s="81" t="str">
        <f>Begriffe!$F$100</f>
        <v>Leistung</v>
      </c>
      <c r="I10" s="62" t="str">
        <f>Begriffe!$F$101</f>
        <v>Energie</v>
      </c>
      <c r="J10" s="81" t="str">
        <f>Begriffe!$F$100</f>
        <v>Leistung</v>
      </c>
      <c r="K10" s="62" t="str">
        <f>Begriffe!$F$101</f>
        <v>Energie</v>
      </c>
      <c r="L10" s="238" t="str">
        <f>Begriffe!F95</f>
        <v>Anlage</v>
      </c>
      <c r="M10" s="58" t="str">
        <f>Begriffe!F99</f>
        <v>Volumenstr.</v>
      </c>
      <c r="N10" s="379" t="str">
        <f>Begriffe!F100</f>
        <v>Leistung</v>
      </c>
      <c r="O10" s="380" t="str">
        <f>Begriffe!F101</f>
        <v>Energie</v>
      </c>
      <c r="P10" s="81" t="str">
        <f>Begriffe!F97</f>
        <v>gekühlt</v>
      </c>
      <c r="Q10" s="56" t="str">
        <f>Begriffe!F100</f>
        <v>Leistung</v>
      </c>
      <c r="R10" s="62" t="str">
        <f>Begriffe!F101</f>
        <v>Energie</v>
      </c>
      <c r="S10" s="81" t="str">
        <f>Begriffe!F98</f>
        <v>beheizt</v>
      </c>
      <c r="T10" s="56" t="str">
        <f>Begriffe!F100</f>
        <v>Leistung</v>
      </c>
      <c r="U10" s="62" t="str">
        <f>Begriffe!F101</f>
        <v>Energie</v>
      </c>
      <c r="V10" s="81" t="str">
        <f>Begriffe!F102</f>
        <v>Bedarf</v>
      </c>
      <c r="W10" s="62" t="str">
        <f>Begriffe!F101</f>
        <v>Energie</v>
      </c>
      <c r="AI10"/>
      <c r="AJ10" s="33"/>
      <c r="AK10"/>
    </row>
    <row r="11" spans="1:39" ht="13.5" customHeight="1">
      <c r="A11" s="66"/>
      <c r="B11" s="70"/>
      <c r="C11" s="75"/>
      <c r="D11" s="67" t="s">
        <v>126</v>
      </c>
      <c r="E11" s="76" t="s">
        <v>129</v>
      </c>
      <c r="F11" s="82" t="s">
        <v>112</v>
      </c>
      <c r="G11" s="69" t="s">
        <v>115</v>
      </c>
      <c r="H11" s="82" t="s">
        <v>112</v>
      </c>
      <c r="I11" s="69" t="s">
        <v>115</v>
      </c>
      <c r="J11" s="82" t="s">
        <v>112</v>
      </c>
      <c r="K11" s="69" t="s">
        <v>115</v>
      </c>
      <c r="L11" s="82"/>
      <c r="M11" s="68" t="s">
        <v>215</v>
      </c>
      <c r="N11" s="381" t="s">
        <v>112</v>
      </c>
      <c r="O11" s="382" t="s">
        <v>115</v>
      </c>
      <c r="P11" s="82"/>
      <c r="Q11" s="68" t="s">
        <v>112</v>
      </c>
      <c r="R11" s="69" t="s">
        <v>115</v>
      </c>
      <c r="S11" s="82"/>
      <c r="T11" s="68" t="s">
        <v>112</v>
      </c>
      <c r="U11" s="69" t="s">
        <v>115</v>
      </c>
      <c r="V11" s="82" t="s">
        <v>136</v>
      </c>
      <c r="W11" s="69" t="s">
        <v>115</v>
      </c>
      <c r="AF11" s="1"/>
      <c r="AJ11" s="33"/>
      <c r="AL11" s="1"/>
      <c r="AM11" s="1"/>
    </row>
    <row r="12" spans="1:39" ht="13.5" customHeight="1">
      <c r="A12" s="292">
        <f>IF(B12&lt;&gt;"",INDEX(Begriffe!$B$13:$F$57,MATCH(Gebäude!B12,Begriffe!$F$13:$F$57,0),1),"")</f>
        <v>3.01</v>
      </c>
      <c r="B12" s="291" t="s">
        <v>7</v>
      </c>
      <c r="C12" s="260" t="b">
        <v>1</v>
      </c>
      <c r="D12" s="246">
        <v>2500</v>
      </c>
      <c r="E12" s="77">
        <f t="shared" ref="E12:E32" si="0">D12/$D$35</f>
        <v>0.37936267071320184</v>
      </c>
      <c r="F12" s="83">
        <f t="shared" ref="F12:K32" si="1">IF($B12="",0,VLOOKUP($B12,Res,F$9,FALSE))*$D12/1000</f>
        <v>27.5</v>
      </c>
      <c r="G12" s="63">
        <f t="shared" si="1"/>
        <v>80.025000000000006</v>
      </c>
      <c r="H12" s="83">
        <f t="shared" si="1"/>
        <v>0</v>
      </c>
      <c r="I12" s="63">
        <f t="shared" si="1"/>
        <v>0</v>
      </c>
      <c r="J12" s="83">
        <f t="shared" si="1"/>
        <v>24.305555555555557</v>
      </c>
      <c r="K12" s="63">
        <f t="shared" si="1"/>
        <v>33.614583333333336</v>
      </c>
      <c r="L12" s="294" t="s">
        <v>117</v>
      </c>
      <c r="M12" s="61">
        <f>IF($B12="",0,VLOOKUP($B12,Std!$B$6:$H$50,M$8,0))*$D12+IF($B12="",0,VLOOKUP($B12,Std!$B$6:$H$50,4,0))*$D12</f>
        <v>5178.5714285714294</v>
      </c>
      <c r="N12" s="301">
        <f t="shared" ref="N12:N32" si="2">IF($B12="",0,IF(L12=FALSE,0,VLOOKUP($B12,Res,N$9,FALSE))*$D12/1000)</f>
        <v>2.848214285714286</v>
      </c>
      <c r="O12" s="302">
        <f t="shared" ref="O12:O32" si="3">IF($B12="",0,IF(L12=FALSE,0,VLOOKUP($B12,Res,O$9,FALSE))*$D12/1000)</f>
        <v>11.108035714285716</v>
      </c>
      <c r="P12" s="260" t="b">
        <v>1</v>
      </c>
      <c r="Q12" s="60">
        <f t="shared" ref="Q12:Q32" si="4">IF($B12="",0,IF(P12=FALSE,0,VLOOKUP($B12,Res,Q$9,FALSE))*$D12/1000)</f>
        <v>109.1411731092437</v>
      </c>
      <c r="R12" s="63">
        <f>IF($B12="",0,IF(P12=FALSE,0,VLOOKUP($B12,Res,R$9,FALSE))*$D12/1000)</f>
        <v>36.075336348375735</v>
      </c>
      <c r="S12" s="260" t="b">
        <v>1</v>
      </c>
      <c r="T12" s="60">
        <f t="shared" ref="T12:T32" si="5">IF($B12="",0,IF(S12=FALSE,0,VLOOKUP($B12,Res,T$9,FALSE))*$D12/1000)</f>
        <v>49.558377450980402</v>
      </c>
      <c r="U12" s="63">
        <f t="shared" ref="U12:U32" si="6">IF($B12="",0,IF(S12=FALSE,0,VLOOKUP($B12,Res,U$9,FALSE))*$D12/1000)</f>
        <v>26.90399192102285</v>
      </c>
      <c r="V12" s="61">
        <f>IF($B12="",0,VLOOKUP($B12,Std!$B$6:$I$50,$V$8,0))*$D12</f>
        <v>535.71428571428567</v>
      </c>
      <c r="W12" s="63">
        <f>IF($B12="",0,VLOOKUP($B12,Res,W$9,FALSE))*$D12/1000</f>
        <v>6.4877142857142864</v>
      </c>
      <c r="AF12" s="1"/>
    </row>
    <row r="13" spans="1:39" ht="13.5" customHeight="1">
      <c r="A13" s="292">
        <f>IF(B13&lt;&gt;"",INDEX(Begriffe!$B$13:$F$57,MATCH(Gebäude!B13,Begriffe!$F$13:$F$57,0),1),"")</f>
        <v>3.02</v>
      </c>
      <c r="B13" s="291" t="s">
        <v>8</v>
      </c>
      <c r="C13" s="260" t="b">
        <v>1</v>
      </c>
      <c r="D13" s="247">
        <v>1000</v>
      </c>
      <c r="E13" s="78">
        <f t="shared" si="0"/>
        <v>0.15174506828528073</v>
      </c>
      <c r="F13" s="83">
        <f t="shared" si="1"/>
        <v>15</v>
      </c>
      <c r="G13" s="63">
        <f t="shared" si="1"/>
        <v>43.65</v>
      </c>
      <c r="H13" s="83">
        <f t="shared" si="1"/>
        <v>0</v>
      </c>
      <c r="I13" s="63">
        <f t="shared" si="1"/>
        <v>0</v>
      </c>
      <c r="J13" s="83">
        <f t="shared" si="1"/>
        <v>7.6388888888888875</v>
      </c>
      <c r="K13" s="63">
        <f t="shared" si="1"/>
        <v>14.750694444444441</v>
      </c>
      <c r="L13" s="294" t="s">
        <v>117</v>
      </c>
      <c r="M13" s="61">
        <f>IF($B13="",0,VLOOKUP($B13,Std!$B$6:$H$50,M$8,0))*$D13+IF($B13="",0,VLOOKUP($B13,Std!$B$6:$H$50,4,0))*$D13</f>
        <v>2900</v>
      </c>
      <c r="N13" s="301">
        <f t="shared" si="2"/>
        <v>1.595</v>
      </c>
      <c r="O13" s="302">
        <f t="shared" si="3"/>
        <v>6.2205000000000004</v>
      </c>
      <c r="P13" s="260" t="b">
        <v>1</v>
      </c>
      <c r="Q13" s="60">
        <f t="shared" si="4"/>
        <v>38.024635764705877</v>
      </c>
      <c r="R13" s="63">
        <f>IF($B13="",0,IF(P13=FALSE,0,VLOOKUP($B13,Res,R$9,FALSE))*$D13/1000)</f>
        <v>22.522730030268949</v>
      </c>
      <c r="S13" s="260" t="b">
        <v>1</v>
      </c>
      <c r="T13" s="60">
        <f t="shared" si="5"/>
        <v>12.556125490196077</v>
      </c>
      <c r="U13" s="63">
        <f t="shared" si="6"/>
        <v>1.8931654459333342</v>
      </c>
      <c r="V13" s="61">
        <f>IF($B13="",0,VLOOKUP($B13,Std!$B$6:$I$50,$V$8,0))*$D13</f>
        <v>300</v>
      </c>
      <c r="W13" s="63">
        <f>IF($B13="",0,VLOOKUP($B13,Res,W$9,FALSE))*$D13/1000</f>
        <v>3.6331200000000008</v>
      </c>
      <c r="AF13" s="1"/>
    </row>
    <row r="14" spans="1:39" ht="13.5" customHeight="1">
      <c r="A14" s="292">
        <f>IF(B14&lt;&gt;"",INDEX(Begriffe!$B$13:$F$57,MATCH(Gebäude!B14,Begriffe!$F$13:$F$57,0),1),"")</f>
        <v>3.03</v>
      </c>
      <c r="B14" s="291" t="s">
        <v>9</v>
      </c>
      <c r="C14" s="260" t="b">
        <v>1</v>
      </c>
      <c r="D14" s="247">
        <v>200</v>
      </c>
      <c r="E14" s="78">
        <f t="shared" si="0"/>
        <v>3.0349013657056147E-2</v>
      </c>
      <c r="F14" s="83">
        <f t="shared" si="1"/>
        <v>1.6</v>
      </c>
      <c r="G14" s="63">
        <f t="shared" si="1"/>
        <v>2.2559999999999998</v>
      </c>
      <c r="H14" s="83">
        <f t="shared" si="1"/>
        <v>0</v>
      </c>
      <c r="I14" s="63">
        <f t="shared" si="1"/>
        <v>0</v>
      </c>
      <c r="J14" s="83">
        <f t="shared" si="1"/>
        <v>1.9444444444444446</v>
      </c>
      <c r="K14" s="63">
        <f t="shared" si="1"/>
        <v>1.4680555555555554</v>
      </c>
      <c r="L14" s="294" t="s">
        <v>118</v>
      </c>
      <c r="M14" s="61">
        <f>IF($B14="",0,VLOOKUP($B14,Std!$B$6:$H$50,M$8,0))*$D14+IF($B14="",0,VLOOKUP($B14,Std!$B$6:$H$50,4,0))*$D14</f>
        <v>1933.3333333333333</v>
      </c>
      <c r="N14" s="301">
        <f t="shared" si="2"/>
        <v>1.0633333333333332</v>
      </c>
      <c r="O14" s="302">
        <f t="shared" si="3"/>
        <v>1.1590333333333331</v>
      </c>
      <c r="P14" s="260" t="b">
        <v>1</v>
      </c>
      <c r="Q14" s="60">
        <f t="shared" si="4"/>
        <v>13.964262274509803</v>
      </c>
      <c r="R14" s="63">
        <f>IF($B14="",0,IF(P14=FALSE,0,VLOOKUP($B14,Res,R$9,FALSE))*$D14/1000)</f>
        <v>1.5225332626168717</v>
      </c>
      <c r="S14" s="260" t="b">
        <v>1</v>
      </c>
      <c r="T14" s="60">
        <f t="shared" si="5"/>
        <v>3.9646701960784321</v>
      </c>
      <c r="U14" s="63">
        <f t="shared" si="6"/>
        <v>3.6826790396303575</v>
      </c>
      <c r="V14" s="61">
        <f>IF($B14="",0,VLOOKUP($B14,Std!$B$6:$I$50,$V$8,0))*$D14</f>
        <v>0</v>
      </c>
      <c r="W14" s="63">
        <f t="shared" ref="W14:W32" si="7">IF($B14="",0,VLOOKUP($B14,Res,W$9,FALSE))*$D14/1000</f>
        <v>0</v>
      </c>
      <c r="AE14" s="258"/>
    </row>
    <row r="15" spans="1:39" ht="13.5" customHeight="1">
      <c r="A15" s="292">
        <f>IF(B15&lt;&gt;"",INDEX(Begriffe!$B$13:$F$57,MATCH(Gebäude!B15,Begriffe!$F$13:$F$57,0),1),"")</f>
        <v>3.04</v>
      </c>
      <c r="B15" s="291" t="s">
        <v>10</v>
      </c>
      <c r="C15" s="260" t="b">
        <v>1</v>
      </c>
      <c r="D15" s="247">
        <v>200</v>
      </c>
      <c r="E15" s="78">
        <f t="shared" si="0"/>
        <v>3.0349013657056147E-2</v>
      </c>
      <c r="F15" s="83">
        <f t="shared" si="1"/>
        <v>0.8</v>
      </c>
      <c r="G15" s="63">
        <f t="shared" si="1"/>
        <v>2.3279999999999998</v>
      </c>
      <c r="H15" s="83">
        <f t="shared" si="1"/>
        <v>0</v>
      </c>
      <c r="I15" s="63">
        <f t="shared" si="1"/>
        <v>0</v>
      </c>
      <c r="J15" s="83">
        <f t="shared" si="1"/>
        <v>1.1055555555555556</v>
      </c>
      <c r="K15" s="63">
        <f t="shared" si="1"/>
        <v>1.6240611111111112</v>
      </c>
      <c r="L15" s="294" t="s">
        <v>119</v>
      </c>
      <c r="M15" s="61">
        <f>IF($B15="",0,VLOOKUP($B15,Std!$B$6:$H$50,M$8,0))*$D15+IF($B15="",0,VLOOKUP($B15,Std!$B$6:$H$50,4,0))*$D15</f>
        <v>483.33333333333331</v>
      </c>
      <c r="N15" s="301">
        <f t="shared" si="2"/>
        <v>0.26583333333333331</v>
      </c>
      <c r="O15" s="302">
        <f t="shared" si="3"/>
        <v>1.0367500000000001</v>
      </c>
      <c r="P15" s="260" t="b">
        <v>1</v>
      </c>
      <c r="Q15" s="60">
        <f t="shared" si="4"/>
        <v>5.8777481830065366</v>
      </c>
      <c r="R15" s="63">
        <f t="shared" ref="R15:R32" si="8">IF($B15="",0,IF(P15=FALSE,0,VLOOKUP($B15,Res,R$9,FALSE))*$D15/1000)</f>
        <v>1.0868592866392339</v>
      </c>
      <c r="S15" s="260" t="b">
        <v>1</v>
      </c>
      <c r="T15" s="60">
        <f t="shared" si="5"/>
        <v>2.8677615686274511</v>
      </c>
      <c r="U15" s="63">
        <f t="shared" si="6"/>
        <v>2.4179486657749738</v>
      </c>
      <c r="V15" s="61">
        <f>IF($B15="",0,VLOOKUP($B15,Std!$B$6:$I$50,$V$8,0))*$D15</f>
        <v>0</v>
      </c>
      <c r="W15" s="63">
        <f t="shared" si="7"/>
        <v>0</v>
      </c>
    </row>
    <row r="16" spans="1:39" ht="13.5" customHeight="1">
      <c r="A16" s="292">
        <f>IF(B16&lt;&gt;"",INDEX(Begriffe!$B$13:$F$57,MATCH(Gebäude!B16,Begriffe!$F$13:$F$57,0),1),"")</f>
        <v>12.01</v>
      </c>
      <c r="B16" s="291" t="s">
        <v>30</v>
      </c>
      <c r="C16" s="260" t="b">
        <v>1</v>
      </c>
      <c r="D16" s="247">
        <v>1000</v>
      </c>
      <c r="E16" s="78">
        <f t="shared" si="0"/>
        <v>0.15174506828528073</v>
      </c>
      <c r="F16" s="83">
        <f t="shared" si="1"/>
        <v>0</v>
      </c>
      <c r="G16" s="63">
        <f t="shared" si="1"/>
        <v>0</v>
      </c>
      <c r="H16" s="83">
        <f t="shared" si="1"/>
        <v>0</v>
      </c>
      <c r="I16" s="63">
        <f t="shared" si="1"/>
        <v>0</v>
      </c>
      <c r="J16" s="83">
        <f t="shared" si="1"/>
        <v>2.7444444444444454</v>
      </c>
      <c r="K16" s="63">
        <f t="shared" si="1"/>
        <v>3.8477111111111122</v>
      </c>
      <c r="L16" s="294" t="s">
        <v>117</v>
      </c>
      <c r="M16" s="61">
        <f>IF($B16="",0,VLOOKUP($B16,Std!$B$6:$H$50,M$8,0))*$D16+IF($B16="",0,VLOOKUP($B16,Std!$B$6:$H$50,4,0))*$D16</f>
        <v>500</v>
      </c>
      <c r="N16" s="301">
        <f t="shared" si="2"/>
        <v>0.27500000000000002</v>
      </c>
      <c r="O16" s="302">
        <f t="shared" si="3"/>
        <v>1.2155</v>
      </c>
      <c r="P16" s="260" t="b">
        <v>0</v>
      </c>
      <c r="Q16" s="60">
        <f t="shared" si="4"/>
        <v>0</v>
      </c>
      <c r="R16" s="63">
        <f t="shared" si="8"/>
        <v>0</v>
      </c>
      <c r="S16" s="260" t="b">
        <v>1</v>
      </c>
      <c r="T16" s="60">
        <f t="shared" si="5"/>
        <v>19.551676470588237</v>
      </c>
      <c r="U16" s="63">
        <f t="shared" si="6"/>
        <v>17.681625271928997</v>
      </c>
      <c r="V16" s="61">
        <f>IF($B16="",0,VLOOKUP($B16,Std!$B$6:$I$50,$V$8,0))*$D16</f>
        <v>0</v>
      </c>
      <c r="W16" s="63">
        <f t="shared" si="7"/>
        <v>0</v>
      </c>
    </row>
    <row r="17" spans="1:31" ht="13.5" customHeight="1">
      <c r="A17" s="292">
        <f>IF(B17&lt;&gt;"",INDEX(Begriffe!$B$13:$F$57,MATCH(Gebäude!B17,Begriffe!$F$13:$F$57,0),1),"")</f>
        <v>12.03</v>
      </c>
      <c r="B17" s="291" t="s">
        <v>98</v>
      </c>
      <c r="C17" s="260" t="b">
        <v>1</v>
      </c>
      <c r="D17" s="247">
        <v>400</v>
      </c>
      <c r="E17" s="78">
        <f t="shared" si="0"/>
        <v>6.0698027314112293E-2</v>
      </c>
      <c r="F17" s="83">
        <f t="shared" si="1"/>
        <v>0</v>
      </c>
      <c r="G17" s="63">
        <f t="shared" si="1"/>
        <v>0</v>
      </c>
      <c r="H17" s="83">
        <f t="shared" si="1"/>
        <v>0</v>
      </c>
      <c r="I17" s="63">
        <f t="shared" si="1"/>
        <v>0</v>
      </c>
      <c r="J17" s="83">
        <f t="shared" si="1"/>
        <v>1.097777777777778</v>
      </c>
      <c r="K17" s="63">
        <f t="shared" si="1"/>
        <v>1.5390844444444449</v>
      </c>
      <c r="L17" s="294" t="s">
        <v>89</v>
      </c>
      <c r="M17" s="61">
        <f>IF($B17="",0,VLOOKUP($B17,Std!$B$6:$H$50,M$8,0))*$D17+IF($B17="",0,VLOOKUP($B17,Std!$B$6:$H$50,4,0))*$D17</f>
        <v>200</v>
      </c>
      <c r="N17" s="301">
        <f t="shared" si="2"/>
        <v>0</v>
      </c>
      <c r="O17" s="302">
        <f t="shared" si="3"/>
        <v>0</v>
      </c>
      <c r="P17" s="260" t="b">
        <v>0</v>
      </c>
      <c r="Q17" s="60">
        <f t="shared" si="4"/>
        <v>0</v>
      </c>
      <c r="R17" s="63">
        <f t="shared" si="8"/>
        <v>0</v>
      </c>
      <c r="S17" s="260" t="b">
        <v>1</v>
      </c>
      <c r="T17" s="60">
        <f t="shared" si="5"/>
        <v>7.0142000000000007</v>
      </c>
      <c r="U17" s="63">
        <f t="shared" si="6"/>
        <v>5.3916368415885563</v>
      </c>
      <c r="V17" s="61">
        <f>IF($B17="",0,VLOOKUP($B17,Std!$B$6:$I$50,$V$8,0))*$D17</f>
        <v>0</v>
      </c>
      <c r="W17" s="63">
        <f t="shared" si="7"/>
        <v>0</v>
      </c>
    </row>
    <row r="18" spans="1:31" ht="13.5" customHeight="1">
      <c r="A18" s="292">
        <f>IF(B18&lt;&gt;"",INDEX(Begriffe!$B$13:$F$57,MATCH(Gebäude!B18,Begriffe!$F$13:$F$57,0),1),"")</f>
        <v>12.07</v>
      </c>
      <c r="B18" s="291" t="s">
        <v>32</v>
      </c>
      <c r="C18" s="260" t="b">
        <v>1</v>
      </c>
      <c r="D18" s="247">
        <v>100</v>
      </c>
      <c r="E18" s="78">
        <f t="shared" si="0"/>
        <v>1.5174506828528073E-2</v>
      </c>
      <c r="F18" s="83">
        <f t="shared" si="1"/>
        <v>0</v>
      </c>
      <c r="G18" s="63">
        <f t="shared" si="1"/>
        <v>0</v>
      </c>
      <c r="H18" s="83">
        <f t="shared" si="1"/>
        <v>0</v>
      </c>
      <c r="I18" s="63">
        <f t="shared" si="1"/>
        <v>0</v>
      </c>
      <c r="J18" s="83">
        <f t="shared" si="1"/>
        <v>0.76666666666666672</v>
      </c>
      <c r="K18" s="63">
        <f t="shared" si="1"/>
        <v>0.60873333333333346</v>
      </c>
      <c r="L18" s="294" t="s">
        <v>120</v>
      </c>
      <c r="M18" s="61">
        <f>IF($B18="",0,VLOOKUP($B18,Std!$B$6:$H$50,M$8,0))*$D18+IF($B18="",0,VLOOKUP($B18,Std!$B$6:$H$50,4,0))*$D18</f>
        <v>800</v>
      </c>
      <c r="N18" s="301">
        <f t="shared" si="2"/>
        <v>0.22400000000000003</v>
      </c>
      <c r="O18" s="302">
        <f t="shared" si="3"/>
        <v>0.30912000000000001</v>
      </c>
      <c r="P18" s="260" t="b">
        <v>0</v>
      </c>
      <c r="Q18" s="60">
        <f t="shared" si="4"/>
        <v>0</v>
      </c>
      <c r="R18" s="63">
        <f t="shared" si="8"/>
        <v>0</v>
      </c>
      <c r="S18" s="260" t="b">
        <v>1</v>
      </c>
      <c r="T18" s="60">
        <f t="shared" si="5"/>
        <v>2.6136176470588235</v>
      </c>
      <c r="U18" s="63">
        <f t="shared" si="6"/>
        <v>4.015686556186429</v>
      </c>
      <c r="V18" s="61">
        <f>IF($B18="",0,VLOOKUP($B18,Std!$B$6:$I$50,$V$8,0))*$D18</f>
        <v>0</v>
      </c>
      <c r="W18" s="63">
        <f t="shared" si="7"/>
        <v>0</v>
      </c>
    </row>
    <row r="19" spans="1:31" ht="13.5" customHeight="1">
      <c r="A19" s="292">
        <f>IF(B19&lt;&gt;"",INDEX(Begriffe!$B$13:$F$57,MATCH(Gebäude!B19,Begriffe!$F$13:$F$57,0),1),"")</f>
        <v>12.04</v>
      </c>
      <c r="B19" s="291" t="s">
        <v>200</v>
      </c>
      <c r="C19" s="260" t="b">
        <v>1</v>
      </c>
      <c r="D19" s="247">
        <v>500</v>
      </c>
      <c r="E19" s="78">
        <f t="shared" si="0"/>
        <v>7.5872534142640363E-2</v>
      </c>
      <c r="F19" s="83">
        <f t="shared" si="1"/>
        <v>0</v>
      </c>
      <c r="G19" s="63">
        <f t="shared" si="1"/>
        <v>0</v>
      </c>
      <c r="H19" s="83">
        <f t="shared" si="1"/>
        <v>0</v>
      </c>
      <c r="I19" s="63">
        <f t="shared" si="1"/>
        <v>0</v>
      </c>
      <c r="J19" s="83">
        <f t="shared" si="1"/>
        <v>1.1680555555555558</v>
      </c>
      <c r="K19" s="63">
        <f t="shared" si="1"/>
        <v>1.6376138888888894</v>
      </c>
      <c r="L19" s="294" t="s">
        <v>121</v>
      </c>
      <c r="M19" s="61">
        <f>IF($B19="",0,VLOOKUP($B19,Std!$B$6:$H$50,M$8,0))*$D19+IF($B19="",0,VLOOKUP($B19,Std!$B$6:$H$50,4,0))*$D19</f>
        <v>250</v>
      </c>
      <c r="N19" s="301">
        <f t="shared" si="2"/>
        <v>7.0000000000000007E-2</v>
      </c>
      <c r="O19" s="302">
        <f t="shared" si="3"/>
        <v>0.30940000000000001</v>
      </c>
      <c r="P19" s="260" t="b">
        <v>0</v>
      </c>
      <c r="Q19" s="60">
        <f t="shared" si="4"/>
        <v>0</v>
      </c>
      <c r="R19" s="63">
        <f t="shared" si="8"/>
        <v>0</v>
      </c>
      <c r="S19" s="260" t="b">
        <v>1</v>
      </c>
      <c r="T19" s="60">
        <f t="shared" si="5"/>
        <v>5.1615000000000002</v>
      </c>
      <c r="U19" s="63">
        <f t="shared" si="6"/>
        <v>6.8471773442422377</v>
      </c>
      <c r="V19" s="61">
        <f>IF($B19="",0,VLOOKUP($B19,Std!$B$6:$I$50,$V$8,0))*$D19</f>
        <v>0</v>
      </c>
      <c r="W19" s="63">
        <f t="shared" si="7"/>
        <v>0</v>
      </c>
    </row>
    <row r="20" spans="1:31" ht="13.5" customHeight="1">
      <c r="A20" s="292">
        <f>IF(B20&lt;&gt;"",INDEX(Begriffe!$B$13:$F$57,MATCH(Gebäude!B20,Begriffe!$F$13:$F$57,0),1),"")</f>
        <v>12.12</v>
      </c>
      <c r="B20" s="291" t="s">
        <v>36</v>
      </c>
      <c r="C20" s="260" t="b">
        <v>1</v>
      </c>
      <c r="D20" s="247">
        <v>20</v>
      </c>
      <c r="E20" s="78">
        <f t="shared" si="0"/>
        <v>3.0349013657056147E-3</v>
      </c>
      <c r="F20" s="83">
        <f t="shared" si="1"/>
        <v>0</v>
      </c>
      <c r="G20" s="63">
        <f t="shared" si="1"/>
        <v>0</v>
      </c>
      <c r="H20" s="83">
        <f t="shared" si="1"/>
        <v>3</v>
      </c>
      <c r="I20" s="63">
        <f t="shared" si="1"/>
        <v>21.03</v>
      </c>
      <c r="J20" s="83">
        <f t="shared" si="1"/>
        <v>0.10344444444444442</v>
      </c>
      <c r="K20" s="63">
        <f t="shared" si="1"/>
        <v>7.5514444444444431E-3</v>
      </c>
      <c r="L20" s="294" t="s">
        <v>121</v>
      </c>
      <c r="M20" s="61">
        <f>IF($B20="",0,VLOOKUP($B20,Std!$B$6:$H$50,M$8,0))*$D20+IF($B20="",0,VLOOKUP($B20,Std!$B$6:$H$50,4,0))*$D20</f>
        <v>10</v>
      </c>
      <c r="N20" s="301">
        <f t="shared" si="2"/>
        <v>5.4999999999999997E-3</v>
      </c>
      <c r="O20" s="302">
        <f t="shared" si="3"/>
        <v>3.014E-2</v>
      </c>
      <c r="P20" s="260" t="b">
        <v>1</v>
      </c>
      <c r="Q20" s="60">
        <f t="shared" si="4"/>
        <v>0.13022844444444442</v>
      </c>
      <c r="R20" s="63">
        <f t="shared" si="8"/>
        <v>0</v>
      </c>
      <c r="S20" s="260" t="b">
        <v>1</v>
      </c>
      <c r="T20" s="60">
        <f t="shared" si="5"/>
        <v>3.4200000000000001E-2</v>
      </c>
      <c r="U20" s="63">
        <f t="shared" si="6"/>
        <v>0</v>
      </c>
      <c r="V20" s="61">
        <f>IF($B20="",0,VLOOKUP($B20,Std!$B$6:$I$50,$V$8,0))*$D20</f>
        <v>0</v>
      </c>
      <c r="W20" s="63">
        <f t="shared" si="7"/>
        <v>0</v>
      </c>
      <c r="AD20" s="33"/>
      <c r="AE20" s="33"/>
    </row>
    <row r="21" spans="1:31" ht="13.5" customHeight="1">
      <c r="A21" s="292">
        <f>IF(B21&lt;&gt;"",INDEX(Begriffe!$B$13:$F$57,MATCH(Gebäude!B21,Begriffe!$F$13:$F$57,0),1),"")</f>
        <v>12.09</v>
      </c>
      <c r="B21" s="291" t="s">
        <v>33</v>
      </c>
      <c r="C21" s="260" t="b">
        <v>0</v>
      </c>
      <c r="D21" s="247">
        <v>670</v>
      </c>
      <c r="E21" s="78">
        <f t="shared" si="0"/>
        <v>0.10166919575113809</v>
      </c>
      <c r="F21" s="83">
        <f t="shared" si="1"/>
        <v>0.67</v>
      </c>
      <c r="G21" s="63">
        <f t="shared" si="1"/>
        <v>1.4270999999999998</v>
      </c>
      <c r="H21" s="83">
        <f t="shared" si="1"/>
        <v>0</v>
      </c>
      <c r="I21" s="63">
        <f t="shared" si="1"/>
        <v>0</v>
      </c>
      <c r="J21" s="83">
        <f t="shared" si="1"/>
        <v>0.50056730769230762</v>
      </c>
      <c r="K21" s="63">
        <f t="shared" si="1"/>
        <v>0.80391109615384593</v>
      </c>
      <c r="L21" s="294" t="s">
        <v>122</v>
      </c>
      <c r="M21" s="61">
        <f>IF($B21="",0,VLOOKUP($B21,Std!$B$6:$H$50,M$8,0))*$D21+IF($B21="",0,VLOOKUP($B21,Std!$B$6:$H$50,4,0))*$D21</f>
        <v>1340</v>
      </c>
      <c r="N21" s="301">
        <f t="shared" si="2"/>
        <v>0</v>
      </c>
      <c r="O21" s="302">
        <f t="shared" si="3"/>
        <v>0</v>
      </c>
      <c r="P21" s="260" t="b">
        <v>0</v>
      </c>
      <c r="Q21" s="60">
        <f t="shared" si="4"/>
        <v>0</v>
      </c>
      <c r="R21" s="63">
        <f t="shared" si="8"/>
        <v>0</v>
      </c>
      <c r="S21" s="260" t="b">
        <v>0</v>
      </c>
      <c r="T21" s="60">
        <f t="shared" si="5"/>
        <v>0</v>
      </c>
      <c r="U21" s="63">
        <f t="shared" si="6"/>
        <v>0</v>
      </c>
      <c r="V21" s="61">
        <f>IF($B21="",0,VLOOKUP($B21,Std!$B$6:$I$50,$V$8,0))*$D21</f>
        <v>0</v>
      </c>
      <c r="W21" s="63">
        <f t="shared" si="7"/>
        <v>0</v>
      </c>
      <c r="AD21" s="33"/>
      <c r="AE21" s="259"/>
    </row>
    <row r="22" spans="1:31" ht="13.5" customHeight="1">
      <c r="A22" s="292" t="str">
        <f>IF(B22&lt;&gt;"",INDEX(Begriffe!$B$13:$F$57,MATCH(Gebäude!B22,Begriffe!$F$13:$F$57,0),1),"")</f>
        <v/>
      </c>
      <c r="B22" s="291"/>
      <c r="C22" s="260" t="b">
        <v>0</v>
      </c>
      <c r="D22" s="247"/>
      <c r="E22" s="78">
        <f t="shared" si="0"/>
        <v>0</v>
      </c>
      <c r="F22" s="83">
        <f t="shared" si="1"/>
        <v>0</v>
      </c>
      <c r="G22" s="63">
        <f t="shared" si="1"/>
        <v>0</v>
      </c>
      <c r="H22" s="83">
        <f t="shared" si="1"/>
        <v>0</v>
      </c>
      <c r="I22" s="63">
        <f t="shared" si="1"/>
        <v>0</v>
      </c>
      <c r="J22" s="83">
        <f t="shared" si="1"/>
        <v>0</v>
      </c>
      <c r="K22" s="63">
        <f t="shared" si="1"/>
        <v>0</v>
      </c>
      <c r="L22" s="294"/>
      <c r="M22" s="61">
        <f>IF($B22="",0,VLOOKUP($B22,Std!$B$6:$H$50,M$8,0))*$D22+IF($B22="",0,VLOOKUP($B22,Std!$B$6:$H$50,4,0))*$D22</f>
        <v>0</v>
      </c>
      <c r="N22" s="301">
        <f t="shared" si="2"/>
        <v>0</v>
      </c>
      <c r="O22" s="302">
        <f t="shared" si="3"/>
        <v>0</v>
      </c>
      <c r="P22" s="260" t="b">
        <v>0</v>
      </c>
      <c r="Q22" s="60">
        <f t="shared" si="4"/>
        <v>0</v>
      </c>
      <c r="R22" s="63">
        <f t="shared" si="8"/>
        <v>0</v>
      </c>
      <c r="S22" s="260" t="b">
        <v>0</v>
      </c>
      <c r="T22" s="60">
        <f t="shared" si="5"/>
        <v>0</v>
      </c>
      <c r="U22" s="63">
        <f t="shared" si="6"/>
        <v>0</v>
      </c>
      <c r="V22" s="61">
        <f>IF($B22="",0,VLOOKUP($B22,Std!$B$6:$I$50,$V$8,0))*$D22</f>
        <v>0</v>
      </c>
      <c r="W22" s="63">
        <f t="shared" si="7"/>
        <v>0</v>
      </c>
      <c r="AD22" s="33"/>
      <c r="AE22" s="259"/>
    </row>
    <row r="23" spans="1:31" ht="13.5" customHeight="1">
      <c r="A23" s="292" t="str">
        <f>IF(B23&lt;&gt;"",INDEX(Begriffe!$B$13:$F$57,MATCH(Gebäude!B23,Begriffe!$F$13:$F$57,0),1),"")</f>
        <v/>
      </c>
      <c r="B23" s="291"/>
      <c r="C23" s="260" t="b">
        <v>0</v>
      </c>
      <c r="D23" s="247"/>
      <c r="E23" s="78">
        <f t="shared" si="0"/>
        <v>0</v>
      </c>
      <c r="F23" s="83">
        <f t="shared" si="1"/>
        <v>0</v>
      </c>
      <c r="G23" s="63">
        <f t="shared" si="1"/>
        <v>0</v>
      </c>
      <c r="H23" s="83">
        <f t="shared" si="1"/>
        <v>0</v>
      </c>
      <c r="I23" s="63">
        <f t="shared" si="1"/>
        <v>0</v>
      </c>
      <c r="J23" s="83">
        <f t="shared" si="1"/>
        <v>0</v>
      </c>
      <c r="K23" s="63">
        <f t="shared" si="1"/>
        <v>0</v>
      </c>
      <c r="L23" s="294"/>
      <c r="M23" s="61">
        <f>IF($B23="",0,VLOOKUP($B23,Std!$B$6:$H$50,M$8,0))*$D23+IF($B23="",0,VLOOKUP($B23,Std!$B$6:$H$50,4,0))*$D23</f>
        <v>0</v>
      </c>
      <c r="N23" s="301">
        <f t="shared" si="2"/>
        <v>0</v>
      </c>
      <c r="O23" s="302">
        <f t="shared" si="3"/>
        <v>0</v>
      </c>
      <c r="P23" s="260" t="b">
        <v>0</v>
      </c>
      <c r="Q23" s="60">
        <f t="shared" si="4"/>
        <v>0</v>
      </c>
      <c r="R23" s="63">
        <f t="shared" si="8"/>
        <v>0</v>
      </c>
      <c r="S23" s="260" t="b">
        <v>0</v>
      </c>
      <c r="T23" s="60">
        <f t="shared" si="5"/>
        <v>0</v>
      </c>
      <c r="U23" s="63">
        <f t="shared" si="6"/>
        <v>0</v>
      </c>
      <c r="V23" s="61">
        <f>IF($B23="",0,VLOOKUP($B23,Std!$B$6:$I$50,$V$8,0))*$D23</f>
        <v>0</v>
      </c>
      <c r="W23" s="63">
        <f t="shared" si="7"/>
        <v>0</v>
      </c>
      <c r="AD23" s="33"/>
      <c r="AE23" s="259"/>
    </row>
    <row r="24" spans="1:31" ht="13.5" customHeight="1">
      <c r="A24" s="292" t="str">
        <f>IF(B24&lt;&gt;"",INDEX(Begriffe!$B$13:$F$57,MATCH(Gebäude!B24,Begriffe!$F$13:$F$57,0),1),"")</f>
        <v/>
      </c>
      <c r="B24" s="291"/>
      <c r="C24" s="260" t="b">
        <v>0</v>
      </c>
      <c r="D24" s="247"/>
      <c r="E24" s="78">
        <f t="shared" si="0"/>
        <v>0</v>
      </c>
      <c r="F24" s="83">
        <f t="shared" si="1"/>
        <v>0</v>
      </c>
      <c r="G24" s="63">
        <f t="shared" si="1"/>
        <v>0</v>
      </c>
      <c r="H24" s="83">
        <f t="shared" si="1"/>
        <v>0</v>
      </c>
      <c r="I24" s="63">
        <f t="shared" si="1"/>
        <v>0</v>
      </c>
      <c r="J24" s="83">
        <f t="shared" si="1"/>
        <v>0</v>
      </c>
      <c r="K24" s="63">
        <f t="shared" si="1"/>
        <v>0</v>
      </c>
      <c r="L24" s="294"/>
      <c r="M24" s="61">
        <f>IF($B24="",0,VLOOKUP($B24,Std!$B$6:$H$50,M$8,0))*$D24+IF($B24="",0,VLOOKUP($B24,Std!$B$6:$H$50,4,0))*$D24</f>
        <v>0</v>
      </c>
      <c r="N24" s="301">
        <f t="shared" si="2"/>
        <v>0</v>
      </c>
      <c r="O24" s="302">
        <f t="shared" si="3"/>
        <v>0</v>
      </c>
      <c r="P24" s="260" t="b">
        <v>0</v>
      </c>
      <c r="Q24" s="60">
        <f t="shared" si="4"/>
        <v>0</v>
      </c>
      <c r="R24" s="63">
        <f t="shared" si="8"/>
        <v>0</v>
      </c>
      <c r="S24" s="260" t="b">
        <v>0</v>
      </c>
      <c r="T24" s="60">
        <f t="shared" si="5"/>
        <v>0</v>
      </c>
      <c r="U24" s="63">
        <f t="shared" si="6"/>
        <v>0</v>
      </c>
      <c r="V24" s="61">
        <f>IF($B24="",0,VLOOKUP($B24,Std!$B$6:$I$50,$V$8,0))*$D24</f>
        <v>0</v>
      </c>
      <c r="W24" s="63">
        <f t="shared" si="7"/>
        <v>0</v>
      </c>
      <c r="AD24" s="33"/>
      <c r="AE24" s="259"/>
    </row>
    <row r="25" spans="1:31" ht="13.5" customHeight="1">
      <c r="A25" s="292" t="str">
        <f>IF(B25&lt;&gt;"",INDEX(Begriffe!$B$13:$F$57,MATCH(Gebäude!B25,Begriffe!$F$13:$F$57,0),1),"")</f>
        <v/>
      </c>
      <c r="B25" s="291"/>
      <c r="C25" s="260" t="b">
        <v>0</v>
      </c>
      <c r="D25" s="247"/>
      <c r="E25" s="78">
        <f t="shared" si="0"/>
        <v>0</v>
      </c>
      <c r="F25" s="83">
        <f t="shared" si="1"/>
        <v>0</v>
      </c>
      <c r="G25" s="63">
        <f t="shared" si="1"/>
        <v>0</v>
      </c>
      <c r="H25" s="83">
        <f t="shared" si="1"/>
        <v>0</v>
      </c>
      <c r="I25" s="63">
        <f t="shared" si="1"/>
        <v>0</v>
      </c>
      <c r="J25" s="83">
        <f t="shared" si="1"/>
        <v>0</v>
      </c>
      <c r="K25" s="63">
        <f t="shared" si="1"/>
        <v>0</v>
      </c>
      <c r="L25" s="294"/>
      <c r="M25" s="61">
        <f>IF($B25="",0,VLOOKUP($B25,Std!$B$6:$H$50,M$8,0))*$D25+IF($B25="",0,VLOOKUP($B25,Std!$B$6:$H$50,4,0))*$D25</f>
        <v>0</v>
      </c>
      <c r="N25" s="301">
        <f t="shared" si="2"/>
        <v>0</v>
      </c>
      <c r="O25" s="302">
        <f t="shared" si="3"/>
        <v>0</v>
      </c>
      <c r="P25" s="260" t="b">
        <v>0</v>
      </c>
      <c r="Q25" s="60">
        <f t="shared" si="4"/>
        <v>0</v>
      </c>
      <c r="R25" s="63">
        <f t="shared" si="8"/>
        <v>0</v>
      </c>
      <c r="S25" s="260" t="b">
        <v>0</v>
      </c>
      <c r="T25" s="60">
        <f t="shared" si="5"/>
        <v>0</v>
      </c>
      <c r="U25" s="63">
        <f t="shared" si="6"/>
        <v>0</v>
      </c>
      <c r="V25" s="61">
        <f>IF($B25="",0,VLOOKUP($B25,Std!$B$6:$I$50,$V$8,0))*$D25</f>
        <v>0</v>
      </c>
      <c r="W25" s="63">
        <f t="shared" si="7"/>
        <v>0</v>
      </c>
      <c r="AD25" s="33"/>
      <c r="AE25" s="259"/>
    </row>
    <row r="26" spans="1:31" ht="13.5" hidden="1" customHeight="1">
      <c r="A26" s="292" t="str">
        <f>IF(B26&lt;&gt;"",INDEX(Begriffe!$B$13:$F$57,MATCH(Gebäude!B26,Begriffe!$F$13:$F$57,0),1),"")</f>
        <v/>
      </c>
      <c r="B26" s="291"/>
      <c r="C26" s="260" t="b">
        <v>0</v>
      </c>
      <c r="D26" s="247"/>
      <c r="E26" s="78">
        <f t="shared" si="0"/>
        <v>0</v>
      </c>
      <c r="F26" s="83">
        <f t="shared" si="1"/>
        <v>0</v>
      </c>
      <c r="G26" s="63">
        <f t="shared" si="1"/>
        <v>0</v>
      </c>
      <c r="H26" s="83">
        <f t="shared" si="1"/>
        <v>0</v>
      </c>
      <c r="I26" s="63">
        <f t="shared" si="1"/>
        <v>0</v>
      </c>
      <c r="J26" s="83">
        <f t="shared" si="1"/>
        <v>0</v>
      </c>
      <c r="K26" s="63">
        <f t="shared" si="1"/>
        <v>0</v>
      </c>
      <c r="L26" s="294"/>
      <c r="M26" s="61">
        <f>IF($B26="",0,VLOOKUP($B26,Std!$B$6:$H$50,M$8,0))*$D26+IF($B26="",0,VLOOKUP($B26,Std!$B$6:$H$50,4,0))*$D26</f>
        <v>0</v>
      </c>
      <c r="N26" s="301">
        <f t="shared" si="2"/>
        <v>0</v>
      </c>
      <c r="O26" s="302">
        <f t="shared" si="3"/>
        <v>0</v>
      </c>
      <c r="P26" s="260" t="b">
        <v>0</v>
      </c>
      <c r="Q26" s="60">
        <f t="shared" si="4"/>
        <v>0</v>
      </c>
      <c r="R26" s="63">
        <f t="shared" si="8"/>
        <v>0</v>
      </c>
      <c r="S26" s="260" t="b">
        <v>0</v>
      </c>
      <c r="T26" s="60">
        <f t="shared" si="5"/>
        <v>0</v>
      </c>
      <c r="U26" s="63">
        <f t="shared" si="6"/>
        <v>0</v>
      </c>
      <c r="V26" s="61">
        <f>IF($B26="",0,VLOOKUP($B26,Std!$B$6:$I$50,$V$8,0))*$D26</f>
        <v>0</v>
      </c>
      <c r="W26" s="63">
        <f t="shared" si="7"/>
        <v>0</v>
      </c>
      <c r="AD26" s="33"/>
      <c r="AE26" s="259"/>
    </row>
    <row r="27" spans="1:31" ht="13.5" hidden="1" customHeight="1">
      <c r="A27" s="292" t="str">
        <f>IF(B27&lt;&gt;"",INDEX(Begriffe!$B$13:$F$57,MATCH(Gebäude!B27,Begriffe!$F$13:$F$57,0),1),"")</f>
        <v/>
      </c>
      <c r="B27" s="291"/>
      <c r="C27" s="260" t="b">
        <v>0</v>
      </c>
      <c r="D27" s="247"/>
      <c r="E27" s="78">
        <f t="shared" si="0"/>
        <v>0</v>
      </c>
      <c r="F27" s="83">
        <f t="shared" si="1"/>
        <v>0</v>
      </c>
      <c r="G27" s="63">
        <f t="shared" si="1"/>
        <v>0</v>
      </c>
      <c r="H27" s="83">
        <f t="shared" si="1"/>
        <v>0</v>
      </c>
      <c r="I27" s="63">
        <f t="shared" si="1"/>
        <v>0</v>
      </c>
      <c r="J27" s="83">
        <f t="shared" si="1"/>
        <v>0</v>
      </c>
      <c r="K27" s="63">
        <f t="shared" si="1"/>
        <v>0</v>
      </c>
      <c r="L27" s="294"/>
      <c r="M27" s="61">
        <f>IF($B27="",0,VLOOKUP($B27,Std!$B$6:$H$50,M$8,0))*$D27+IF($B27="",0,VLOOKUP($B27,Std!$B$6:$H$50,4,0))*$D27</f>
        <v>0</v>
      </c>
      <c r="N27" s="301">
        <f t="shared" si="2"/>
        <v>0</v>
      </c>
      <c r="O27" s="302">
        <f t="shared" si="3"/>
        <v>0</v>
      </c>
      <c r="P27" s="260" t="b">
        <v>0</v>
      </c>
      <c r="Q27" s="60">
        <f t="shared" si="4"/>
        <v>0</v>
      </c>
      <c r="R27" s="63">
        <f t="shared" si="8"/>
        <v>0</v>
      </c>
      <c r="S27" s="260" t="b">
        <v>0</v>
      </c>
      <c r="T27" s="60">
        <f t="shared" si="5"/>
        <v>0</v>
      </c>
      <c r="U27" s="63">
        <f t="shared" si="6"/>
        <v>0</v>
      </c>
      <c r="V27" s="61">
        <f>IF($B27="",0,VLOOKUP($B27,Std!$B$6:$I$50,$V$8,0))*$D27</f>
        <v>0</v>
      </c>
      <c r="W27" s="63">
        <f t="shared" si="7"/>
        <v>0</v>
      </c>
      <c r="AD27" s="33"/>
      <c r="AE27" s="259"/>
    </row>
    <row r="28" spans="1:31" ht="13.5" hidden="1" customHeight="1">
      <c r="A28" s="292" t="str">
        <f>IF(B28&lt;&gt;"",INDEX(Begriffe!$B$13:$F$57,MATCH(Gebäude!B28,Begriffe!$F$13:$F$57,0),1),"")</f>
        <v/>
      </c>
      <c r="B28" s="291"/>
      <c r="C28" s="260" t="b">
        <v>0</v>
      </c>
      <c r="D28" s="247"/>
      <c r="E28" s="78">
        <f t="shared" si="0"/>
        <v>0</v>
      </c>
      <c r="F28" s="83">
        <f t="shared" si="1"/>
        <v>0</v>
      </c>
      <c r="G28" s="63">
        <f t="shared" si="1"/>
        <v>0</v>
      </c>
      <c r="H28" s="83">
        <f t="shared" si="1"/>
        <v>0</v>
      </c>
      <c r="I28" s="63">
        <f t="shared" si="1"/>
        <v>0</v>
      </c>
      <c r="J28" s="83">
        <f t="shared" si="1"/>
        <v>0</v>
      </c>
      <c r="K28" s="63">
        <f t="shared" si="1"/>
        <v>0</v>
      </c>
      <c r="L28" s="294"/>
      <c r="M28" s="61">
        <f>IF($B28="",0,VLOOKUP($B28,Std!$B$6:$H$50,M$8,0))*$D28+IF($B28="",0,VLOOKUP($B28,Std!$B$6:$H$50,4,0))*$D28</f>
        <v>0</v>
      </c>
      <c r="N28" s="301">
        <f t="shared" si="2"/>
        <v>0</v>
      </c>
      <c r="O28" s="302">
        <f t="shared" si="3"/>
        <v>0</v>
      </c>
      <c r="P28" s="260" t="b">
        <v>0</v>
      </c>
      <c r="Q28" s="60">
        <f t="shared" si="4"/>
        <v>0</v>
      </c>
      <c r="R28" s="63">
        <f t="shared" si="8"/>
        <v>0</v>
      </c>
      <c r="S28" s="260" t="b">
        <v>0</v>
      </c>
      <c r="T28" s="60">
        <f t="shared" si="5"/>
        <v>0</v>
      </c>
      <c r="U28" s="63">
        <f t="shared" si="6"/>
        <v>0</v>
      </c>
      <c r="V28" s="61">
        <f>IF($B28="",0,VLOOKUP($B28,Std!$B$6:$I$50,$V$8,0))*$D28</f>
        <v>0</v>
      </c>
      <c r="W28" s="63">
        <f t="shared" si="7"/>
        <v>0</v>
      </c>
      <c r="AD28" s="33"/>
      <c r="AE28" s="259"/>
    </row>
    <row r="29" spans="1:31" ht="13.5" hidden="1" customHeight="1">
      <c r="A29" s="292" t="str">
        <f>IF(B29&lt;&gt;"",INDEX(Begriffe!$B$13:$F$57,MATCH(Gebäude!B29,Begriffe!$F$13:$F$57,0),1),"")</f>
        <v/>
      </c>
      <c r="B29" s="291"/>
      <c r="C29" s="260" t="b">
        <v>0</v>
      </c>
      <c r="D29" s="247"/>
      <c r="E29" s="78">
        <f t="shared" si="0"/>
        <v>0</v>
      </c>
      <c r="F29" s="83">
        <f t="shared" si="1"/>
        <v>0</v>
      </c>
      <c r="G29" s="63">
        <f t="shared" si="1"/>
        <v>0</v>
      </c>
      <c r="H29" s="83">
        <f t="shared" si="1"/>
        <v>0</v>
      </c>
      <c r="I29" s="63">
        <f t="shared" si="1"/>
        <v>0</v>
      </c>
      <c r="J29" s="83">
        <f t="shared" si="1"/>
        <v>0</v>
      </c>
      <c r="K29" s="63">
        <f t="shared" si="1"/>
        <v>0</v>
      </c>
      <c r="L29" s="294"/>
      <c r="M29" s="61">
        <f>IF($B29="",0,VLOOKUP($B29,Std!$B$6:$H$50,M$8,0))*$D29+IF($B29="",0,VLOOKUP($B29,Std!$B$6:$H$50,4,0))*$D29</f>
        <v>0</v>
      </c>
      <c r="N29" s="301">
        <f t="shared" si="2"/>
        <v>0</v>
      </c>
      <c r="O29" s="302">
        <f t="shared" si="3"/>
        <v>0</v>
      </c>
      <c r="P29" s="260" t="b">
        <v>0</v>
      </c>
      <c r="Q29" s="60">
        <f t="shared" si="4"/>
        <v>0</v>
      </c>
      <c r="R29" s="63">
        <f t="shared" si="8"/>
        <v>0</v>
      </c>
      <c r="S29" s="260" t="b">
        <v>0</v>
      </c>
      <c r="T29" s="60">
        <f t="shared" si="5"/>
        <v>0</v>
      </c>
      <c r="U29" s="63">
        <f t="shared" si="6"/>
        <v>0</v>
      </c>
      <c r="V29" s="61">
        <f>IF($B29="",0,VLOOKUP($B29,Std!$B$6:$I$50,$V$8,0))*$D29</f>
        <v>0</v>
      </c>
      <c r="W29" s="63">
        <f t="shared" si="7"/>
        <v>0</v>
      </c>
      <c r="AD29" s="33"/>
      <c r="AE29" s="259"/>
    </row>
    <row r="30" spans="1:31" ht="13.5" hidden="1" customHeight="1">
      <c r="A30" s="292" t="str">
        <f>IF(B30&lt;&gt;"",INDEX(Begriffe!$B$13:$F$57,MATCH(Gebäude!B30,Begriffe!$F$13:$F$57,0),1),"")</f>
        <v/>
      </c>
      <c r="B30" s="291"/>
      <c r="C30" s="260" t="b">
        <v>0</v>
      </c>
      <c r="D30" s="247"/>
      <c r="E30" s="78">
        <f t="shared" si="0"/>
        <v>0</v>
      </c>
      <c r="F30" s="83">
        <f t="shared" si="1"/>
        <v>0</v>
      </c>
      <c r="G30" s="63">
        <f t="shared" si="1"/>
        <v>0</v>
      </c>
      <c r="H30" s="83">
        <f t="shared" si="1"/>
        <v>0</v>
      </c>
      <c r="I30" s="63">
        <f t="shared" si="1"/>
        <v>0</v>
      </c>
      <c r="J30" s="83">
        <f t="shared" si="1"/>
        <v>0</v>
      </c>
      <c r="K30" s="63">
        <f t="shared" si="1"/>
        <v>0</v>
      </c>
      <c r="L30" s="294"/>
      <c r="M30" s="61">
        <f>IF($B30="",0,VLOOKUP($B30,Std!$B$6:$H$50,M$8,0))*$D30+IF($B30="",0,VLOOKUP($B30,Std!$B$6:$H$50,4,0))*$D30</f>
        <v>0</v>
      </c>
      <c r="N30" s="301">
        <f t="shared" si="2"/>
        <v>0</v>
      </c>
      <c r="O30" s="302">
        <f t="shared" si="3"/>
        <v>0</v>
      </c>
      <c r="P30" s="260" t="b">
        <v>0</v>
      </c>
      <c r="Q30" s="60">
        <f t="shared" si="4"/>
        <v>0</v>
      </c>
      <c r="R30" s="63">
        <f t="shared" si="8"/>
        <v>0</v>
      </c>
      <c r="S30" s="260" t="b">
        <v>0</v>
      </c>
      <c r="T30" s="60">
        <f t="shared" si="5"/>
        <v>0</v>
      </c>
      <c r="U30" s="63">
        <f t="shared" si="6"/>
        <v>0</v>
      </c>
      <c r="V30" s="61">
        <f>IF($B30="",0,VLOOKUP($B30,Std!$B$6:$I$50,$V$8,0))*$D30</f>
        <v>0</v>
      </c>
      <c r="W30" s="63">
        <f t="shared" si="7"/>
        <v>0</v>
      </c>
      <c r="AD30" s="33"/>
      <c r="AE30" s="259"/>
    </row>
    <row r="31" spans="1:31" ht="13.5" hidden="1" customHeight="1">
      <c r="A31" s="292" t="str">
        <f>IF(B31&lt;&gt;"",INDEX(Begriffe!$B$13:$F$57,MATCH(Gebäude!B31,Begriffe!$F$13:$F$57,0),1),"")</f>
        <v/>
      </c>
      <c r="B31" s="291"/>
      <c r="C31" s="260" t="b">
        <v>0</v>
      </c>
      <c r="D31" s="247"/>
      <c r="E31" s="78">
        <f t="shared" si="0"/>
        <v>0</v>
      </c>
      <c r="F31" s="83">
        <f t="shared" si="1"/>
        <v>0</v>
      </c>
      <c r="G31" s="63">
        <f t="shared" si="1"/>
        <v>0</v>
      </c>
      <c r="H31" s="83">
        <f t="shared" si="1"/>
        <v>0</v>
      </c>
      <c r="I31" s="63">
        <f t="shared" si="1"/>
        <v>0</v>
      </c>
      <c r="J31" s="83">
        <f t="shared" si="1"/>
        <v>0</v>
      </c>
      <c r="K31" s="63">
        <f t="shared" si="1"/>
        <v>0</v>
      </c>
      <c r="L31" s="294"/>
      <c r="M31" s="61">
        <f>IF($B31="",0,VLOOKUP($B31,Std!$B$6:$H$50,M$8,0))*$D31+IF($B31="",0,VLOOKUP($B31,Std!$B$6:$H$50,4,0))*$D31</f>
        <v>0</v>
      </c>
      <c r="N31" s="301">
        <f t="shared" si="2"/>
        <v>0</v>
      </c>
      <c r="O31" s="302">
        <f t="shared" si="3"/>
        <v>0</v>
      </c>
      <c r="P31" s="260" t="b">
        <v>0</v>
      </c>
      <c r="Q31" s="60">
        <f t="shared" si="4"/>
        <v>0</v>
      </c>
      <c r="R31" s="63">
        <f t="shared" si="8"/>
        <v>0</v>
      </c>
      <c r="S31" s="260" t="b">
        <v>0</v>
      </c>
      <c r="T31" s="60">
        <f t="shared" si="5"/>
        <v>0</v>
      </c>
      <c r="U31" s="63">
        <f t="shared" si="6"/>
        <v>0</v>
      </c>
      <c r="V31" s="61">
        <f>IF($B31="",0,VLOOKUP($B31,Std!$B$6:$I$50,$V$8,0))*$D31</f>
        <v>0</v>
      </c>
      <c r="W31" s="63">
        <f t="shared" si="7"/>
        <v>0</v>
      </c>
    </row>
    <row r="32" spans="1:31" ht="13.5" customHeight="1">
      <c r="A32" s="292" t="str">
        <f>IF(B32&lt;&gt;"",INDEX(Begriffe!$B$13:$F$57,MATCH(Gebäude!B32,Begriffe!$F$13:$F$57,0),1),"")</f>
        <v/>
      </c>
      <c r="B32" s="291"/>
      <c r="C32" s="260" t="b">
        <v>0</v>
      </c>
      <c r="D32" s="247"/>
      <c r="E32" s="78">
        <f t="shared" si="0"/>
        <v>0</v>
      </c>
      <c r="F32" s="83">
        <f t="shared" si="1"/>
        <v>0</v>
      </c>
      <c r="G32" s="63">
        <f t="shared" si="1"/>
        <v>0</v>
      </c>
      <c r="H32" s="83">
        <f t="shared" si="1"/>
        <v>0</v>
      </c>
      <c r="I32" s="63">
        <f t="shared" si="1"/>
        <v>0</v>
      </c>
      <c r="J32" s="83">
        <f t="shared" si="1"/>
        <v>0</v>
      </c>
      <c r="K32" s="63">
        <f t="shared" si="1"/>
        <v>0</v>
      </c>
      <c r="L32" s="294"/>
      <c r="M32" s="61">
        <f>IF($B32="",0,VLOOKUP($B32,Std!$B$6:$H$50,M$8,0))*$D32+IF($B32="",0,VLOOKUP($B32,Std!$B$6:$H$50,4,0))*$D32</f>
        <v>0</v>
      </c>
      <c r="N32" s="301">
        <f t="shared" si="2"/>
        <v>0</v>
      </c>
      <c r="O32" s="302">
        <f t="shared" si="3"/>
        <v>0</v>
      </c>
      <c r="P32" s="260" t="b">
        <v>0</v>
      </c>
      <c r="Q32" s="60">
        <f t="shared" si="4"/>
        <v>0</v>
      </c>
      <c r="R32" s="63">
        <f t="shared" si="8"/>
        <v>0</v>
      </c>
      <c r="S32" s="260" t="b">
        <v>0</v>
      </c>
      <c r="T32" s="60">
        <f t="shared" si="5"/>
        <v>0</v>
      </c>
      <c r="U32" s="63">
        <f t="shared" si="6"/>
        <v>0</v>
      </c>
      <c r="V32" s="61">
        <f>IF($B32="",0,VLOOKUP($B32,Std!$B$6:$I$50,$V$8,0))*$D32</f>
        <v>0</v>
      </c>
      <c r="W32" s="63">
        <f t="shared" si="7"/>
        <v>0</v>
      </c>
    </row>
    <row r="33" spans="1:25" ht="13.5" customHeight="1">
      <c r="A33" s="166"/>
      <c r="B33" s="72" t="str">
        <f>Begriffe!$F$83</f>
        <v>Total</v>
      </c>
      <c r="C33" s="79"/>
      <c r="D33" s="163">
        <f t="shared" ref="D33:K33" si="9">SUM(D12:D32)</f>
        <v>6590</v>
      </c>
      <c r="E33" s="78">
        <f t="shared" si="9"/>
        <v>1</v>
      </c>
      <c r="F33" s="83">
        <f t="shared" si="9"/>
        <v>45.57</v>
      </c>
      <c r="G33" s="63">
        <f t="shared" si="9"/>
        <v>129.68610000000001</v>
      </c>
      <c r="H33" s="83">
        <f t="shared" ref="H33" si="10">SUM(H12:H32)</f>
        <v>3</v>
      </c>
      <c r="I33" s="63">
        <f t="shared" ref="I33" si="11">SUM(I12:I32)</f>
        <v>21.03</v>
      </c>
      <c r="J33" s="83">
        <f t="shared" si="9"/>
        <v>41.375400641025635</v>
      </c>
      <c r="K33" s="63">
        <f t="shared" si="9"/>
        <v>59.901999762820516</v>
      </c>
      <c r="L33" s="219"/>
      <c r="M33" s="61">
        <f>SUM(M12:M32)</f>
        <v>13595.238095238097</v>
      </c>
      <c r="N33" s="301">
        <f>SUM(N12:N32)</f>
        <v>6.3468809523809533</v>
      </c>
      <c r="O33" s="302">
        <f>SUM(O12:O32)</f>
        <v>21.38847904761905</v>
      </c>
      <c r="P33" s="83"/>
      <c r="Q33" s="60">
        <f>SUM(Q12:Q32)</f>
        <v>167.13804777591034</v>
      </c>
      <c r="R33" s="63">
        <f>SUM(R12:R32)</f>
        <v>61.207458927900795</v>
      </c>
      <c r="S33" s="83"/>
      <c r="T33" s="60">
        <f>SUM(T12:T32)</f>
        <v>103.32212882352943</v>
      </c>
      <c r="U33" s="63">
        <f>SUM(U12:U32)</f>
        <v>68.833911086307737</v>
      </c>
      <c r="V33" s="85">
        <f>SUM(V12:V32)</f>
        <v>835.71428571428567</v>
      </c>
      <c r="W33" s="63">
        <f>SUM(W12:W32)</f>
        <v>10.120834285714288</v>
      </c>
    </row>
    <row r="34" spans="1:25" ht="13.5" customHeight="1">
      <c r="A34" s="4"/>
      <c r="B34" s="243" t="str">
        <f>Begriffe!F84</f>
        <v>Werte aus anderen Quellen</v>
      </c>
      <c r="C34" s="79"/>
      <c r="D34" s="248"/>
      <c r="E34" s="78"/>
      <c r="F34" s="249"/>
      <c r="G34" s="250"/>
      <c r="H34" s="249"/>
      <c r="I34" s="250"/>
      <c r="J34" s="249"/>
      <c r="K34" s="250"/>
      <c r="L34" s="219"/>
      <c r="M34" s="251"/>
      <c r="N34" s="383"/>
      <c r="O34" s="384"/>
      <c r="P34" s="83"/>
      <c r="Q34" s="252"/>
      <c r="R34" s="250"/>
      <c r="S34" s="83"/>
      <c r="T34" s="252"/>
      <c r="U34" s="255"/>
      <c r="V34" s="253"/>
      <c r="W34" s="250"/>
    </row>
    <row r="35" spans="1:25" ht="13.5" customHeight="1">
      <c r="A35" s="4"/>
      <c r="B35" s="72" t="str">
        <f>Begriffe!F82</f>
        <v>Rechenwert</v>
      </c>
      <c r="C35" s="79"/>
      <c r="D35" s="80">
        <f>IF(D34&lt;&gt;"",D34,D33)</f>
        <v>6590</v>
      </c>
      <c r="E35" s="78"/>
      <c r="F35" s="83">
        <f t="shared" ref="F35:K35" si="12">IF(F34&lt;&gt;"",F34,F33)</f>
        <v>45.57</v>
      </c>
      <c r="G35" s="63">
        <f t="shared" si="12"/>
        <v>129.68610000000001</v>
      </c>
      <c r="H35" s="83">
        <f t="shared" si="12"/>
        <v>3</v>
      </c>
      <c r="I35" s="63">
        <f t="shared" si="12"/>
        <v>21.03</v>
      </c>
      <c r="J35" s="83">
        <f t="shared" si="12"/>
        <v>41.375400641025635</v>
      </c>
      <c r="K35" s="63">
        <f t="shared" si="12"/>
        <v>59.901999762820516</v>
      </c>
      <c r="L35" s="219"/>
      <c r="M35" s="61">
        <f>IF(M34&lt;&gt;"",M34,M33)</f>
        <v>13595.238095238097</v>
      </c>
      <c r="N35" s="301">
        <f>IF(N34&lt;&gt;"",N34,N33)</f>
        <v>6.3468809523809533</v>
      </c>
      <c r="O35" s="302">
        <f>IF(O34&lt;&gt;"",O34,O33)</f>
        <v>21.38847904761905</v>
      </c>
      <c r="P35" s="83"/>
      <c r="Q35" s="60">
        <f>IF(Q34&lt;&gt;"",Q34,Q33)</f>
        <v>167.13804777591034</v>
      </c>
      <c r="R35" s="63">
        <f>IF(R34&lt;&gt;"",R34,R33)</f>
        <v>61.207458927900795</v>
      </c>
      <c r="S35" s="83"/>
      <c r="T35" s="60">
        <f>IF(T34&lt;&gt;"",T34,T33)</f>
        <v>103.32212882352943</v>
      </c>
      <c r="U35" s="63">
        <f>IF(U34&lt;&gt;"",U34,U33)</f>
        <v>68.833911086307737</v>
      </c>
      <c r="V35" s="85">
        <f>IF(V34&lt;&gt;"",V34,V33)</f>
        <v>835.71428571428567</v>
      </c>
      <c r="W35" s="63">
        <f>IF(W34&lt;&gt;"",W34,W33)</f>
        <v>10.120834285714288</v>
      </c>
    </row>
    <row r="36" spans="1:25" ht="13.5" customHeight="1">
      <c r="A36" s="4"/>
      <c r="B36" s="244"/>
      <c r="C36" s="245"/>
      <c r="D36" s="80"/>
      <c r="E36" s="241"/>
      <c r="F36" s="84"/>
      <c r="G36" s="84"/>
      <c r="H36" s="84"/>
      <c r="I36" s="84"/>
      <c r="J36" s="84"/>
      <c r="K36" s="84"/>
      <c r="L36" s="242"/>
      <c r="M36" s="84"/>
      <c r="N36" s="385"/>
      <c r="O36" s="385"/>
      <c r="P36" s="84"/>
      <c r="Q36" s="84"/>
      <c r="R36" s="84"/>
      <c r="S36" s="84"/>
      <c r="T36" s="84"/>
      <c r="U36" s="84"/>
      <c r="V36" s="84"/>
      <c r="W36" s="84"/>
    </row>
    <row r="37" spans="1:25" ht="13.5" customHeight="1">
      <c r="A37"/>
      <c r="B37" s="87" t="str">
        <f>Begriffe!F86</f>
        <v>Anteil Konstruktionsfläche</v>
      </c>
      <c r="C37" s="79" t="s">
        <v>129</v>
      </c>
      <c r="D37" s="254">
        <v>10</v>
      </c>
      <c r="E37" s="14"/>
      <c r="F37" s="90" t="str">
        <f>Begriffe!F94</f>
        <v>Bedarf pro Energiebezugsfläche</v>
      </c>
      <c r="G37" s="91"/>
      <c r="H37" s="90"/>
      <c r="I37" s="91"/>
      <c r="J37" s="91"/>
      <c r="K37" s="91"/>
      <c r="L37" s="91"/>
      <c r="M37" s="91"/>
      <c r="N37" s="386"/>
      <c r="O37" s="387"/>
      <c r="P37" s="91"/>
      <c r="Q37" s="91"/>
      <c r="R37" s="91"/>
      <c r="S37" s="91"/>
      <c r="T37" s="91"/>
      <c r="U37" s="91"/>
      <c r="V37" s="91"/>
      <c r="W37" s="93"/>
    </row>
    <row r="38" spans="1:25" ht="14.25" customHeight="1">
      <c r="A38"/>
      <c r="B38" s="88" t="str">
        <f>Begriffe!F87</f>
        <v>Geschossfläche (GF)</v>
      </c>
      <c r="C38" s="89" t="s">
        <v>126</v>
      </c>
      <c r="D38" s="86">
        <f>D35*(100+D37)%</f>
        <v>7249.0000000000009</v>
      </c>
      <c r="E38" s="14"/>
      <c r="F38" s="94" t="s">
        <v>198</v>
      </c>
      <c r="G38" s="95" t="s">
        <v>216</v>
      </c>
      <c r="H38" s="94" t="s">
        <v>198</v>
      </c>
      <c r="I38" s="95" t="s">
        <v>216</v>
      </c>
      <c r="J38" s="94" t="s">
        <v>198</v>
      </c>
      <c r="K38" s="95" t="s">
        <v>216</v>
      </c>
      <c r="L38" s="131"/>
      <c r="M38" s="98" t="s">
        <v>522</v>
      </c>
      <c r="N38" s="388" t="s">
        <v>643</v>
      </c>
      <c r="O38" s="389" t="s">
        <v>644</v>
      </c>
      <c r="P38" s="131"/>
      <c r="Q38" s="98" t="s">
        <v>198</v>
      </c>
      <c r="R38" s="95" t="s">
        <v>216</v>
      </c>
      <c r="S38" s="131"/>
      <c r="T38" s="98" t="s">
        <v>198</v>
      </c>
      <c r="U38" s="95" t="s">
        <v>216</v>
      </c>
      <c r="V38" s="131"/>
      <c r="W38" s="95" t="s">
        <v>216</v>
      </c>
    </row>
    <row r="39" spans="1:25" ht="13.5" customHeight="1">
      <c r="A39"/>
      <c r="B39" s="239" t="str">
        <f>Begriffe!F88</f>
        <v>Energiebezugsfläche (EBF)</v>
      </c>
      <c r="C39" s="89" t="s">
        <v>126</v>
      </c>
      <c r="D39" s="86">
        <f>SUMIF(C12:C32,TRUE,D12:D32)*(100+D37)%</f>
        <v>6512.0000000000009</v>
      </c>
      <c r="E39" s="14"/>
      <c r="F39" s="96">
        <f t="shared" ref="F39:K39" si="13">F35*1000/$D$39</f>
        <v>6.9978501228501218</v>
      </c>
      <c r="G39" s="97">
        <f t="shared" si="13"/>
        <v>19.914941646191643</v>
      </c>
      <c r="H39" s="96">
        <f t="shared" si="13"/>
        <v>0.46068796068796064</v>
      </c>
      <c r="I39" s="97">
        <f t="shared" si="13"/>
        <v>3.229422604422604</v>
      </c>
      <c r="J39" s="96">
        <f t="shared" si="13"/>
        <v>6.3537163146538127</v>
      </c>
      <c r="K39" s="97">
        <f t="shared" si="13"/>
        <v>9.1987100372881621</v>
      </c>
      <c r="L39" s="131"/>
      <c r="M39" s="99">
        <f>M35/$D$39</f>
        <v>2.0877208377208376</v>
      </c>
      <c r="N39" s="390">
        <f>N35*1000/$D$39</f>
        <v>0.97464388089388088</v>
      </c>
      <c r="O39" s="391">
        <f>O35*1000/$D$39</f>
        <v>3.284471598221598</v>
      </c>
      <c r="P39" s="131"/>
      <c r="Q39" s="99">
        <f>Q35*1000/$D$39</f>
        <v>25.666162127750354</v>
      </c>
      <c r="R39" s="97">
        <f>R35*1000/$D$39</f>
        <v>9.3991798107955749</v>
      </c>
      <c r="S39" s="131"/>
      <c r="T39" s="99">
        <f>T35*1000/$D$39</f>
        <v>15.866420273883508</v>
      </c>
      <c r="U39" s="97">
        <f>U35*1000/$D$39</f>
        <v>10.570318041509172</v>
      </c>
      <c r="V39" s="132"/>
      <c r="W39" s="97">
        <f>W35*1000/$D$39</f>
        <v>1.5541821691821693</v>
      </c>
    </row>
    <row r="40" spans="1:25" ht="13.5" customHeight="1">
      <c r="A40"/>
      <c r="F40"/>
      <c r="G40"/>
      <c r="H40"/>
      <c r="I40"/>
      <c r="J40"/>
      <c r="K40"/>
      <c r="L40" s="33"/>
      <c r="M40"/>
      <c r="N40" s="328"/>
      <c r="O40" s="328"/>
      <c r="P40"/>
      <c r="Q40"/>
      <c r="R40"/>
      <c r="S40"/>
      <c r="T40"/>
      <c r="U40"/>
      <c r="V40"/>
      <c r="W40"/>
      <c r="X40"/>
    </row>
    <row r="41" spans="1:25">
      <c r="B41" s="7"/>
      <c r="C41" s="17"/>
      <c r="D41" s="18"/>
      <c r="E41" s="17"/>
      <c r="F41" s="17"/>
      <c r="G41" s="17"/>
      <c r="H41" s="17"/>
      <c r="I41" s="17"/>
      <c r="J41" s="14"/>
      <c r="K41" s="14"/>
      <c r="L41" s="211"/>
      <c r="M41" s="14"/>
      <c r="N41" s="392"/>
      <c r="O41" s="392"/>
      <c r="P41" s="17"/>
      <c r="Q41" s="17"/>
      <c r="R41" s="17"/>
      <c r="S41" s="17"/>
      <c r="T41" s="17"/>
      <c r="U41" s="17"/>
      <c r="V41" s="17"/>
      <c r="W41" s="17"/>
      <c r="Y41" s="14"/>
    </row>
    <row r="42" spans="1:25">
      <c r="B42" s="7"/>
      <c r="C42" s="17"/>
      <c r="D42" s="18"/>
      <c r="E42" s="17"/>
      <c r="F42" s="17"/>
      <c r="G42" s="17"/>
      <c r="H42" s="17"/>
      <c r="I42" s="17"/>
      <c r="J42" s="14"/>
      <c r="K42" s="14"/>
      <c r="L42" s="211"/>
      <c r="M42" s="14"/>
      <c r="N42" s="392"/>
      <c r="O42" s="392"/>
      <c r="P42" s="17"/>
      <c r="Q42" s="17"/>
      <c r="R42" s="17"/>
      <c r="S42" s="17"/>
      <c r="T42" s="17"/>
      <c r="U42" s="17"/>
      <c r="V42" s="17"/>
      <c r="W42" s="17"/>
      <c r="Y42" s="14"/>
    </row>
    <row r="43" spans="1:25">
      <c r="A43" s="153" t="str">
        <f>Begriffe!F104</f>
        <v>Allgemeine Gebäudetechnik</v>
      </c>
      <c r="B43" s="222"/>
      <c r="C43" s="222"/>
      <c r="D43" s="222"/>
      <c r="E43" s="222"/>
      <c r="F43" s="222"/>
      <c r="G43" s="154"/>
      <c r="H43" s="154"/>
      <c r="I43" s="154"/>
      <c r="J43" s="154"/>
      <c r="K43" s="222"/>
      <c r="L43" s="222"/>
      <c r="M43" s="322"/>
      <c r="N43" s="331"/>
      <c r="O43" s="328"/>
      <c r="P43" s="157"/>
      <c r="Q43" s="157"/>
      <c r="R43" s="322"/>
      <c r="S43" s="322"/>
      <c r="T43" s="322"/>
      <c r="U43" s="322"/>
      <c r="V43" s="322"/>
      <c r="W43" s="157"/>
      <c r="Y43" s="14"/>
    </row>
    <row r="44" spans="1:25">
      <c r="A44" s="41" t="str">
        <f>Begriffe!F105</f>
        <v>Nr</v>
      </c>
      <c r="B44" s="212" t="str">
        <f>Begriffe!F106</f>
        <v>Anlagentyp</v>
      </c>
      <c r="C44" s="211" t="str">
        <f>Begriffe!F107</f>
        <v>Intensität</v>
      </c>
      <c r="D44" s="41"/>
      <c r="E44" s="211" t="str">
        <f>Begriffe!F108</f>
        <v>Wert</v>
      </c>
      <c r="F44" s="211" t="str">
        <f>Begriffe!F109</f>
        <v>Einheit</v>
      </c>
      <c r="G44" s="211" t="str">
        <f>Begriffe!F110</f>
        <v>Nettofläche</v>
      </c>
      <c r="H44" s="398" t="str">
        <f>Begriffe!F111</f>
        <v>Anzahl</v>
      </c>
      <c r="I44" s="211" t="str">
        <f>Begriffe!F101</f>
        <v>Energie</v>
      </c>
      <c r="J44" s="1020" t="str">
        <f>Begriffe!F112</f>
        <v>Volllaststd.</v>
      </c>
      <c r="K44" s="1020"/>
      <c r="L44" s="333" t="str">
        <f>Begriffe!F100</f>
        <v>Leistung</v>
      </c>
      <c r="N44" s="392"/>
      <c r="O44" s="392"/>
      <c r="P44" s="211"/>
      <c r="Q44" s="212"/>
      <c r="R44" s="212"/>
      <c r="S44" s="212"/>
      <c r="T44" s="212"/>
      <c r="U44" s="14"/>
      <c r="V44" s="14"/>
      <c r="W44" s="211"/>
      <c r="Y44" s="14"/>
    </row>
    <row r="45" spans="1:25">
      <c r="A45" s="41"/>
      <c r="B45" s="212"/>
      <c r="C45" s="211"/>
      <c r="D45" s="41"/>
      <c r="E45" s="211"/>
      <c r="F45" s="212"/>
      <c r="G45" s="211"/>
      <c r="I45" s="211"/>
      <c r="J45" s="211" t="s">
        <v>88</v>
      </c>
      <c r="K45" s="211" t="str">
        <f>Begriffe!F103</f>
        <v>Projekt</v>
      </c>
      <c r="L45" s="334"/>
      <c r="N45" s="392"/>
      <c r="O45" s="392"/>
      <c r="P45" s="211"/>
      <c r="Q45" s="212"/>
      <c r="R45" s="212"/>
      <c r="S45" s="212"/>
      <c r="T45" s="212"/>
      <c r="U45" s="14"/>
      <c r="V45" s="14"/>
      <c r="W45" s="211"/>
      <c r="Y45" s="14"/>
    </row>
    <row r="46" spans="1:25" ht="14.15">
      <c r="A46" s="878">
        <v>1</v>
      </c>
      <c r="B46" s="310"/>
      <c r="C46" s="18"/>
      <c r="E46" s="17"/>
      <c r="F46" s="210"/>
      <c r="G46" s="216" t="s">
        <v>126</v>
      </c>
      <c r="H46" s="398" t="str">
        <f>Begriffe!F113</f>
        <v>Stk</v>
      </c>
      <c r="I46" s="216" t="s">
        <v>115</v>
      </c>
      <c r="J46" s="216" t="s">
        <v>199</v>
      </c>
      <c r="K46" s="216" t="s">
        <v>199</v>
      </c>
      <c r="L46" s="333" t="s">
        <v>112</v>
      </c>
      <c r="N46" s="393"/>
      <c r="O46" s="394"/>
      <c r="P46" s="17"/>
      <c r="Q46" s="216"/>
      <c r="R46" s="17"/>
      <c r="S46" s="211"/>
      <c r="T46" s="14"/>
      <c r="U46" s="14"/>
      <c r="V46" s="14"/>
      <c r="W46" s="211"/>
      <c r="Y46" s="14"/>
    </row>
    <row r="47" spans="1:25" ht="14.15">
      <c r="A47" s="311" t="s">
        <v>624</v>
      </c>
      <c r="B47" s="893" t="s">
        <v>607</v>
      </c>
      <c r="C47" s="894">
        <v>2</v>
      </c>
      <c r="D47" s="60" t="str">
        <f>IF($A$46=1,IF(C47=1,"tief",IF(C47=2,"mittel","hoch")),IF($A$46=2,IF(C47=1,"bas",IF(C47=2,"moyen","haute")),IF($A$46=3,IF(C47=1,"basso",IF(C47=2,"medio","alto")))))</f>
        <v>mittel</v>
      </c>
      <c r="E47" s="312">
        <f>IF(B47="",0,VLOOKUP(B47,$B$69:$F$85,C47+2,0))</f>
        <v>0.18</v>
      </c>
      <c r="F47" s="822" t="s">
        <v>216</v>
      </c>
      <c r="G47" s="247">
        <f>D$35</f>
        <v>6590</v>
      </c>
      <c r="H47" s="60"/>
      <c r="I47" s="60">
        <f t="shared" ref="I47:I52" si="14">E47*G47/1000</f>
        <v>1.1862000000000001</v>
      </c>
      <c r="J47" s="118">
        <f t="shared" ref="J47:J52" si="15">IF(B47="",0,VLOOKUP(B47,$B$69:$G$85,6,0))</f>
        <v>8760</v>
      </c>
      <c r="K47" s="895"/>
      <c r="L47" s="335">
        <f t="shared" ref="L47:L52" si="16">IF(B47="",0,I47*1000/IF(OR(K47="",K47=0),J47,K47))</f>
        <v>0.13541095890410959</v>
      </c>
      <c r="N47" s="395"/>
      <c r="O47" s="396"/>
      <c r="P47" s="321"/>
      <c r="Q47" s="320"/>
      <c r="R47" s="321"/>
      <c r="S47" s="320"/>
      <c r="T47" s="320"/>
      <c r="U47" s="321"/>
      <c r="V47" s="321"/>
      <c r="W47" s="315"/>
      <c r="Y47" s="14"/>
    </row>
    <row r="48" spans="1:25" ht="14.15">
      <c r="A48" s="311" t="s">
        <v>625</v>
      </c>
      <c r="B48" s="893" t="s">
        <v>609</v>
      </c>
      <c r="C48" s="894">
        <v>2</v>
      </c>
      <c r="D48" s="60" t="str">
        <f t="shared" ref="D48:D52" si="17">IF($A$46=1,IF(C48=1,"tief",IF(C48=2,"mittel","hoch")),IF($A$46=2,IF(C48=1,"bas",IF(C48=2,"moyen","haute")),IF($A$46=3,IF(C48=1,"basso",IF(C48=2,"medio","alto")))))</f>
        <v>mittel</v>
      </c>
      <c r="E48" s="312">
        <f t="shared" ref="E48:E52" si="18">IF(B48="",0,VLOOKUP(B48,$B$69:$F$85,C48+2,0))</f>
        <v>0.75</v>
      </c>
      <c r="F48" s="822" t="s">
        <v>216</v>
      </c>
      <c r="G48" s="247">
        <v>4500</v>
      </c>
      <c r="H48" s="60"/>
      <c r="I48" s="60">
        <f t="shared" si="14"/>
        <v>3.375</v>
      </c>
      <c r="J48" s="118">
        <f t="shared" si="15"/>
        <v>200</v>
      </c>
      <c r="K48" s="895"/>
      <c r="L48" s="335">
        <f t="shared" si="16"/>
        <v>16.875</v>
      </c>
      <c r="N48" s="395"/>
      <c r="O48" s="396"/>
      <c r="P48" s="321"/>
      <c r="Q48" s="320"/>
      <c r="R48" s="321"/>
      <c r="S48" s="320"/>
      <c r="T48" s="320"/>
      <c r="U48" s="321"/>
      <c r="V48" s="321"/>
      <c r="W48" s="315"/>
      <c r="Y48" s="14"/>
    </row>
    <row r="49" spans="1:25" ht="14.15">
      <c r="A49" s="311" t="s">
        <v>626</v>
      </c>
      <c r="B49" s="893" t="s">
        <v>610</v>
      </c>
      <c r="C49" s="894">
        <v>2</v>
      </c>
      <c r="D49" s="60" t="str">
        <f t="shared" si="17"/>
        <v>mittel</v>
      </c>
      <c r="E49" s="312">
        <f t="shared" si="18"/>
        <v>0.95</v>
      </c>
      <c r="F49" s="822" t="s">
        <v>216</v>
      </c>
      <c r="G49" s="247">
        <f>D$35-G48</f>
        <v>2090</v>
      </c>
      <c r="H49" s="60"/>
      <c r="I49" s="60">
        <f t="shared" si="14"/>
        <v>1.9855</v>
      </c>
      <c r="J49" s="118">
        <f t="shared" si="15"/>
        <v>300</v>
      </c>
      <c r="K49" s="895"/>
      <c r="L49" s="335">
        <f t="shared" si="16"/>
        <v>6.6183333333333332</v>
      </c>
      <c r="N49" s="396"/>
      <c r="O49" s="396"/>
      <c r="P49" s="321"/>
      <c r="Q49" s="320"/>
      <c r="R49" s="321"/>
      <c r="S49" s="320"/>
      <c r="T49" s="320"/>
      <c r="U49" s="321"/>
      <c r="V49" s="321"/>
      <c r="W49" s="315"/>
      <c r="Y49" s="14"/>
    </row>
    <row r="50" spans="1:25" ht="14.15">
      <c r="A50" s="311" t="s">
        <v>627</v>
      </c>
      <c r="B50" s="893" t="s">
        <v>612</v>
      </c>
      <c r="C50" s="894">
        <v>2</v>
      </c>
      <c r="D50" s="60" t="str">
        <f t="shared" si="17"/>
        <v>mittel</v>
      </c>
      <c r="E50" s="312">
        <f t="shared" si="18"/>
        <v>3</v>
      </c>
      <c r="F50" s="822" t="s">
        <v>216</v>
      </c>
      <c r="G50" s="247">
        <f>D$35</f>
        <v>6590</v>
      </c>
      <c r="H50" s="60"/>
      <c r="I50" s="60">
        <f t="shared" si="14"/>
        <v>19.77</v>
      </c>
      <c r="J50" s="118">
        <f t="shared" si="15"/>
        <v>8760</v>
      </c>
      <c r="K50" s="247"/>
      <c r="L50" s="335">
        <f t="shared" si="16"/>
        <v>2.256849315068493</v>
      </c>
      <c r="N50" s="396"/>
      <c r="O50" s="396"/>
      <c r="P50" s="321"/>
      <c r="Q50" s="320"/>
      <c r="R50" s="321"/>
      <c r="S50" s="320"/>
      <c r="T50" s="320"/>
      <c r="U50" s="321"/>
      <c r="V50" s="321"/>
      <c r="W50" s="315"/>
      <c r="Y50" s="14"/>
    </row>
    <row r="51" spans="1:25" ht="14.15">
      <c r="A51" s="311" t="s">
        <v>628</v>
      </c>
      <c r="B51" s="893" t="s">
        <v>613</v>
      </c>
      <c r="C51" s="894">
        <v>2</v>
      </c>
      <c r="D51" s="60" t="str">
        <f t="shared" si="17"/>
        <v>mittel</v>
      </c>
      <c r="E51" s="312">
        <f t="shared" si="18"/>
        <v>0.88</v>
      </c>
      <c r="F51" s="822" t="s">
        <v>216</v>
      </c>
      <c r="G51" s="247">
        <f>D$35</f>
        <v>6590</v>
      </c>
      <c r="H51" s="60"/>
      <c r="I51" s="60">
        <f t="shared" si="14"/>
        <v>5.7991999999999999</v>
      </c>
      <c r="J51" s="118">
        <f t="shared" si="15"/>
        <v>8760</v>
      </c>
      <c r="K51" s="895"/>
      <c r="L51" s="335">
        <f t="shared" si="16"/>
        <v>0.6620091324200913</v>
      </c>
      <c r="N51" s="395"/>
      <c r="O51" s="396"/>
      <c r="P51" s="319"/>
      <c r="Q51" s="6"/>
      <c r="R51" s="319"/>
      <c r="S51" s="6"/>
      <c r="T51" s="320"/>
      <c r="U51" s="319"/>
      <c r="V51" s="319"/>
      <c r="W51" s="315"/>
      <c r="Y51" s="14"/>
    </row>
    <row r="52" spans="1:25" ht="14.15">
      <c r="A52" s="311" t="s">
        <v>630</v>
      </c>
      <c r="B52" s="893" t="s">
        <v>614</v>
      </c>
      <c r="C52" s="894">
        <v>2</v>
      </c>
      <c r="D52" s="60" t="str">
        <f t="shared" si="17"/>
        <v>mittel</v>
      </c>
      <c r="E52" s="312">
        <f t="shared" si="18"/>
        <v>1</v>
      </c>
      <c r="F52" s="822" t="s">
        <v>216</v>
      </c>
      <c r="G52" s="247">
        <f>D$35</f>
        <v>6590</v>
      </c>
      <c r="H52" s="60"/>
      <c r="I52" s="60">
        <f t="shared" si="14"/>
        <v>6.59</v>
      </c>
      <c r="J52" s="118">
        <f t="shared" si="15"/>
        <v>8760</v>
      </c>
      <c r="K52" s="247"/>
      <c r="L52" s="335">
        <f t="shared" si="16"/>
        <v>0.75228310502283102</v>
      </c>
      <c r="N52" s="396"/>
      <c r="O52" s="396"/>
      <c r="P52" s="319"/>
      <c r="Q52" s="320"/>
      <c r="R52" s="319"/>
      <c r="S52" s="320"/>
      <c r="T52" s="320"/>
      <c r="U52" s="319"/>
      <c r="V52" s="319"/>
      <c r="W52" s="315"/>
      <c r="Y52" s="14"/>
    </row>
    <row r="53" spans="1:25">
      <c r="A53" s="41"/>
      <c r="B53" s="310"/>
      <c r="C53" s="18"/>
      <c r="E53" s="17"/>
      <c r="F53" s="210"/>
      <c r="H53" s="216"/>
      <c r="I53" s="313"/>
      <c r="J53" s="163"/>
      <c r="K53" s="163"/>
      <c r="L53" s="334"/>
      <c r="N53" s="396"/>
      <c r="O53" s="396"/>
      <c r="P53" s="319"/>
      <c r="Q53" s="320"/>
      <c r="R53" s="319"/>
      <c r="S53" s="320"/>
      <c r="T53" s="320"/>
      <c r="U53" s="319"/>
      <c r="V53" s="319"/>
      <c r="W53" s="315"/>
      <c r="Y53" s="14"/>
    </row>
    <row r="54" spans="1:25">
      <c r="A54" s="311" t="s">
        <v>631</v>
      </c>
      <c r="B54" s="893" t="s">
        <v>616</v>
      </c>
      <c r="C54" s="894">
        <v>2</v>
      </c>
      <c r="D54" s="60" t="str">
        <f t="shared" ref="D54:D57" si="19">IF($A$46=1,IF(C54=1,"tief",IF(C54=2,"mittel","hoch")),IF($A$46=2,IF(C54=1,"bas",IF(C54=2,"moyen","haute")),IF($A$46=3,IF(C54=1,"basso",IF(C54=2,"medio","alto")))))</f>
        <v>mittel</v>
      </c>
      <c r="E54" s="61">
        <f>IF(B54="",0,VLOOKUP(B54,$B$69:$F$85,C54+2,0))</f>
        <v>1752</v>
      </c>
      <c r="F54" s="822" t="s">
        <v>629</v>
      </c>
      <c r="G54" s="60"/>
      <c r="H54" s="247">
        <v>1</v>
      </c>
      <c r="I54" s="60">
        <f>E54*H54/1000</f>
        <v>1.752</v>
      </c>
      <c r="J54" s="118">
        <f>IF(B54="",0,VLOOKUP(B54,$B$69:$G$85,6,0))</f>
        <v>8760</v>
      </c>
      <c r="K54" s="895"/>
      <c r="L54" s="335">
        <f>IF(B54="",0,I54*1000/IF(OR(K54="",K54=0),J54,K54))</f>
        <v>0.2</v>
      </c>
      <c r="N54" s="392"/>
      <c r="O54" s="392"/>
      <c r="P54" s="14"/>
      <c r="X54"/>
    </row>
    <row r="55" spans="1:25">
      <c r="A55" s="311" t="s">
        <v>632</v>
      </c>
      <c r="B55" s="893" t="s">
        <v>621</v>
      </c>
      <c r="C55" s="894">
        <v>2</v>
      </c>
      <c r="D55" s="60" t="str">
        <f t="shared" si="19"/>
        <v>mittel</v>
      </c>
      <c r="E55" s="61">
        <f>IF(B55="",0,VLOOKUP(B55,$B$69:$F$85,C55+2,0))</f>
        <v>26.3</v>
      </c>
      <c r="F55" s="822" t="s">
        <v>629</v>
      </c>
      <c r="G55" s="60"/>
      <c r="H55" s="247">
        <v>1</v>
      </c>
      <c r="I55" s="60">
        <f>E55*H55/1000</f>
        <v>2.63E-2</v>
      </c>
      <c r="J55" s="118">
        <f>IF(B55="",0,VLOOKUP(B55,$B$69:$G$85,6,0))</f>
        <v>8760</v>
      </c>
      <c r="K55" s="895"/>
      <c r="L55" s="335">
        <f>IF(B55="",0,I55*1000/IF(OR(K55="",K55=0),J55,K55))</f>
        <v>3.0022831050228313E-3</v>
      </c>
    </row>
    <row r="56" spans="1:25">
      <c r="A56" s="311" t="s">
        <v>633</v>
      </c>
      <c r="B56" s="893" t="s">
        <v>622</v>
      </c>
      <c r="C56" s="894">
        <v>3</v>
      </c>
      <c r="D56" s="60" t="str">
        <f t="shared" si="19"/>
        <v>hoch</v>
      </c>
      <c r="E56" s="61">
        <f>IF(B56="",0,VLOOKUP(B56,$B$69:$F$85,C56+2,0))</f>
        <v>3540</v>
      </c>
      <c r="F56" s="822" t="s">
        <v>629</v>
      </c>
      <c r="G56" s="60"/>
      <c r="H56" s="247">
        <v>4</v>
      </c>
      <c r="I56" s="60">
        <f>E56*H56/1000</f>
        <v>14.16</v>
      </c>
      <c r="J56" s="118">
        <f>IF(B56="",0,VLOOKUP(B56,$B$69:$G$85,6,0))</f>
        <v>500</v>
      </c>
      <c r="K56" s="895"/>
      <c r="L56" s="335">
        <f>IF(B56="",0,I56*1000/IF(OR(K56="",K56=0),J56,K56))</f>
        <v>28.32</v>
      </c>
      <c r="T56"/>
      <c r="U56"/>
      <c r="V56"/>
      <c r="W56"/>
      <c r="X56"/>
    </row>
    <row r="57" spans="1:25">
      <c r="A57" s="311" t="s">
        <v>636</v>
      </c>
      <c r="B57" s="893"/>
      <c r="C57" s="894">
        <v>2</v>
      </c>
      <c r="D57" s="60" t="str">
        <f t="shared" si="19"/>
        <v>mittel</v>
      </c>
      <c r="E57" s="61">
        <f>IF(B57="",0,VLOOKUP(B57,$B$69:$F$85,C57+2,0))</f>
        <v>0</v>
      </c>
      <c r="F57" s="822" t="s">
        <v>629</v>
      </c>
      <c r="G57" s="60"/>
      <c r="H57" s="247"/>
      <c r="I57" s="60">
        <f>E57*H57/1000</f>
        <v>0</v>
      </c>
      <c r="J57" s="118">
        <f>IF(B57="",0,VLOOKUP(B57,$B$69:$G$85,6,0))</f>
        <v>0</v>
      </c>
      <c r="K57" s="247"/>
      <c r="L57" s="335">
        <f>IF(B57="",0,I57*1000/IF(OR(K57="",K57=0),J57,K57))</f>
        <v>0</v>
      </c>
    </row>
    <row r="58" spans="1:25">
      <c r="A58" s="166"/>
      <c r="B58" s="72" t="str">
        <f>Begriffe!$F$83</f>
        <v>Total</v>
      </c>
      <c r="C58" s="324"/>
      <c r="D58" s="323"/>
      <c r="E58" s="325"/>
      <c r="F58" s="323"/>
      <c r="G58" s="323"/>
      <c r="H58" s="118"/>
      <c r="I58" s="323">
        <f>SUM(I47:I57)</f>
        <v>54.644199999999998</v>
      </c>
      <c r="J58" s="118"/>
      <c r="K58" s="118"/>
      <c r="L58" s="335">
        <f>SUM(L47:L57)</f>
        <v>55.822888127853879</v>
      </c>
      <c r="M58"/>
    </row>
    <row r="59" spans="1:25">
      <c r="A59" s="41"/>
      <c r="B59" s="7"/>
      <c r="C59" s="315"/>
      <c r="D59" s="316"/>
      <c r="E59" s="315"/>
      <c r="F59" s="318"/>
      <c r="G59"/>
      <c r="H59" s="163"/>
      <c r="I59" s="315"/>
      <c r="J59" s="163"/>
      <c r="K59" s="163"/>
      <c r="L59" s="163"/>
    </row>
    <row r="60" spans="1:25" ht="12.9">
      <c r="A60" s="41"/>
      <c r="B60" s="7"/>
      <c r="C60" s="315"/>
      <c r="D60" s="316"/>
      <c r="E60" s="315"/>
      <c r="F60" s="90" t="str">
        <f>Begriffe!F94</f>
        <v>Bedarf pro Energiebezugsfläche</v>
      </c>
      <c r="G60" s="91"/>
      <c r="H60" s="91"/>
      <c r="I60" s="92"/>
      <c r="J60" s="91"/>
      <c r="K60" s="91"/>
      <c r="L60" s="93"/>
    </row>
    <row r="61" spans="1:25" ht="14.15">
      <c r="A61" s="41"/>
      <c r="B61" s="7"/>
      <c r="C61" s="315"/>
      <c r="D61" s="316"/>
      <c r="E61" s="315"/>
      <c r="F61" s="94"/>
      <c r="G61" s="98"/>
      <c r="H61" s="98"/>
      <c r="I61" s="98" t="s">
        <v>216</v>
      </c>
      <c r="J61" s="98"/>
      <c r="K61" s="98"/>
      <c r="L61" s="95" t="s">
        <v>198</v>
      </c>
    </row>
    <row r="62" spans="1:25">
      <c r="A62" s="41"/>
      <c r="B62" s="7"/>
      <c r="C62" s="315"/>
      <c r="D62" s="316"/>
      <c r="E62" s="315"/>
      <c r="F62" s="96"/>
      <c r="G62" s="99"/>
      <c r="H62" s="99"/>
      <c r="I62" s="99">
        <f>I58*1000/$D$39</f>
        <v>8.3913083538083519</v>
      </c>
      <c r="J62" s="99"/>
      <c r="K62" s="99"/>
      <c r="L62" s="97">
        <f>L58*1000/$D$39</f>
        <v>8.5723108304443905</v>
      </c>
    </row>
    <row r="63" spans="1:25">
      <c r="A63" s="41"/>
      <c r="B63" s="7"/>
      <c r="C63" s="315"/>
      <c r="D63" s="316"/>
      <c r="E63" s="315"/>
      <c r="F63" s="318"/>
      <c r="G63" s="163"/>
      <c r="H63" s="315"/>
      <c r="I63" s="163"/>
      <c r="J63" s="163"/>
      <c r="K63" s="163"/>
    </row>
    <row r="64" spans="1:25">
      <c r="A64" s="41"/>
      <c r="B64" s="7"/>
      <c r="C64" s="315"/>
      <c r="D64" s="316"/>
      <c r="E64" s="315"/>
      <c r="F64" s="318"/>
      <c r="G64" s="163"/>
      <c r="H64" s="315"/>
      <c r="I64" s="163"/>
      <c r="J64" s="163"/>
      <c r="K64" s="163"/>
    </row>
    <row r="65" spans="1:27">
      <c r="A65" s="41"/>
      <c r="B65" s="314"/>
      <c r="C65" s="315"/>
      <c r="D65" s="316"/>
      <c r="E65" s="315"/>
      <c r="F65" s="317"/>
      <c r="G65" s="163"/>
    </row>
    <row r="66" spans="1:27" hidden="1">
      <c r="B66" s="328" t="s">
        <v>640</v>
      </c>
      <c r="C66" s="328"/>
      <c r="D66" s="328"/>
      <c r="E66" s="328"/>
      <c r="F66" s="329"/>
      <c r="G66" s="329"/>
    </row>
    <row r="67" spans="1:27" hidden="1">
      <c r="B67" s="328"/>
      <c r="C67" s="328"/>
      <c r="D67" s="330" t="s">
        <v>604</v>
      </c>
      <c r="E67" s="330" t="s">
        <v>605</v>
      </c>
      <c r="F67" s="330" t="s">
        <v>606</v>
      </c>
      <c r="G67" s="329" t="s">
        <v>1117</v>
      </c>
    </row>
    <row r="68" spans="1:27" hidden="1">
      <c r="B68" s="331" t="str">
        <f>Begriffe!F114</f>
        <v>Elektroverbraucher nach kWh/m²</v>
      </c>
      <c r="C68" s="328" t="s">
        <v>253</v>
      </c>
      <c r="D68" s="330">
        <v>1</v>
      </c>
      <c r="E68" s="330">
        <v>2</v>
      </c>
      <c r="F68" s="332">
        <v>3</v>
      </c>
      <c r="G68" s="332" t="s">
        <v>199</v>
      </c>
    </row>
    <row r="69" spans="1:27" hidden="1">
      <c r="B69" s="328" t="str">
        <f>Begriffe!F115</f>
        <v>Notlichtanlage mit Bereitschaft</v>
      </c>
      <c r="C69" s="328" t="s">
        <v>84</v>
      </c>
      <c r="D69" s="330">
        <v>0.09</v>
      </c>
      <c r="E69" s="330">
        <v>0.18</v>
      </c>
      <c r="F69" s="330">
        <v>0.27</v>
      </c>
      <c r="G69" s="332">
        <v>8760</v>
      </c>
    </row>
    <row r="70" spans="1:27" hidden="1">
      <c r="B70" s="328" t="str">
        <f>Begriffe!F116</f>
        <v>Notlichtanlage mit Dauerlicht</v>
      </c>
      <c r="C70" s="328" t="s">
        <v>84</v>
      </c>
      <c r="D70" s="330">
        <v>0.27</v>
      </c>
      <c r="E70" s="330">
        <v>1.05</v>
      </c>
      <c r="F70" s="330">
        <v>1.75</v>
      </c>
      <c r="G70" s="332">
        <v>8760</v>
      </c>
    </row>
    <row r="71" spans="1:27" hidden="1">
      <c r="B71" s="328" t="str">
        <f>Begriffe!F117</f>
        <v>Beschattungsanlage (manuell)</v>
      </c>
      <c r="C71" s="328" t="s">
        <v>84</v>
      </c>
      <c r="D71" s="330">
        <v>0.2</v>
      </c>
      <c r="E71" s="330">
        <v>0.75</v>
      </c>
      <c r="F71" s="330">
        <v>1.2</v>
      </c>
      <c r="G71" s="332">
        <v>200</v>
      </c>
    </row>
    <row r="72" spans="1:27" hidden="1">
      <c r="B72" s="328" t="str">
        <f>Begriffe!F118</f>
        <v>Beschattungsanlage (automatisch)</v>
      </c>
      <c r="C72" s="328" t="s">
        <v>84</v>
      </c>
      <c r="D72" s="330">
        <v>0.5</v>
      </c>
      <c r="E72" s="330">
        <v>0.95</v>
      </c>
      <c r="F72" s="330">
        <v>1.5</v>
      </c>
      <c r="G72" s="332">
        <v>300</v>
      </c>
    </row>
    <row r="73" spans="1:27" s="2" customFormat="1" ht="12.75" hidden="1" customHeight="1">
      <c r="B73" s="328" t="str">
        <f>Begriffe!F119</f>
        <v>Beschattungsanlage (auto. + HLK)</v>
      </c>
      <c r="C73" s="328" t="s">
        <v>84</v>
      </c>
      <c r="D73" s="330">
        <v>0.6</v>
      </c>
      <c r="E73" s="330">
        <v>1.1299999999999999</v>
      </c>
      <c r="F73" s="330">
        <v>1.8</v>
      </c>
      <c r="G73" s="332">
        <v>400</v>
      </c>
      <c r="N73" s="330"/>
      <c r="O73" s="330"/>
      <c r="Z73"/>
      <c r="AA73"/>
    </row>
    <row r="74" spans="1:27" hidden="1">
      <c r="B74" s="328" t="str">
        <f>Begriffe!F120</f>
        <v>Gebäudeautomation</v>
      </c>
      <c r="C74" s="328" t="s">
        <v>84</v>
      </c>
      <c r="D74" s="330">
        <v>1.5</v>
      </c>
      <c r="E74" s="330">
        <v>3</v>
      </c>
      <c r="F74" s="330">
        <v>4.5</v>
      </c>
      <c r="G74" s="332">
        <v>8760</v>
      </c>
    </row>
    <row r="75" spans="1:27" hidden="1">
      <c r="B75" s="328" t="str">
        <f>Begriffe!F121</f>
        <v>Einbruchmeldeanlage</v>
      </c>
      <c r="C75" s="328" t="s">
        <v>84</v>
      </c>
      <c r="D75" s="330">
        <v>0.88</v>
      </c>
      <c r="E75" s="330">
        <v>0.88</v>
      </c>
      <c r="F75" s="330">
        <v>0.88</v>
      </c>
      <c r="G75" s="332">
        <v>8760</v>
      </c>
    </row>
    <row r="76" spans="1:27" s="12" customFormat="1" hidden="1">
      <c r="B76" s="328" t="str">
        <f>Begriffe!F122</f>
        <v>Kleinstverbraucher</v>
      </c>
      <c r="C76" s="328" t="s">
        <v>84</v>
      </c>
      <c r="D76" s="330">
        <v>0.5</v>
      </c>
      <c r="E76" s="330">
        <v>1</v>
      </c>
      <c r="F76" s="330">
        <v>1.5</v>
      </c>
      <c r="G76" s="332">
        <v>8760</v>
      </c>
      <c r="N76" s="331"/>
      <c r="O76" s="331"/>
      <c r="X76" s="19"/>
    </row>
    <row r="77" spans="1:27" hidden="1">
      <c r="A77"/>
      <c r="B77" s="328"/>
      <c r="C77" s="328"/>
      <c r="D77" s="328"/>
      <c r="E77" s="328"/>
      <c r="F77" s="328"/>
      <c r="G77" s="328"/>
      <c r="H77"/>
      <c r="I77"/>
      <c r="J77"/>
      <c r="K77"/>
      <c r="L77"/>
      <c r="M77"/>
      <c r="N77" s="328"/>
      <c r="O77" s="328"/>
      <c r="P77"/>
      <c r="Q77"/>
      <c r="R77"/>
      <c r="S77"/>
      <c r="T77"/>
      <c r="U77"/>
      <c r="V77"/>
      <c r="W77"/>
    </row>
    <row r="78" spans="1:27" hidden="1">
      <c r="A78"/>
      <c r="B78" s="328" t="str">
        <f>Begriffe!F123</f>
        <v>Schrankenanlage</v>
      </c>
      <c r="C78" s="328" t="s">
        <v>629</v>
      </c>
      <c r="D78" s="330">
        <v>75.8</v>
      </c>
      <c r="E78" s="330">
        <v>150.19999999999999</v>
      </c>
      <c r="F78" s="330">
        <v>224</v>
      </c>
      <c r="G78" s="332">
        <v>8760</v>
      </c>
      <c r="H78"/>
      <c r="I78"/>
      <c r="J78"/>
      <c r="K78"/>
      <c r="L78"/>
      <c r="M78"/>
      <c r="N78" s="328"/>
      <c r="O78" s="328"/>
      <c r="P78"/>
      <c r="Q78"/>
      <c r="R78"/>
      <c r="S78"/>
      <c r="T78"/>
      <c r="U78"/>
      <c r="V78"/>
      <c r="W78"/>
    </row>
    <row r="79" spans="1:27" s="1" customFormat="1" hidden="1">
      <c r="B79" s="328" t="str">
        <f>Begriffe!F124</f>
        <v>Zentrale Parkuhr</v>
      </c>
      <c r="C79" s="328" t="s">
        <v>629</v>
      </c>
      <c r="D79" s="330">
        <v>1752</v>
      </c>
      <c r="E79" s="330">
        <v>1752</v>
      </c>
      <c r="F79" s="330">
        <v>1752</v>
      </c>
      <c r="G79" s="332">
        <v>8760</v>
      </c>
      <c r="N79" s="328"/>
      <c r="O79" s="328"/>
      <c r="X79" s="15"/>
    </row>
    <row r="80" spans="1:27" hidden="1">
      <c r="B80" s="328" t="str">
        <f>Begriffe!F125</f>
        <v>Drehtüre on/off</v>
      </c>
      <c r="C80" s="328" t="s">
        <v>629</v>
      </c>
      <c r="D80" s="330">
        <v>548</v>
      </c>
      <c r="E80" s="330">
        <v>1275</v>
      </c>
      <c r="F80" s="330">
        <v>1118</v>
      </c>
      <c r="G80" s="332">
        <v>8760</v>
      </c>
    </row>
    <row r="81" spans="2:24" hidden="1">
      <c r="B81" s="328" t="str">
        <f>Begriffe!F126</f>
        <v>Drehtüre schleichend</v>
      </c>
      <c r="C81" s="328" t="s">
        <v>629</v>
      </c>
      <c r="D81" s="330">
        <v>767</v>
      </c>
      <c r="E81" s="330">
        <v>1368</v>
      </c>
      <c r="F81" s="330">
        <v>1678</v>
      </c>
      <c r="G81" s="332">
        <v>8760</v>
      </c>
    </row>
    <row r="82" spans="2:24" customFormat="1" hidden="1">
      <c r="B82" s="328" t="str">
        <f>Begriffe!F127</f>
        <v>Schiebetüre</v>
      </c>
      <c r="C82" s="328" t="s">
        <v>629</v>
      </c>
      <c r="D82" s="330">
        <v>266</v>
      </c>
      <c r="E82" s="330">
        <v>266</v>
      </c>
      <c r="F82" s="330">
        <v>266</v>
      </c>
      <c r="G82" s="332">
        <v>8760</v>
      </c>
      <c r="N82" s="328"/>
      <c r="O82" s="328"/>
      <c r="X82" s="4"/>
    </row>
    <row r="83" spans="2:24" customFormat="1" hidden="1">
      <c r="B83" s="328" t="str">
        <f>Begriffe!F128</f>
        <v>Drehkreuz</v>
      </c>
      <c r="C83" s="328" t="s">
        <v>629</v>
      </c>
      <c r="D83" s="330">
        <v>88</v>
      </c>
      <c r="E83" s="330">
        <v>131</v>
      </c>
      <c r="F83" s="330">
        <v>175</v>
      </c>
      <c r="G83" s="332">
        <v>8760</v>
      </c>
      <c r="N83" s="328"/>
      <c r="O83" s="328"/>
      <c r="X83" s="4"/>
    </row>
    <row r="84" spans="2:24" hidden="1">
      <c r="B84" s="328" t="str">
        <f>Begriffe!F129</f>
        <v>Zutrittskontrolle</v>
      </c>
      <c r="C84" s="328" t="s">
        <v>629</v>
      </c>
      <c r="D84" s="330">
        <v>17.5</v>
      </c>
      <c r="E84" s="330">
        <v>26.3</v>
      </c>
      <c r="F84" s="330">
        <v>35</v>
      </c>
      <c r="G84" s="332">
        <v>8760</v>
      </c>
    </row>
    <row r="85" spans="2:24" hidden="1">
      <c r="B85" s="328" t="str">
        <f>Begriffe!F130</f>
        <v>Aufzug</v>
      </c>
      <c r="C85" s="328" t="s">
        <v>629</v>
      </c>
      <c r="D85" s="330">
        <v>1120</v>
      </c>
      <c r="E85" s="330">
        <v>1800</v>
      </c>
      <c r="F85" s="330">
        <v>3540</v>
      </c>
      <c r="G85" s="332">
        <v>500</v>
      </c>
    </row>
    <row r="86" spans="2:24" hidden="1">
      <c r="B86" s="328"/>
      <c r="C86" s="328"/>
      <c r="D86" s="328"/>
      <c r="E86" s="328"/>
      <c r="F86" s="329"/>
      <c r="G86" s="329"/>
    </row>
    <row r="87" spans="2:24" hidden="1">
      <c r="B87" s="328" t="s">
        <v>639</v>
      </c>
      <c r="C87" s="328"/>
      <c r="D87" s="328"/>
      <c r="E87" s="328"/>
      <c r="F87" s="329"/>
      <c r="G87" s="329"/>
      <c r="X87"/>
    </row>
    <row r="88" spans="2:24" hidden="1"/>
    <row r="91" spans="2:24" hidden="1"/>
    <row r="95" spans="2:24" hidden="1"/>
    <row r="96" spans="2:24" hidden="1"/>
    <row r="97" hidden="1"/>
  </sheetData>
  <sheetProtection algorithmName="SHA-512" hashValue="oWbote9LZkfqkL3QvFPkd8EYmNA6pVyXdTipV98VM9O9mQpNlo/uePwnecWOetxPrW7ttvIx/Be9O4mTm9twhA==" saltValue="SnzCaGXZkYUn8BUz8KX8VQ==" spinCount="100000" sheet="1" objects="1" scenarios="1"/>
  <mergeCells count="2">
    <mergeCell ref="D2:E2"/>
    <mergeCell ref="J44:K44"/>
  </mergeCells>
  <conditionalFormatting sqref="E12:E32">
    <cfRule type="cellIs" dxfId="1" priority="4" stopIfTrue="1" operator="notEqual">
      <formula>0</formula>
    </cfRule>
  </conditionalFormatting>
  <conditionalFormatting sqref="E33:E35">
    <cfRule type="cellIs" dxfId="0" priority="1" stopIfTrue="1" operator="notEqual">
      <formula>0</formula>
    </cfRule>
  </conditionalFormatting>
  <dataValidations count="4">
    <dataValidation type="list" allowBlank="1" showInputMessage="1" showErrorMessage="1" sqref="C47:C52 D59:D65 C54:C58" xr:uid="{00000000-0002-0000-0300-000000000000}">
      <formula1>$D$68:$F$68</formula1>
    </dataValidation>
    <dataValidation type="list" allowBlank="1" showInputMessage="1" showErrorMessage="1" sqref="B65" xr:uid="{00000000-0002-0000-0300-000001000000}">
      <formula1>$B$69:$B$85</formula1>
    </dataValidation>
    <dataValidation type="list" allowBlank="1" showInputMessage="1" showErrorMessage="1" sqref="B47:B52" xr:uid="{00000000-0002-0000-0300-000002000000}">
      <formula1>$B$69:$B$76</formula1>
    </dataValidation>
    <dataValidation type="list" allowBlank="1" showInputMessage="1" showErrorMessage="1" sqref="B54:B57" xr:uid="{00000000-0002-0000-0300-000003000000}">
      <formula1>$B$78:$B$85</formula1>
    </dataValidation>
  </dataValidations>
  <pageMargins left="0.70866141732283472" right="0.70866141732283472" top="0.74803149606299213" bottom="0.74803149606299213" header="0.31496062992125984" footer="0.31496062992125984"/>
  <pageSetup paperSize="9" scale="58" fitToHeight="0" orientation="landscape" horizontalDpi="4294967293" r:id="rId1"/>
  <headerFooter alignWithMargins="0">
    <oddHeader>&amp;LWärmepumpe Erdsonden 35°C&amp;CVersion 1.3&amp;R4/20/2025</oddHeader>
    <oddFooter>&amp;R&amp;P/&amp;N&amp;CSIA 2024, Copyright © 2017 by SIA Zurich</oddFooter>
  </headerFooter>
  <ignoredErrors>
    <ignoredError sqref="J10 V10 J37:W37 A39:C39 J39:W40 E39 E15 A33:C33 D30:E32 J38:L38 N38:W38 J41:W42 G39 A40:G40 A38:G38 A41:G42 G10 B43:F43 N54:W56 A37:E37 G37 E21 E20 E19 E16 E12 E13 E14 E17 E1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89" r:id="rId4" name="Check Box 45">
              <controlPr defaultSize="0" autoFill="0" autoLine="0" autoPict="0">
                <anchor moveWithCells="1">
                  <from>
                    <xdr:col>15</xdr:col>
                    <xdr:colOff>114300</xdr:colOff>
                    <xdr:row>11</xdr:row>
                    <xdr:rowOff>16329</xdr:rowOff>
                  </from>
                  <to>
                    <xdr:col>15</xdr:col>
                    <xdr:colOff>326571</xdr:colOff>
                    <xdr:row>12</xdr:row>
                    <xdr:rowOff>0</xdr:rowOff>
                  </to>
                </anchor>
              </controlPr>
            </control>
          </mc:Choice>
        </mc:AlternateContent>
        <mc:AlternateContent xmlns:mc="http://schemas.openxmlformats.org/markup-compatibility/2006">
          <mc:Choice Requires="x14">
            <control shapeId="6190" r:id="rId5" name="Check Box 46">
              <controlPr defaultSize="0" autoFill="0" autoLine="0" autoPict="0">
                <anchor moveWithCells="1">
                  <from>
                    <xdr:col>15</xdr:col>
                    <xdr:colOff>114300</xdr:colOff>
                    <xdr:row>11</xdr:row>
                    <xdr:rowOff>16329</xdr:rowOff>
                  </from>
                  <to>
                    <xdr:col>15</xdr:col>
                    <xdr:colOff>326571</xdr:colOff>
                    <xdr:row>12</xdr:row>
                    <xdr:rowOff>0</xdr:rowOff>
                  </to>
                </anchor>
              </controlPr>
            </control>
          </mc:Choice>
        </mc:AlternateContent>
        <mc:AlternateContent xmlns:mc="http://schemas.openxmlformats.org/markup-compatibility/2006">
          <mc:Choice Requires="x14">
            <control shapeId="6191" r:id="rId6" name="Check Box 47">
              <controlPr defaultSize="0" autoFill="0" autoLine="0" autoPict="0">
                <anchor moveWithCells="1">
                  <from>
                    <xdr:col>15</xdr:col>
                    <xdr:colOff>114300</xdr:colOff>
                    <xdr:row>12</xdr:row>
                    <xdr:rowOff>16329</xdr:rowOff>
                  </from>
                  <to>
                    <xdr:col>15</xdr:col>
                    <xdr:colOff>326571</xdr:colOff>
                    <xdr:row>13</xdr:row>
                    <xdr:rowOff>0</xdr:rowOff>
                  </to>
                </anchor>
              </controlPr>
            </control>
          </mc:Choice>
        </mc:AlternateContent>
        <mc:AlternateContent xmlns:mc="http://schemas.openxmlformats.org/markup-compatibility/2006">
          <mc:Choice Requires="x14">
            <control shapeId="6192" r:id="rId7" name="Check Box 48">
              <controlPr defaultSize="0" autoFill="0" autoLine="0" autoPict="0">
                <anchor moveWithCells="1">
                  <from>
                    <xdr:col>15</xdr:col>
                    <xdr:colOff>114300</xdr:colOff>
                    <xdr:row>13</xdr:row>
                    <xdr:rowOff>16329</xdr:rowOff>
                  </from>
                  <to>
                    <xdr:col>15</xdr:col>
                    <xdr:colOff>326571</xdr:colOff>
                    <xdr:row>14</xdr:row>
                    <xdr:rowOff>0</xdr:rowOff>
                  </to>
                </anchor>
              </controlPr>
            </control>
          </mc:Choice>
        </mc:AlternateContent>
        <mc:AlternateContent xmlns:mc="http://schemas.openxmlformats.org/markup-compatibility/2006">
          <mc:Choice Requires="x14">
            <control shapeId="6193" r:id="rId8" name="Check Box 49">
              <controlPr defaultSize="0" autoFill="0" autoLine="0" autoPict="0">
                <anchor moveWithCells="1">
                  <from>
                    <xdr:col>15</xdr:col>
                    <xdr:colOff>114300</xdr:colOff>
                    <xdr:row>14</xdr:row>
                    <xdr:rowOff>16329</xdr:rowOff>
                  </from>
                  <to>
                    <xdr:col>15</xdr:col>
                    <xdr:colOff>326571</xdr:colOff>
                    <xdr:row>15</xdr:row>
                    <xdr:rowOff>0</xdr:rowOff>
                  </to>
                </anchor>
              </controlPr>
            </control>
          </mc:Choice>
        </mc:AlternateContent>
        <mc:AlternateContent xmlns:mc="http://schemas.openxmlformats.org/markup-compatibility/2006">
          <mc:Choice Requires="x14">
            <control shapeId="6194" r:id="rId9" name="Check Box 50">
              <controlPr defaultSize="0" autoFill="0" autoLine="0" autoPict="0">
                <anchor moveWithCells="1">
                  <from>
                    <xdr:col>15</xdr:col>
                    <xdr:colOff>114300</xdr:colOff>
                    <xdr:row>15</xdr:row>
                    <xdr:rowOff>16329</xdr:rowOff>
                  </from>
                  <to>
                    <xdr:col>15</xdr:col>
                    <xdr:colOff>326571</xdr:colOff>
                    <xdr:row>16</xdr:row>
                    <xdr:rowOff>0</xdr:rowOff>
                  </to>
                </anchor>
              </controlPr>
            </control>
          </mc:Choice>
        </mc:AlternateContent>
        <mc:AlternateContent xmlns:mc="http://schemas.openxmlformats.org/markup-compatibility/2006">
          <mc:Choice Requires="x14">
            <control shapeId="6195" r:id="rId10" name="Check Box 51">
              <controlPr defaultSize="0" autoFill="0" autoLine="0" autoPict="0">
                <anchor moveWithCells="1">
                  <from>
                    <xdr:col>15</xdr:col>
                    <xdr:colOff>114300</xdr:colOff>
                    <xdr:row>16</xdr:row>
                    <xdr:rowOff>16329</xdr:rowOff>
                  </from>
                  <to>
                    <xdr:col>15</xdr:col>
                    <xdr:colOff>326571</xdr:colOff>
                    <xdr:row>17</xdr:row>
                    <xdr:rowOff>0</xdr:rowOff>
                  </to>
                </anchor>
              </controlPr>
            </control>
          </mc:Choice>
        </mc:AlternateContent>
        <mc:AlternateContent xmlns:mc="http://schemas.openxmlformats.org/markup-compatibility/2006">
          <mc:Choice Requires="x14">
            <control shapeId="6196" r:id="rId11" name="Check Box 52">
              <controlPr defaultSize="0" autoFill="0" autoLine="0" autoPict="0">
                <anchor moveWithCells="1">
                  <from>
                    <xdr:col>15</xdr:col>
                    <xdr:colOff>114300</xdr:colOff>
                    <xdr:row>17</xdr:row>
                    <xdr:rowOff>16329</xdr:rowOff>
                  </from>
                  <to>
                    <xdr:col>15</xdr:col>
                    <xdr:colOff>326571</xdr:colOff>
                    <xdr:row>18</xdr:row>
                    <xdr:rowOff>0</xdr:rowOff>
                  </to>
                </anchor>
              </controlPr>
            </control>
          </mc:Choice>
        </mc:AlternateContent>
        <mc:AlternateContent xmlns:mc="http://schemas.openxmlformats.org/markup-compatibility/2006">
          <mc:Choice Requires="x14">
            <control shapeId="6197" r:id="rId12" name="Check Box 53">
              <controlPr defaultSize="0" autoFill="0" autoLine="0" autoPict="0">
                <anchor moveWithCells="1">
                  <from>
                    <xdr:col>15</xdr:col>
                    <xdr:colOff>114300</xdr:colOff>
                    <xdr:row>18</xdr:row>
                    <xdr:rowOff>16329</xdr:rowOff>
                  </from>
                  <to>
                    <xdr:col>15</xdr:col>
                    <xdr:colOff>326571</xdr:colOff>
                    <xdr:row>19</xdr:row>
                    <xdr:rowOff>0</xdr:rowOff>
                  </to>
                </anchor>
              </controlPr>
            </control>
          </mc:Choice>
        </mc:AlternateContent>
        <mc:AlternateContent xmlns:mc="http://schemas.openxmlformats.org/markup-compatibility/2006">
          <mc:Choice Requires="x14">
            <control shapeId="6198" r:id="rId13" name="Check Box 54">
              <controlPr defaultSize="0" autoFill="0" autoLine="0" autoPict="0">
                <anchor moveWithCells="1">
                  <from>
                    <xdr:col>15</xdr:col>
                    <xdr:colOff>114300</xdr:colOff>
                    <xdr:row>19</xdr:row>
                    <xdr:rowOff>16329</xdr:rowOff>
                  </from>
                  <to>
                    <xdr:col>15</xdr:col>
                    <xdr:colOff>326571</xdr:colOff>
                    <xdr:row>20</xdr:row>
                    <xdr:rowOff>0</xdr:rowOff>
                  </to>
                </anchor>
              </controlPr>
            </control>
          </mc:Choice>
        </mc:AlternateContent>
        <mc:AlternateContent xmlns:mc="http://schemas.openxmlformats.org/markup-compatibility/2006">
          <mc:Choice Requires="x14">
            <control shapeId="6199" r:id="rId14" name="Check Box 55">
              <controlPr defaultSize="0" autoFill="0" autoLine="0" autoPict="0">
                <anchor moveWithCells="1">
                  <from>
                    <xdr:col>15</xdr:col>
                    <xdr:colOff>114300</xdr:colOff>
                    <xdr:row>20</xdr:row>
                    <xdr:rowOff>16329</xdr:rowOff>
                  </from>
                  <to>
                    <xdr:col>15</xdr:col>
                    <xdr:colOff>326571</xdr:colOff>
                    <xdr:row>21</xdr:row>
                    <xdr:rowOff>0</xdr:rowOff>
                  </to>
                </anchor>
              </controlPr>
            </control>
          </mc:Choice>
        </mc:AlternateContent>
        <mc:AlternateContent xmlns:mc="http://schemas.openxmlformats.org/markup-compatibility/2006">
          <mc:Choice Requires="x14">
            <control shapeId="6200" r:id="rId15" name="Check Box 56">
              <controlPr defaultSize="0" autoFill="0" autoLine="0" autoPict="0">
                <anchor moveWithCells="1">
                  <from>
                    <xdr:col>15</xdr:col>
                    <xdr:colOff>114300</xdr:colOff>
                    <xdr:row>20</xdr:row>
                    <xdr:rowOff>16329</xdr:rowOff>
                  </from>
                  <to>
                    <xdr:col>15</xdr:col>
                    <xdr:colOff>326571</xdr:colOff>
                    <xdr:row>21</xdr:row>
                    <xdr:rowOff>0</xdr:rowOff>
                  </to>
                </anchor>
              </controlPr>
            </control>
          </mc:Choice>
        </mc:AlternateContent>
        <mc:AlternateContent xmlns:mc="http://schemas.openxmlformats.org/markup-compatibility/2006">
          <mc:Choice Requires="x14">
            <control shapeId="6201" r:id="rId16" name="Check Box 57">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02" r:id="rId17" name="Check Box 58">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03" r:id="rId18" name="Check Box 59">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04" r:id="rId19" name="Check Box 60">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05" r:id="rId20" name="Check Box 61">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06" r:id="rId21" name="Check Box 62">
              <controlPr defaultSize="0" autoFill="0" autoLine="0" autoPict="0">
                <anchor moveWithCells="1">
                  <from>
                    <xdr:col>15</xdr:col>
                    <xdr:colOff>114300</xdr:colOff>
                    <xdr:row>31</xdr:row>
                    <xdr:rowOff>16329</xdr:rowOff>
                  </from>
                  <to>
                    <xdr:col>15</xdr:col>
                    <xdr:colOff>326571</xdr:colOff>
                    <xdr:row>32</xdr:row>
                    <xdr:rowOff>0</xdr:rowOff>
                  </to>
                </anchor>
              </controlPr>
            </control>
          </mc:Choice>
        </mc:AlternateContent>
        <mc:AlternateContent xmlns:mc="http://schemas.openxmlformats.org/markup-compatibility/2006">
          <mc:Choice Requires="x14">
            <control shapeId="6207" r:id="rId22" name="Check Box 63">
              <controlPr defaultSize="0" autoFill="0" autoLine="0" autoPict="0">
                <anchor moveWithCells="1">
                  <from>
                    <xdr:col>15</xdr:col>
                    <xdr:colOff>114300</xdr:colOff>
                    <xdr:row>31</xdr:row>
                    <xdr:rowOff>16329</xdr:rowOff>
                  </from>
                  <to>
                    <xdr:col>15</xdr:col>
                    <xdr:colOff>326571</xdr:colOff>
                    <xdr:row>32</xdr:row>
                    <xdr:rowOff>0</xdr:rowOff>
                  </to>
                </anchor>
              </controlPr>
            </control>
          </mc:Choice>
        </mc:AlternateContent>
        <mc:AlternateContent xmlns:mc="http://schemas.openxmlformats.org/markup-compatibility/2006">
          <mc:Choice Requires="x14">
            <control shapeId="6208" r:id="rId23" name="Check Box 64">
              <controlPr defaultSize="0" autoFill="0" autoLine="0" autoPict="0">
                <anchor moveWithCells="1">
                  <from>
                    <xdr:col>18</xdr:col>
                    <xdr:colOff>114300</xdr:colOff>
                    <xdr:row>11</xdr:row>
                    <xdr:rowOff>16329</xdr:rowOff>
                  </from>
                  <to>
                    <xdr:col>18</xdr:col>
                    <xdr:colOff>326571</xdr:colOff>
                    <xdr:row>12</xdr:row>
                    <xdr:rowOff>0</xdr:rowOff>
                  </to>
                </anchor>
              </controlPr>
            </control>
          </mc:Choice>
        </mc:AlternateContent>
        <mc:AlternateContent xmlns:mc="http://schemas.openxmlformats.org/markup-compatibility/2006">
          <mc:Choice Requires="x14">
            <control shapeId="6209" r:id="rId24" name="Check Box 65">
              <controlPr defaultSize="0" autoFill="0" autoLine="0" autoPict="0">
                <anchor moveWithCells="1">
                  <from>
                    <xdr:col>18</xdr:col>
                    <xdr:colOff>114300</xdr:colOff>
                    <xdr:row>11</xdr:row>
                    <xdr:rowOff>16329</xdr:rowOff>
                  </from>
                  <to>
                    <xdr:col>18</xdr:col>
                    <xdr:colOff>326571</xdr:colOff>
                    <xdr:row>12</xdr:row>
                    <xdr:rowOff>0</xdr:rowOff>
                  </to>
                </anchor>
              </controlPr>
            </control>
          </mc:Choice>
        </mc:AlternateContent>
        <mc:AlternateContent xmlns:mc="http://schemas.openxmlformats.org/markup-compatibility/2006">
          <mc:Choice Requires="x14">
            <control shapeId="6210" r:id="rId25" name="Check Box 66">
              <controlPr defaultSize="0" autoFill="0" autoLine="0" autoPict="0">
                <anchor moveWithCells="1">
                  <from>
                    <xdr:col>18</xdr:col>
                    <xdr:colOff>114300</xdr:colOff>
                    <xdr:row>12</xdr:row>
                    <xdr:rowOff>16329</xdr:rowOff>
                  </from>
                  <to>
                    <xdr:col>18</xdr:col>
                    <xdr:colOff>326571</xdr:colOff>
                    <xdr:row>13</xdr:row>
                    <xdr:rowOff>0</xdr:rowOff>
                  </to>
                </anchor>
              </controlPr>
            </control>
          </mc:Choice>
        </mc:AlternateContent>
        <mc:AlternateContent xmlns:mc="http://schemas.openxmlformats.org/markup-compatibility/2006">
          <mc:Choice Requires="x14">
            <control shapeId="6211" r:id="rId26" name="Check Box 67">
              <controlPr defaultSize="0" autoFill="0" autoLine="0" autoPict="0">
                <anchor moveWithCells="1">
                  <from>
                    <xdr:col>18</xdr:col>
                    <xdr:colOff>114300</xdr:colOff>
                    <xdr:row>13</xdr:row>
                    <xdr:rowOff>16329</xdr:rowOff>
                  </from>
                  <to>
                    <xdr:col>18</xdr:col>
                    <xdr:colOff>326571</xdr:colOff>
                    <xdr:row>14</xdr:row>
                    <xdr:rowOff>0</xdr:rowOff>
                  </to>
                </anchor>
              </controlPr>
            </control>
          </mc:Choice>
        </mc:AlternateContent>
        <mc:AlternateContent xmlns:mc="http://schemas.openxmlformats.org/markup-compatibility/2006">
          <mc:Choice Requires="x14">
            <control shapeId="6212" r:id="rId27" name="Check Box 68">
              <controlPr defaultSize="0" autoFill="0" autoLine="0" autoPict="0">
                <anchor moveWithCells="1">
                  <from>
                    <xdr:col>18</xdr:col>
                    <xdr:colOff>114300</xdr:colOff>
                    <xdr:row>14</xdr:row>
                    <xdr:rowOff>16329</xdr:rowOff>
                  </from>
                  <to>
                    <xdr:col>18</xdr:col>
                    <xdr:colOff>326571</xdr:colOff>
                    <xdr:row>15</xdr:row>
                    <xdr:rowOff>0</xdr:rowOff>
                  </to>
                </anchor>
              </controlPr>
            </control>
          </mc:Choice>
        </mc:AlternateContent>
        <mc:AlternateContent xmlns:mc="http://schemas.openxmlformats.org/markup-compatibility/2006">
          <mc:Choice Requires="x14">
            <control shapeId="6213" r:id="rId28" name="Check Box 69">
              <controlPr defaultSize="0" autoFill="0" autoLine="0" autoPict="0">
                <anchor moveWithCells="1">
                  <from>
                    <xdr:col>18</xdr:col>
                    <xdr:colOff>114300</xdr:colOff>
                    <xdr:row>15</xdr:row>
                    <xdr:rowOff>16329</xdr:rowOff>
                  </from>
                  <to>
                    <xdr:col>18</xdr:col>
                    <xdr:colOff>326571</xdr:colOff>
                    <xdr:row>16</xdr:row>
                    <xdr:rowOff>0</xdr:rowOff>
                  </to>
                </anchor>
              </controlPr>
            </control>
          </mc:Choice>
        </mc:AlternateContent>
        <mc:AlternateContent xmlns:mc="http://schemas.openxmlformats.org/markup-compatibility/2006">
          <mc:Choice Requires="x14">
            <control shapeId="6214" r:id="rId29" name="Check Box 70">
              <controlPr defaultSize="0" autoFill="0" autoLine="0" autoPict="0">
                <anchor moveWithCells="1">
                  <from>
                    <xdr:col>18</xdr:col>
                    <xdr:colOff>114300</xdr:colOff>
                    <xdr:row>16</xdr:row>
                    <xdr:rowOff>16329</xdr:rowOff>
                  </from>
                  <to>
                    <xdr:col>18</xdr:col>
                    <xdr:colOff>326571</xdr:colOff>
                    <xdr:row>17</xdr:row>
                    <xdr:rowOff>0</xdr:rowOff>
                  </to>
                </anchor>
              </controlPr>
            </control>
          </mc:Choice>
        </mc:AlternateContent>
        <mc:AlternateContent xmlns:mc="http://schemas.openxmlformats.org/markup-compatibility/2006">
          <mc:Choice Requires="x14">
            <control shapeId="6215" r:id="rId30" name="Check Box 71">
              <controlPr defaultSize="0" autoFill="0" autoLine="0" autoPict="0">
                <anchor moveWithCells="1">
                  <from>
                    <xdr:col>18</xdr:col>
                    <xdr:colOff>114300</xdr:colOff>
                    <xdr:row>17</xdr:row>
                    <xdr:rowOff>16329</xdr:rowOff>
                  </from>
                  <to>
                    <xdr:col>18</xdr:col>
                    <xdr:colOff>326571</xdr:colOff>
                    <xdr:row>18</xdr:row>
                    <xdr:rowOff>0</xdr:rowOff>
                  </to>
                </anchor>
              </controlPr>
            </control>
          </mc:Choice>
        </mc:AlternateContent>
        <mc:AlternateContent xmlns:mc="http://schemas.openxmlformats.org/markup-compatibility/2006">
          <mc:Choice Requires="x14">
            <control shapeId="6216" r:id="rId31" name="Check Box 72">
              <controlPr defaultSize="0" autoFill="0" autoLine="0" autoPict="0">
                <anchor moveWithCells="1">
                  <from>
                    <xdr:col>18</xdr:col>
                    <xdr:colOff>114300</xdr:colOff>
                    <xdr:row>18</xdr:row>
                    <xdr:rowOff>16329</xdr:rowOff>
                  </from>
                  <to>
                    <xdr:col>18</xdr:col>
                    <xdr:colOff>326571</xdr:colOff>
                    <xdr:row>19</xdr:row>
                    <xdr:rowOff>0</xdr:rowOff>
                  </to>
                </anchor>
              </controlPr>
            </control>
          </mc:Choice>
        </mc:AlternateContent>
        <mc:AlternateContent xmlns:mc="http://schemas.openxmlformats.org/markup-compatibility/2006">
          <mc:Choice Requires="x14">
            <control shapeId="6217" r:id="rId32" name="Check Box 73">
              <controlPr defaultSize="0" autoFill="0" autoLine="0" autoPict="0">
                <anchor moveWithCells="1">
                  <from>
                    <xdr:col>18</xdr:col>
                    <xdr:colOff>114300</xdr:colOff>
                    <xdr:row>19</xdr:row>
                    <xdr:rowOff>16329</xdr:rowOff>
                  </from>
                  <to>
                    <xdr:col>18</xdr:col>
                    <xdr:colOff>326571</xdr:colOff>
                    <xdr:row>20</xdr:row>
                    <xdr:rowOff>0</xdr:rowOff>
                  </to>
                </anchor>
              </controlPr>
            </control>
          </mc:Choice>
        </mc:AlternateContent>
        <mc:AlternateContent xmlns:mc="http://schemas.openxmlformats.org/markup-compatibility/2006">
          <mc:Choice Requires="x14">
            <control shapeId="6218" r:id="rId33" name="Check Box 74">
              <controlPr defaultSize="0" autoFill="0" autoLine="0" autoPict="0">
                <anchor moveWithCells="1">
                  <from>
                    <xdr:col>18</xdr:col>
                    <xdr:colOff>114300</xdr:colOff>
                    <xdr:row>20</xdr:row>
                    <xdr:rowOff>16329</xdr:rowOff>
                  </from>
                  <to>
                    <xdr:col>18</xdr:col>
                    <xdr:colOff>326571</xdr:colOff>
                    <xdr:row>21</xdr:row>
                    <xdr:rowOff>0</xdr:rowOff>
                  </to>
                </anchor>
              </controlPr>
            </control>
          </mc:Choice>
        </mc:AlternateContent>
        <mc:AlternateContent xmlns:mc="http://schemas.openxmlformats.org/markup-compatibility/2006">
          <mc:Choice Requires="x14">
            <control shapeId="6219" r:id="rId34" name="Check Box 75">
              <controlPr defaultSize="0" autoFill="0" autoLine="0" autoPict="0">
                <anchor moveWithCells="1">
                  <from>
                    <xdr:col>18</xdr:col>
                    <xdr:colOff>114300</xdr:colOff>
                    <xdr:row>20</xdr:row>
                    <xdr:rowOff>16329</xdr:rowOff>
                  </from>
                  <to>
                    <xdr:col>18</xdr:col>
                    <xdr:colOff>326571</xdr:colOff>
                    <xdr:row>21</xdr:row>
                    <xdr:rowOff>0</xdr:rowOff>
                  </to>
                </anchor>
              </controlPr>
            </control>
          </mc:Choice>
        </mc:AlternateContent>
        <mc:AlternateContent xmlns:mc="http://schemas.openxmlformats.org/markup-compatibility/2006">
          <mc:Choice Requires="x14">
            <control shapeId="6220" r:id="rId35" name="Check Box 76">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221" r:id="rId36" name="Check Box 77">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222" r:id="rId37" name="Check Box 78">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223" r:id="rId38" name="Check Box 79">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224" r:id="rId39" name="Check Box 80">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225" r:id="rId40" name="Check Box 81">
              <controlPr defaultSize="0" autoFill="0" autoLine="0" autoPict="0">
                <anchor moveWithCells="1">
                  <from>
                    <xdr:col>18</xdr:col>
                    <xdr:colOff>114300</xdr:colOff>
                    <xdr:row>31</xdr:row>
                    <xdr:rowOff>16329</xdr:rowOff>
                  </from>
                  <to>
                    <xdr:col>18</xdr:col>
                    <xdr:colOff>326571</xdr:colOff>
                    <xdr:row>32</xdr:row>
                    <xdr:rowOff>0</xdr:rowOff>
                  </to>
                </anchor>
              </controlPr>
            </control>
          </mc:Choice>
        </mc:AlternateContent>
        <mc:AlternateContent xmlns:mc="http://schemas.openxmlformats.org/markup-compatibility/2006">
          <mc:Choice Requires="x14">
            <control shapeId="6226" r:id="rId41" name="Check Box 82">
              <controlPr defaultSize="0" autoFill="0" autoLine="0" autoPict="0">
                <anchor moveWithCells="1">
                  <from>
                    <xdr:col>18</xdr:col>
                    <xdr:colOff>114300</xdr:colOff>
                    <xdr:row>31</xdr:row>
                    <xdr:rowOff>16329</xdr:rowOff>
                  </from>
                  <to>
                    <xdr:col>18</xdr:col>
                    <xdr:colOff>326571</xdr:colOff>
                    <xdr:row>32</xdr:row>
                    <xdr:rowOff>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15</xdr:col>
                    <xdr:colOff>114300</xdr:colOff>
                    <xdr:row>21</xdr:row>
                    <xdr:rowOff>16329</xdr:rowOff>
                  </from>
                  <to>
                    <xdr:col>15</xdr:col>
                    <xdr:colOff>326571</xdr:colOff>
                    <xdr:row>22</xdr:row>
                    <xdr:rowOff>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15</xdr:col>
                    <xdr:colOff>114300</xdr:colOff>
                    <xdr:row>21</xdr:row>
                    <xdr:rowOff>16329</xdr:rowOff>
                  </from>
                  <to>
                    <xdr:col>15</xdr:col>
                    <xdr:colOff>326571</xdr:colOff>
                    <xdr:row>22</xdr:row>
                    <xdr:rowOff>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18</xdr:col>
                    <xdr:colOff>114300</xdr:colOff>
                    <xdr:row>21</xdr:row>
                    <xdr:rowOff>16329</xdr:rowOff>
                  </from>
                  <to>
                    <xdr:col>18</xdr:col>
                    <xdr:colOff>326571</xdr:colOff>
                    <xdr:row>22</xdr:row>
                    <xdr:rowOff>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18</xdr:col>
                    <xdr:colOff>114300</xdr:colOff>
                    <xdr:row>21</xdr:row>
                    <xdr:rowOff>16329</xdr:rowOff>
                  </from>
                  <to>
                    <xdr:col>18</xdr:col>
                    <xdr:colOff>326571</xdr:colOff>
                    <xdr:row>22</xdr:row>
                    <xdr:rowOff>0</xdr:rowOff>
                  </to>
                </anchor>
              </controlPr>
            </control>
          </mc:Choice>
        </mc:AlternateContent>
        <mc:AlternateContent xmlns:mc="http://schemas.openxmlformats.org/markup-compatibility/2006">
          <mc:Choice Requires="x14">
            <control shapeId="6253" r:id="rId46" name="Check Box 109">
              <controlPr defaultSize="0" autoFill="0" autoLine="0" autoPict="0">
                <anchor moveWithCells="1">
                  <from>
                    <xdr:col>15</xdr:col>
                    <xdr:colOff>114300</xdr:colOff>
                    <xdr:row>22</xdr:row>
                    <xdr:rowOff>16329</xdr:rowOff>
                  </from>
                  <to>
                    <xdr:col>15</xdr:col>
                    <xdr:colOff>326571</xdr:colOff>
                    <xdr:row>23</xdr:row>
                    <xdr:rowOff>0</xdr:rowOff>
                  </to>
                </anchor>
              </controlPr>
            </control>
          </mc:Choice>
        </mc:AlternateContent>
        <mc:AlternateContent xmlns:mc="http://schemas.openxmlformats.org/markup-compatibility/2006">
          <mc:Choice Requires="x14">
            <control shapeId="6254" r:id="rId47" name="Check Box 110">
              <controlPr defaultSize="0" autoFill="0" autoLine="0" autoPict="0">
                <anchor moveWithCells="1">
                  <from>
                    <xdr:col>15</xdr:col>
                    <xdr:colOff>114300</xdr:colOff>
                    <xdr:row>22</xdr:row>
                    <xdr:rowOff>16329</xdr:rowOff>
                  </from>
                  <to>
                    <xdr:col>15</xdr:col>
                    <xdr:colOff>326571</xdr:colOff>
                    <xdr:row>23</xdr:row>
                    <xdr:rowOff>0</xdr:rowOff>
                  </to>
                </anchor>
              </controlPr>
            </control>
          </mc:Choice>
        </mc:AlternateContent>
        <mc:AlternateContent xmlns:mc="http://schemas.openxmlformats.org/markup-compatibility/2006">
          <mc:Choice Requires="x14">
            <control shapeId="6255" r:id="rId48" name="Check Box 111">
              <controlPr defaultSize="0" autoFill="0" autoLine="0" autoPict="0">
                <anchor moveWithCells="1">
                  <from>
                    <xdr:col>18</xdr:col>
                    <xdr:colOff>114300</xdr:colOff>
                    <xdr:row>22</xdr:row>
                    <xdr:rowOff>16329</xdr:rowOff>
                  </from>
                  <to>
                    <xdr:col>18</xdr:col>
                    <xdr:colOff>326571</xdr:colOff>
                    <xdr:row>23</xdr:row>
                    <xdr:rowOff>0</xdr:rowOff>
                  </to>
                </anchor>
              </controlPr>
            </control>
          </mc:Choice>
        </mc:AlternateContent>
        <mc:AlternateContent xmlns:mc="http://schemas.openxmlformats.org/markup-compatibility/2006">
          <mc:Choice Requires="x14">
            <control shapeId="6256" r:id="rId49" name="Check Box 112">
              <controlPr defaultSize="0" autoFill="0" autoLine="0" autoPict="0">
                <anchor moveWithCells="1">
                  <from>
                    <xdr:col>18</xdr:col>
                    <xdr:colOff>114300</xdr:colOff>
                    <xdr:row>22</xdr:row>
                    <xdr:rowOff>16329</xdr:rowOff>
                  </from>
                  <to>
                    <xdr:col>18</xdr:col>
                    <xdr:colOff>326571</xdr:colOff>
                    <xdr:row>23</xdr:row>
                    <xdr:rowOff>0</xdr:rowOff>
                  </to>
                </anchor>
              </controlPr>
            </control>
          </mc:Choice>
        </mc:AlternateContent>
        <mc:AlternateContent xmlns:mc="http://schemas.openxmlformats.org/markup-compatibility/2006">
          <mc:Choice Requires="x14">
            <control shapeId="6259" r:id="rId50" name="Check Box 115">
              <controlPr defaultSize="0" autoFill="0" autoLine="0" autoPict="0">
                <anchor moveWithCells="1">
                  <from>
                    <xdr:col>15</xdr:col>
                    <xdr:colOff>114300</xdr:colOff>
                    <xdr:row>23</xdr:row>
                    <xdr:rowOff>16329</xdr:rowOff>
                  </from>
                  <to>
                    <xdr:col>15</xdr:col>
                    <xdr:colOff>326571</xdr:colOff>
                    <xdr:row>24</xdr:row>
                    <xdr:rowOff>0</xdr:rowOff>
                  </to>
                </anchor>
              </controlPr>
            </control>
          </mc:Choice>
        </mc:AlternateContent>
        <mc:AlternateContent xmlns:mc="http://schemas.openxmlformats.org/markup-compatibility/2006">
          <mc:Choice Requires="x14">
            <control shapeId="6260" r:id="rId51" name="Check Box 116">
              <controlPr defaultSize="0" autoFill="0" autoLine="0" autoPict="0">
                <anchor moveWithCells="1">
                  <from>
                    <xdr:col>15</xdr:col>
                    <xdr:colOff>114300</xdr:colOff>
                    <xdr:row>23</xdr:row>
                    <xdr:rowOff>16329</xdr:rowOff>
                  </from>
                  <to>
                    <xdr:col>15</xdr:col>
                    <xdr:colOff>326571</xdr:colOff>
                    <xdr:row>24</xdr:row>
                    <xdr:rowOff>0</xdr:rowOff>
                  </to>
                </anchor>
              </controlPr>
            </control>
          </mc:Choice>
        </mc:AlternateContent>
        <mc:AlternateContent xmlns:mc="http://schemas.openxmlformats.org/markup-compatibility/2006">
          <mc:Choice Requires="x14">
            <control shapeId="6261" r:id="rId52" name="Check Box 117">
              <controlPr defaultSize="0" autoFill="0" autoLine="0" autoPict="0">
                <anchor moveWithCells="1">
                  <from>
                    <xdr:col>18</xdr:col>
                    <xdr:colOff>114300</xdr:colOff>
                    <xdr:row>23</xdr:row>
                    <xdr:rowOff>16329</xdr:rowOff>
                  </from>
                  <to>
                    <xdr:col>18</xdr:col>
                    <xdr:colOff>326571</xdr:colOff>
                    <xdr:row>24</xdr:row>
                    <xdr:rowOff>0</xdr:rowOff>
                  </to>
                </anchor>
              </controlPr>
            </control>
          </mc:Choice>
        </mc:AlternateContent>
        <mc:AlternateContent xmlns:mc="http://schemas.openxmlformats.org/markup-compatibility/2006">
          <mc:Choice Requires="x14">
            <control shapeId="6262" r:id="rId53" name="Check Box 118">
              <controlPr defaultSize="0" autoFill="0" autoLine="0" autoPict="0">
                <anchor moveWithCells="1">
                  <from>
                    <xdr:col>18</xdr:col>
                    <xdr:colOff>114300</xdr:colOff>
                    <xdr:row>23</xdr:row>
                    <xdr:rowOff>16329</xdr:rowOff>
                  </from>
                  <to>
                    <xdr:col>18</xdr:col>
                    <xdr:colOff>326571</xdr:colOff>
                    <xdr:row>24</xdr:row>
                    <xdr:rowOff>0</xdr:rowOff>
                  </to>
                </anchor>
              </controlPr>
            </control>
          </mc:Choice>
        </mc:AlternateContent>
        <mc:AlternateContent xmlns:mc="http://schemas.openxmlformats.org/markup-compatibility/2006">
          <mc:Choice Requires="x14">
            <control shapeId="6265" r:id="rId54" name="Check Box 121">
              <controlPr defaultSize="0" autoFill="0" autoLine="0" autoPict="0">
                <anchor moveWithCells="1">
                  <from>
                    <xdr:col>15</xdr:col>
                    <xdr:colOff>114300</xdr:colOff>
                    <xdr:row>24</xdr:row>
                    <xdr:rowOff>16329</xdr:rowOff>
                  </from>
                  <to>
                    <xdr:col>15</xdr:col>
                    <xdr:colOff>326571</xdr:colOff>
                    <xdr:row>25</xdr:row>
                    <xdr:rowOff>0</xdr:rowOff>
                  </to>
                </anchor>
              </controlPr>
            </control>
          </mc:Choice>
        </mc:AlternateContent>
        <mc:AlternateContent xmlns:mc="http://schemas.openxmlformats.org/markup-compatibility/2006">
          <mc:Choice Requires="x14">
            <control shapeId="6266" r:id="rId55" name="Check Box 122">
              <controlPr defaultSize="0" autoFill="0" autoLine="0" autoPict="0">
                <anchor moveWithCells="1">
                  <from>
                    <xdr:col>15</xdr:col>
                    <xdr:colOff>114300</xdr:colOff>
                    <xdr:row>24</xdr:row>
                    <xdr:rowOff>16329</xdr:rowOff>
                  </from>
                  <to>
                    <xdr:col>15</xdr:col>
                    <xdr:colOff>326571</xdr:colOff>
                    <xdr:row>25</xdr:row>
                    <xdr:rowOff>0</xdr:rowOff>
                  </to>
                </anchor>
              </controlPr>
            </control>
          </mc:Choice>
        </mc:AlternateContent>
        <mc:AlternateContent xmlns:mc="http://schemas.openxmlformats.org/markup-compatibility/2006">
          <mc:Choice Requires="x14">
            <control shapeId="6267" r:id="rId56" name="Check Box 123">
              <controlPr defaultSize="0" autoFill="0" autoLine="0" autoPict="0">
                <anchor moveWithCells="1">
                  <from>
                    <xdr:col>18</xdr:col>
                    <xdr:colOff>114300</xdr:colOff>
                    <xdr:row>24</xdr:row>
                    <xdr:rowOff>16329</xdr:rowOff>
                  </from>
                  <to>
                    <xdr:col>18</xdr:col>
                    <xdr:colOff>326571</xdr:colOff>
                    <xdr:row>25</xdr:row>
                    <xdr:rowOff>0</xdr:rowOff>
                  </to>
                </anchor>
              </controlPr>
            </control>
          </mc:Choice>
        </mc:AlternateContent>
        <mc:AlternateContent xmlns:mc="http://schemas.openxmlformats.org/markup-compatibility/2006">
          <mc:Choice Requires="x14">
            <control shapeId="6268" r:id="rId57" name="Check Box 124">
              <controlPr defaultSize="0" autoFill="0" autoLine="0" autoPict="0">
                <anchor moveWithCells="1">
                  <from>
                    <xdr:col>18</xdr:col>
                    <xdr:colOff>114300</xdr:colOff>
                    <xdr:row>24</xdr:row>
                    <xdr:rowOff>16329</xdr:rowOff>
                  </from>
                  <to>
                    <xdr:col>18</xdr:col>
                    <xdr:colOff>326571</xdr:colOff>
                    <xdr:row>25</xdr:row>
                    <xdr:rowOff>0</xdr:rowOff>
                  </to>
                </anchor>
              </controlPr>
            </control>
          </mc:Choice>
        </mc:AlternateContent>
        <mc:AlternateContent xmlns:mc="http://schemas.openxmlformats.org/markup-compatibility/2006">
          <mc:Choice Requires="x14">
            <control shapeId="6271" r:id="rId58" name="Check Box 127">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72" r:id="rId59" name="Check Box 128">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73" r:id="rId60" name="Check Box 129">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274" r:id="rId61" name="Check Box 130">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277" r:id="rId62" name="Check Box 133">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78" r:id="rId63" name="Check Box 134">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79" r:id="rId64" name="Check Box 135">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280" r:id="rId65" name="Check Box 136">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283" r:id="rId66" name="Check Box 139">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84" r:id="rId67" name="Check Box 140">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85" r:id="rId68" name="Check Box 141">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286" r:id="rId69" name="Check Box 142">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289" r:id="rId70" name="Check Box 145">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90" r:id="rId71" name="Check Box 146">
              <controlPr defaultSize="0" autoFill="0" autoLine="0" autoPict="0">
                <anchor moveWithCells="1">
                  <from>
                    <xdr:col>15</xdr:col>
                    <xdr:colOff>114300</xdr:colOff>
                    <xdr:row>25</xdr:row>
                    <xdr:rowOff>0</xdr:rowOff>
                  </from>
                  <to>
                    <xdr:col>15</xdr:col>
                    <xdr:colOff>326571</xdr:colOff>
                    <xdr:row>31</xdr:row>
                    <xdr:rowOff>168729</xdr:rowOff>
                  </to>
                </anchor>
              </controlPr>
            </control>
          </mc:Choice>
        </mc:AlternateContent>
        <mc:AlternateContent xmlns:mc="http://schemas.openxmlformats.org/markup-compatibility/2006">
          <mc:Choice Requires="x14">
            <control shapeId="6291" r:id="rId72" name="Check Box 147">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292" r:id="rId73" name="Check Box 148">
              <controlPr defaultSize="0" autoFill="0" autoLine="0" autoPict="0">
                <anchor moveWithCells="1">
                  <from>
                    <xdr:col>18</xdr:col>
                    <xdr:colOff>114300</xdr:colOff>
                    <xdr:row>25</xdr:row>
                    <xdr:rowOff>0</xdr:rowOff>
                  </from>
                  <to>
                    <xdr:col>18</xdr:col>
                    <xdr:colOff>326571</xdr:colOff>
                    <xdr:row>31</xdr:row>
                    <xdr:rowOff>168729</xdr:rowOff>
                  </to>
                </anchor>
              </controlPr>
            </control>
          </mc:Choice>
        </mc:AlternateContent>
        <mc:AlternateContent xmlns:mc="http://schemas.openxmlformats.org/markup-compatibility/2006">
          <mc:Choice Requires="x14">
            <control shapeId="6150" r:id="rId74" name="Check Box 6">
              <controlPr defaultSize="0" autoFill="0" autoLine="0" autoPict="0">
                <anchor moveWithCells="1">
                  <from>
                    <xdr:col>2</xdr:col>
                    <xdr:colOff>114300</xdr:colOff>
                    <xdr:row>11</xdr:row>
                    <xdr:rowOff>16329</xdr:rowOff>
                  </from>
                  <to>
                    <xdr:col>2</xdr:col>
                    <xdr:colOff>326571</xdr:colOff>
                    <xdr:row>12</xdr:row>
                    <xdr:rowOff>16329</xdr:rowOff>
                  </to>
                </anchor>
              </controlPr>
            </control>
          </mc:Choice>
        </mc:AlternateContent>
        <mc:AlternateContent xmlns:mc="http://schemas.openxmlformats.org/markup-compatibility/2006">
          <mc:Choice Requires="x14">
            <control shapeId="6152" r:id="rId75" name="Check Box 8">
              <controlPr defaultSize="0" autoFill="0" autoLine="0" autoPict="0">
                <anchor moveWithCells="1">
                  <from>
                    <xdr:col>2</xdr:col>
                    <xdr:colOff>114300</xdr:colOff>
                    <xdr:row>12</xdr:row>
                    <xdr:rowOff>16329</xdr:rowOff>
                  </from>
                  <to>
                    <xdr:col>2</xdr:col>
                    <xdr:colOff>326571</xdr:colOff>
                    <xdr:row>13</xdr:row>
                    <xdr:rowOff>0</xdr:rowOff>
                  </to>
                </anchor>
              </controlPr>
            </control>
          </mc:Choice>
        </mc:AlternateContent>
        <mc:AlternateContent xmlns:mc="http://schemas.openxmlformats.org/markup-compatibility/2006">
          <mc:Choice Requires="x14">
            <control shapeId="6153" r:id="rId76" name="Check Box 9">
              <controlPr defaultSize="0" autoFill="0" autoLine="0" autoPict="0">
                <anchor moveWithCells="1">
                  <from>
                    <xdr:col>2</xdr:col>
                    <xdr:colOff>114300</xdr:colOff>
                    <xdr:row>13</xdr:row>
                    <xdr:rowOff>16329</xdr:rowOff>
                  </from>
                  <to>
                    <xdr:col>2</xdr:col>
                    <xdr:colOff>326571</xdr:colOff>
                    <xdr:row>14</xdr:row>
                    <xdr:rowOff>0</xdr:rowOff>
                  </to>
                </anchor>
              </controlPr>
            </control>
          </mc:Choice>
        </mc:AlternateContent>
        <mc:AlternateContent xmlns:mc="http://schemas.openxmlformats.org/markup-compatibility/2006">
          <mc:Choice Requires="x14">
            <control shapeId="6154" r:id="rId77" name="Check Box 10">
              <controlPr defaultSize="0" autoFill="0" autoLine="0" autoPict="0">
                <anchor moveWithCells="1">
                  <from>
                    <xdr:col>2</xdr:col>
                    <xdr:colOff>114300</xdr:colOff>
                    <xdr:row>14</xdr:row>
                    <xdr:rowOff>16329</xdr:rowOff>
                  </from>
                  <to>
                    <xdr:col>2</xdr:col>
                    <xdr:colOff>326571</xdr:colOff>
                    <xdr:row>15</xdr:row>
                    <xdr:rowOff>0</xdr:rowOff>
                  </to>
                </anchor>
              </controlPr>
            </control>
          </mc:Choice>
        </mc:AlternateContent>
        <mc:AlternateContent xmlns:mc="http://schemas.openxmlformats.org/markup-compatibility/2006">
          <mc:Choice Requires="x14">
            <control shapeId="6155" r:id="rId78" name="Check Box 11">
              <controlPr defaultSize="0" autoFill="0" autoLine="0" autoPict="0">
                <anchor moveWithCells="1">
                  <from>
                    <xdr:col>2</xdr:col>
                    <xdr:colOff>114300</xdr:colOff>
                    <xdr:row>15</xdr:row>
                    <xdr:rowOff>16329</xdr:rowOff>
                  </from>
                  <to>
                    <xdr:col>2</xdr:col>
                    <xdr:colOff>326571</xdr:colOff>
                    <xdr:row>16</xdr:row>
                    <xdr:rowOff>0</xdr:rowOff>
                  </to>
                </anchor>
              </controlPr>
            </control>
          </mc:Choice>
        </mc:AlternateContent>
        <mc:AlternateContent xmlns:mc="http://schemas.openxmlformats.org/markup-compatibility/2006">
          <mc:Choice Requires="x14">
            <control shapeId="6156" r:id="rId79" name="Check Box 12">
              <controlPr defaultSize="0" autoFill="0" autoLine="0" autoPict="0">
                <anchor moveWithCells="1">
                  <from>
                    <xdr:col>2</xdr:col>
                    <xdr:colOff>114300</xdr:colOff>
                    <xdr:row>16</xdr:row>
                    <xdr:rowOff>16329</xdr:rowOff>
                  </from>
                  <to>
                    <xdr:col>2</xdr:col>
                    <xdr:colOff>326571</xdr:colOff>
                    <xdr:row>17</xdr:row>
                    <xdr:rowOff>0</xdr:rowOff>
                  </to>
                </anchor>
              </controlPr>
            </control>
          </mc:Choice>
        </mc:AlternateContent>
        <mc:AlternateContent xmlns:mc="http://schemas.openxmlformats.org/markup-compatibility/2006">
          <mc:Choice Requires="x14">
            <control shapeId="6157" r:id="rId80" name="Check Box 13">
              <controlPr defaultSize="0" autoFill="0" autoLine="0" autoPict="0">
                <anchor moveWithCells="1">
                  <from>
                    <xdr:col>2</xdr:col>
                    <xdr:colOff>114300</xdr:colOff>
                    <xdr:row>17</xdr:row>
                    <xdr:rowOff>16329</xdr:rowOff>
                  </from>
                  <to>
                    <xdr:col>2</xdr:col>
                    <xdr:colOff>326571</xdr:colOff>
                    <xdr:row>18</xdr:row>
                    <xdr:rowOff>0</xdr:rowOff>
                  </to>
                </anchor>
              </controlPr>
            </control>
          </mc:Choice>
        </mc:AlternateContent>
        <mc:AlternateContent xmlns:mc="http://schemas.openxmlformats.org/markup-compatibility/2006">
          <mc:Choice Requires="x14">
            <control shapeId="6158" r:id="rId81" name="Check Box 14">
              <controlPr defaultSize="0" autoFill="0" autoLine="0" autoPict="0">
                <anchor moveWithCells="1">
                  <from>
                    <xdr:col>2</xdr:col>
                    <xdr:colOff>114300</xdr:colOff>
                    <xdr:row>18</xdr:row>
                    <xdr:rowOff>16329</xdr:rowOff>
                  </from>
                  <to>
                    <xdr:col>2</xdr:col>
                    <xdr:colOff>326571</xdr:colOff>
                    <xdr:row>19</xdr:row>
                    <xdr:rowOff>0</xdr:rowOff>
                  </to>
                </anchor>
              </controlPr>
            </control>
          </mc:Choice>
        </mc:AlternateContent>
        <mc:AlternateContent xmlns:mc="http://schemas.openxmlformats.org/markup-compatibility/2006">
          <mc:Choice Requires="x14">
            <control shapeId="6159" r:id="rId82" name="Check Box 15">
              <controlPr defaultSize="0" autoFill="0" autoLine="0" autoPict="0">
                <anchor moveWithCells="1">
                  <from>
                    <xdr:col>2</xdr:col>
                    <xdr:colOff>114300</xdr:colOff>
                    <xdr:row>19</xdr:row>
                    <xdr:rowOff>16329</xdr:rowOff>
                  </from>
                  <to>
                    <xdr:col>2</xdr:col>
                    <xdr:colOff>326571</xdr:colOff>
                    <xdr:row>20</xdr:row>
                    <xdr:rowOff>0</xdr:rowOff>
                  </to>
                </anchor>
              </controlPr>
            </control>
          </mc:Choice>
        </mc:AlternateContent>
        <mc:AlternateContent xmlns:mc="http://schemas.openxmlformats.org/markup-compatibility/2006">
          <mc:Choice Requires="x14">
            <control shapeId="6160" r:id="rId83" name="Check Box 16">
              <controlPr defaultSize="0" autoFill="0" autoLine="0" autoPict="0">
                <anchor moveWithCells="1">
                  <from>
                    <xdr:col>2</xdr:col>
                    <xdr:colOff>114300</xdr:colOff>
                    <xdr:row>20</xdr:row>
                    <xdr:rowOff>16329</xdr:rowOff>
                  </from>
                  <to>
                    <xdr:col>2</xdr:col>
                    <xdr:colOff>326571</xdr:colOff>
                    <xdr:row>21</xdr:row>
                    <xdr:rowOff>0</xdr:rowOff>
                  </to>
                </anchor>
              </controlPr>
            </control>
          </mc:Choice>
        </mc:AlternateContent>
        <mc:AlternateContent xmlns:mc="http://schemas.openxmlformats.org/markup-compatibility/2006">
          <mc:Choice Requires="x14">
            <control shapeId="6162" r:id="rId84" name="Check Box 18">
              <controlPr defaultSize="0" autoFill="0" autoLine="0" autoPict="0">
                <anchor moveWithCells="1">
                  <from>
                    <xdr:col>2</xdr:col>
                    <xdr:colOff>114300</xdr:colOff>
                    <xdr:row>20</xdr:row>
                    <xdr:rowOff>16329</xdr:rowOff>
                  </from>
                  <to>
                    <xdr:col>2</xdr:col>
                    <xdr:colOff>326571</xdr:colOff>
                    <xdr:row>21</xdr:row>
                    <xdr:rowOff>0</xdr:rowOff>
                  </to>
                </anchor>
              </controlPr>
            </control>
          </mc:Choice>
        </mc:AlternateContent>
        <mc:AlternateContent xmlns:mc="http://schemas.openxmlformats.org/markup-compatibility/2006">
          <mc:Choice Requires="x14">
            <control shapeId="6163" r:id="rId85" name="Check Box 19">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164" r:id="rId86" name="Check Box 20">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165" r:id="rId87" name="Check Box 21">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166" r:id="rId88" name="Check Box 22">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167" r:id="rId89" name="Check Box 23">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168" r:id="rId90" name="Check Box 24">
              <controlPr defaultSize="0" autoFill="0" autoLine="0" autoPict="0">
                <anchor moveWithCells="1">
                  <from>
                    <xdr:col>2</xdr:col>
                    <xdr:colOff>114300</xdr:colOff>
                    <xdr:row>31</xdr:row>
                    <xdr:rowOff>16329</xdr:rowOff>
                  </from>
                  <to>
                    <xdr:col>2</xdr:col>
                    <xdr:colOff>326571</xdr:colOff>
                    <xdr:row>32</xdr:row>
                    <xdr:rowOff>0</xdr:rowOff>
                  </to>
                </anchor>
              </controlPr>
            </control>
          </mc:Choice>
        </mc:AlternateContent>
        <mc:AlternateContent xmlns:mc="http://schemas.openxmlformats.org/markup-compatibility/2006">
          <mc:Choice Requires="x14">
            <control shapeId="6169" r:id="rId91" name="Check Box 25">
              <controlPr defaultSize="0" autoFill="0" autoLine="0" autoPict="0">
                <anchor moveWithCells="1">
                  <from>
                    <xdr:col>2</xdr:col>
                    <xdr:colOff>114300</xdr:colOff>
                    <xdr:row>31</xdr:row>
                    <xdr:rowOff>16329</xdr:rowOff>
                  </from>
                  <to>
                    <xdr:col>2</xdr:col>
                    <xdr:colOff>326571</xdr:colOff>
                    <xdr:row>32</xdr:row>
                    <xdr:rowOff>0</xdr:rowOff>
                  </to>
                </anchor>
              </controlPr>
            </control>
          </mc:Choice>
        </mc:AlternateContent>
        <mc:AlternateContent xmlns:mc="http://schemas.openxmlformats.org/markup-compatibility/2006">
          <mc:Choice Requires="x14">
            <control shapeId="6228" r:id="rId92" name="Check Box 84">
              <controlPr defaultSize="0" autoFill="0" autoLine="0" autoPict="0">
                <anchor moveWithCells="1">
                  <from>
                    <xdr:col>2</xdr:col>
                    <xdr:colOff>114300</xdr:colOff>
                    <xdr:row>21</xdr:row>
                    <xdr:rowOff>16329</xdr:rowOff>
                  </from>
                  <to>
                    <xdr:col>2</xdr:col>
                    <xdr:colOff>326571</xdr:colOff>
                    <xdr:row>22</xdr:row>
                    <xdr:rowOff>0</xdr:rowOff>
                  </to>
                </anchor>
              </controlPr>
            </control>
          </mc:Choice>
        </mc:AlternateContent>
        <mc:AlternateContent xmlns:mc="http://schemas.openxmlformats.org/markup-compatibility/2006">
          <mc:Choice Requires="x14">
            <control shapeId="6229" r:id="rId93" name="Check Box 85">
              <controlPr defaultSize="0" autoFill="0" autoLine="0" autoPict="0">
                <anchor moveWithCells="1">
                  <from>
                    <xdr:col>2</xdr:col>
                    <xdr:colOff>114300</xdr:colOff>
                    <xdr:row>21</xdr:row>
                    <xdr:rowOff>16329</xdr:rowOff>
                  </from>
                  <to>
                    <xdr:col>2</xdr:col>
                    <xdr:colOff>326571</xdr:colOff>
                    <xdr:row>22</xdr:row>
                    <xdr:rowOff>0</xdr:rowOff>
                  </to>
                </anchor>
              </controlPr>
            </control>
          </mc:Choice>
        </mc:AlternateContent>
        <mc:AlternateContent xmlns:mc="http://schemas.openxmlformats.org/markup-compatibility/2006">
          <mc:Choice Requires="x14">
            <control shapeId="6230" r:id="rId94" name="Check Box 86">
              <controlPr defaultSize="0" autoFill="0" autoLine="0" autoPict="0">
                <anchor moveWithCells="1">
                  <from>
                    <xdr:col>2</xdr:col>
                    <xdr:colOff>114300</xdr:colOff>
                    <xdr:row>22</xdr:row>
                    <xdr:rowOff>16329</xdr:rowOff>
                  </from>
                  <to>
                    <xdr:col>2</xdr:col>
                    <xdr:colOff>326571</xdr:colOff>
                    <xdr:row>23</xdr:row>
                    <xdr:rowOff>0</xdr:rowOff>
                  </to>
                </anchor>
              </controlPr>
            </control>
          </mc:Choice>
        </mc:AlternateContent>
        <mc:AlternateContent xmlns:mc="http://schemas.openxmlformats.org/markup-compatibility/2006">
          <mc:Choice Requires="x14">
            <control shapeId="6231" r:id="rId95" name="Check Box 87">
              <controlPr defaultSize="0" autoFill="0" autoLine="0" autoPict="0">
                <anchor moveWithCells="1">
                  <from>
                    <xdr:col>2</xdr:col>
                    <xdr:colOff>114300</xdr:colOff>
                    <xdr:row>22</xdr:row>
                    <xdr:rowOff>16329</xdr:rowOff>
                  </from>
                  <to>
                    <xdr:col>2</xdr:col>
                    <xdr:colOff>326571</xdr:colOff>
                    <xdr:row>23</xdr:row>
                    <xdr:rowOff>0</xdr:rowOff>
                  </to>
                </anchor>
              </controlPr>
            </control>
          </mc:Choice>
        </mc:AlternateContent>
        <mc:AlternateContent xmlns:mc="http://schemas.openxmlformats.org/markup-compatibility/2006">
          <mc:Choice Requires="x14">
            <control shapeId="6232" r:id="rId96" name="Check Box 88">
              <controlPr defaultSize="0" autoFill="0" autoLine="0" autoPict="0">
                <anchor moveWithCells="1">
                  <from>
                    <xdr:col>2</xdr:col>
                    <xdr:colOff>114300</xdr:colOff>
                    <xdr:row>23</xdr:row>
                    <xdr:rowOff>16329</xdr:rowOff>
                  </from>
                  <to>
                    <xdr:col>2</xdr:col>
                    <xdr:colOff>326571</xdr:colOff>
                    <xdr:row>24</xdr:row>
                    <xdr:rowOff>0</xdr:rowOff>
                  </to>
                </anchor>
              </controlPr>
            </control>
          </mc:Choice>
        </mc:AlternateContent>
        <mc:AlternateContent xmlns:mc="http://schemas.openxmlformats.org/markup-compatibility/2006">
          <mc:Choice Requires="x14">
            <control shapeId="6233" r:id="rId97" name="Check Box 89">
              <controlPr defaultSize="0" autoFill="0" autoLine="0" autoPict="0">
                <anchor moveWithCells="1">
                  <from>
                    <xdr:col>2</xdr:col>
                    <xdr:colOff>114300</xdr:colOff>
                    <xdr:row>23</xdr:row>
                    <xdr:rowOff>16329</xdr:rowOff>
                  </from>
                  <to>
                    <xdr:col>2</xdr:col>
                    <xdr:colOff>326571</xdr:colOff>
                    <xdr:row>24</xdr:row>
                    <xdr:rowOff>0</xdr:rowOff>
                  </to>
                </anchor>
              </controlPr>
            </control>
          </mc:Choice>
        </mc:AlternateContent>
        <mc:AlternateContent xmlns:mc="http://schemas.openxmlformats.org/markup-compatibility/2006">
          <mc:Choice Requires="x14">
            <control shapeId="6234" r:id="rId98" name="Check Box 90">
              <controlPr defaultSize="0" autoFill="0" autoLine="0" autoPict="0">
                <anchor moveWithCells="1">
                  <from>
                    <xdr:col>2</xdr:col>
                    <xdr:colOff>114300</xdr:colOff>
                    <xdr:row>24</xdr:row>
                    <xdr:rowOff>16329</xdr:rowOff>
                  </from>
                  <to>
                    <xdr:col>2</xdr:col>
                    <xdr:colOff>326571</xdr:colOff>
                    <xdr:row>25</xdr:row>
                    <xdr:rowOff>0</xdr:rowOff>
                  </to>
                </anchor>
              </controlPr>
            </control>
          </mc:Choice>
        </mc:AlternateContent>
        <mc:AlternateContent xmlns:mc="http://schemas.openxmlformats.org/markup-compatibility/2006">
          <mc:Choice Requires="x14">
            <control shapeId="6235" r:id="rId99" name="Check Box 91">
              <controlPr defaultSize="0" autoFill="0" autoLine="0" autoPict="0">
                <anchor moveWithCells="1">
                  <from>
                    <xdr:col>2</xdr:col>
                    <xdr:colOff>114300</xdr:colOff>
                    <xdr:row>24</xdr:row>
                    <xdr:rowOff>16329</xdr:rowOff>
                  </from>
                  <to>
                    <xdr:col>2</xdr:col>
                    <xdr:colOff>326571</xdr:colOff>
                    <xdr:row>25</xdr:row>
                    <xdr:rowOff>0</xdr:rowOff>
                  </to>
                </anchor>
              </controlPr>
            </control>
          </mc:Choice>
        </mc:AlternateContent>
        <mc:AlternateContent xmlns:mc="http://schemas.openxmlformats.org/markup-compatibility/2006">
          <mc:Choice Requires="x14">
            <control shapeId="6236" r:id="rId100" name="Check Box 92">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237" r:id="rId101" name="Check Box 93">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238" r:id="rId102" name="Check Box 94">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239" r:id="rId103" name="Check Box 95">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240" r:id="rId104" name="Check Box 96">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241" r:id="rId105" name="Check Box 97">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242" r:id="rId106" name="Check Box 98">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243" r:id="rId107" name="Check Box 99">
              <controlPr defaultSize="0" autoFill="0" autoLine="0" autoPict="0">
                <anchor moveWithCells="1">
                  <from>
                    <xdr:col>2</xdr:col>
                    <xdr:colOff>114300</xdr:colOff>
                    <xdr:row>25</xdr:row>
                    <xdr:rowOff>0</xdr:rowOff>
                  </from>
                  <to>
                    <xdr:col>2</xdr:col>
                    <xdr:colOff>326571</xdr:colOff>
                    <xdr:row>31</xdr:row>
                    <xdr:rowOff>168729</xdr:rowOff>
                  </to>
                </anchor>
              </controlPr>
            </control>
          </mc:Choice>
        </mc:AlternateContent>
        <mc:AlternateContent xmlns:mc="http://schemas.openxmlformats.org/markup-compatibility/2006">
          <mc:Choice Requires="x14">
            <control shapeId="6293" r:id="rId108" name="Drop Down 149">
              <controlPr locked="0" defaultSize="0" autoLine="0" autoPict="0">
                <anchor moveWithCells="1">
                  <from>
                    <xdr:col>2</xdr:col>
                    <xdr:colOff>566057</xdr:colOff>
                    <xdr:row>0</xdr:row>
                    <xdr:rowOff>157843</xdr:rowOff>
                  </from>
                  <to>
                    <xdr:col>5</xdr:col>
                    <xdr:colOff>375557</xdr:colOff>
                    <xdr:row>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4000000}">
          <x14:formula1>
            <xm:f>Begriffe!$F$13:$F$57</xm:f>
          </x14:formula1>
          <xm:sqref>B12:B32</xm:sqref>
        </x14:dataValidation>
        <x14:dataValidation type="list" allowBlank="1" showInputMessage="1" showErrorMessage="1" xr:uid="{00000000-0002-0000-0300-000005000000}">
          <x14:formula1>
            <xm:f>Begriffe!$F$76:$F$78</xm:f>
          </x14:formula1>
          <xm:sqref>B5</xm:sqref>
        </x14:dataValidation>
        <x14:dataValidation type="list" allowBlank="1" showInputMessage="1" showErrorMessage="1" xr:uid="{00000000-0002-0000-0300-000006000000}">
          <x14:formula1>
            <xm:f>Lüftung!$A$6:$A$22</xm:f>
          </x14:formula1>
          <xm:sqref>L12:L32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blLueftung">
    <pageSetUpPr fitToPage="1"/>
  </sheetPr>
  <dimension ref="A1:AC32"/>
  <sheetViews>
    <sheetView showGridLines="0" showRowColHeaders="0" showZeros="0" zoomScaleNormal="100" workbookViewId="0">
      <selection activeCell="A32" sqref="A32"/>
    </sheetView>
  </sheetViews>
  <sheetFormatPr baseColWidth="10" defaultColWidth="11.4609375" defaultRowHeight="12.45"/>
  <cols>
    <col min="1" max="1" width="8.765625" style="33" customWidth="1"/>
    <col min="2" max="2" width="28.4609375" style="33" customWidth="1"/>
    <col min="3" max="3" width="8.4609375" style="33" customWidth="1"/>
    <col min="4" max="4" width="8.4609375" style="33" hidden="1" customWidth="1"/>
    <col min="5" max="5" width="8.765625" style="33" customWidth="1"/>
    <col min="6" max="6" width="10.23046875" style="33" customWidth="1"/>
    <col min="7" max="7" width="8.765625" style="33" customWidth="1"/>
    <col min="8" max="8" width="9" style="33" customWidth="1"/>
    <col min="9" max="9" width="9.69140625" style="33" customWidth="1"/>
    <col min="10" max="10" width="16.53515625" style="33" customWidth="1"/>
    <col min="11" max="12" width="11.53515625" style="33" customWidth="1"/>
    <col min="13" max="13" width="10.765625" style="33" customWidth="1"/>
    <col min="14" max="14" width="11.69140625" style="33" customWidth="1"/>
    <col min="15" max="15" width="8" style="33" hidden="1" customWidth="1"/>
    <col min="16" max="16" width="6.4609375" style="33" hidden="1" customWidth="1"/>
    <col min="17" max="17" width="10.23046875" style="33" customWidth="1"/>
    <col min="18" max="18" width="7.4609375" style="33" customWidth="1"/>
    <col min="19" max="19" width="10" style="33" customWidth="1"/>
    <col min="20" max="20" width="8.23046875" style="33" customWidth="1"/>
    <col min="21" max="26" width="7.4609375" style="33" hidden="1" customWidth="1"/>
    <col min="27" max="16384" width="11.4609375" style="33"/>
  </cols>
  <sheetData>
    <row r="1" spans="1:29">
      <c r="A1" s="20" t="str">
        <f>Begriffe!F61</f>
        <v>Projektname</v>
      </c>
      <c r="C1" s="12"/>
      <c r="D1" s="12"/>
      <c r="E1" s="20" t="str">
        <f>Begriffe!F62</f>
        <v>Klimastation</v>
      </c>
      <c r="F1" s="20"/>
      <c r="I1" s="20" t="str">
        <f>Begriffe!F63</f>
        <v>Autor</v>
      </c>
      <c r="J1"/>
      <c r="K1" s="4"/>
      <c r="L1" s="19" t="str">
        <f>Begriffe!F64</f>
        <v>Datum</v>
      </c>
    </row>
    <row r="2" spans="1:29">
      <c r="A2" s="33" t="str">
        <f>Gebäude!B2</f>
        <v>Beispiel/exemple/esempio</v>
      </c>
      <c r="C2"/>
      <c r="D2"/>
      <c r="E2" t="str" cm="1">
        <f t="array" ref="E2">INDEX(Klimadaten!B4:B43,Gebäude!D2,0)</f>
        <v>Zürich-MeteoSchweiz</v>
      </c>
      <c r="F2"/>
      <c r="I2" s="33" t="str">
        <f>Gebäude!G2</f>
        <v>Max Muster</v>
      </c>
      <c r="K2" s="4"/>
      <c r="L2" s="896">
        <f>Gebäude!J2</f>
        <v>45767</v>
      </c>
    </row>
    <row r="4" spans="1:29">
      <c r="A4" s="361" t="str">
        <f>Begriffe!F133</f>
        <v>Lüftungsanlagen</v>
      </c>
      <c r="B4" s="366"/>
      <c r="C4" s="367" t="str">
        <f>Begriffe!F134</f>
        <v>Volumenstrom</v>
      </c>
      <c r="D4" s="362"/>
      <c r="E4" s="362"/>
      <c r="F4" s="362"/>
      <c r="G4" s="362" t="str">
        <f>Begriffe!F135</f>
        <v>Zu- und Abluft-Ventilator</v>
      </c>
      <c r="H4" s="362"/>
      <c r="I4" s="362"/>
      <c r="J4" s="362"/>
      <c r="K4" s="368"/>
      <c r="L4" s="369" t="str">
        <f>Begriffe!F136</f>
        <v>Zuluftkonditionierung</v>
      </c>
      <c r="M4" s="362"/>
      <c r="N4" s="362"/>
      <c r="O4" s="362"/>
      <c r="P4" s="363"/>
      <c r="Q4" s="362" t="str">
        <f>Begriffe!F137</f>
        <v>Luftkühlung</v>
      </c>
      <c r="R4" s="362"/>
      <c r="S4" s="369" t="str">
        <f>Begriffe!F138</f>
        <v>Lufterwärmung</v>
      </c>
      <c r="T4" s="371"/>
      <c r="U4" s="362" t="s">
        <v>3</v>
      </c>
      <c r="V4" s="363"/>
      <c r="W4" s="362" t="s">
        <v>1077</v>
      </c>
      <c r="X4" s="362"/>
      <c r="Y4" s="362" t="s">
        <v>1078</v>
      </c>
      <c r="Z4" s="362"/>
    </row>
    <row r="5" spans="1:29">
      <c r="A5" s="364" t="s">
        <v>150</v>
      </c>
      <c r="B5" s="33" t="str">
        <f>Begriffe!F140</f>
        <v>Nutzung</v>
      </c>
      <c r="C5" s="860" t="s">
        <v>88</v>
      </c>
      <c r="D5" s="861" t="str">
        <f>Begriffe!F142</f>
        <v>Prozess</v>
      </c>
      <c r="E5" s="865" t="str">
        <f>Begriffe!F103</f>
        <v>Projekt</v>
      </c>
      <c r="F5" s="356" t="str">
        <f>Begriffe!F159</f>
        <v>Rechenwert</v>
      </c>
      <c r="G5" s="320" t="str">
        <f>Begriffe!F143</f>
        <v>SFP</v>
      </c>
      <c r="H5" s="320" t="str">
        <f>Begriffe!F100</f>
        <v>Leistung</v>
      </c>
      <c r="I5" s="320" t="str">
        <f>Begriffe!F101</f>
        <v>Energie</v>
      </c>
      <c r="J5" s="320" t="str">
        <f>Begriffe!F144</f>
        <v>Regelung</v>
      </c>
      <c r="K5" s="41" t="str">
        <f>Begriffe!F145</f>
        <v>Vollast.</v>
      </c>
      <c r="L5" s="370" t="str">
        <f>Begriffe!F146</f>
        <v>WRG</v>
      </c>
      <c r="M5" s="320" t="str">
        <f>Begriffe!F147</f>
        <v>Kühlfall</v>
      </c>
      <c r="N5" s="320" t="str">
        <f>Begriffe!F148</f>
        <v>Heizfall</v>
      </c>
      <c r="O5" s="320" t="s">
        <v>141</v>
      </c>
      <c r="P5" s="365" t="s">
        <v>142</v>
      </c>
      <c r="Q5" s="370" t="str">
        <f>Begriffe!F100</f>
        <v>Leistung</v>
      </c>
      <c r="R5" s="320" t="str">
        <f>Begriffe!F101</f>
        <v>Energie</v>
      </c>
      <c r="S5" s="370" t="str">
        <f>Begriffe!F100</f>
        <v>Leistung</v>
      </c>
      <c r="T5" s="365" t="str">
        <f>Begriffe!F101</f>
        <v>Energie</v>
      </c>
      <c r="U5" s="370" t="s">
        <v>110</v>
      </c>
      <c r="V5" s="365" t="s">
        <v>111</v>
      </c>
      <c r="W5" s="320" t="s">
        <v>110</v>
      </c>
      <c r="X5" s="365" t="s">
        <v>111</v>
      </c>
      <c r="Y5" s="320" t="s">
        <v>110</v>
      </c>
      <c r="Z5" s="365" t="s">
        <v>111</v>
      </c>
    </row>
    <row r="6" spans="1:29" ht="14.15">
      <c r="A6" s="372" t="s">
        <v>89</v>
      </c>
      <c r="C6" s="82" t="s">
        <v>215</v>
      </c>
      <c r="D6" s="68" t="s">
        <v>113</v>
      </c>
      <c r="E6" s="68" t="s">
        <v>215</v>
      </c>
      <c r="F6" s="69" t="s">
        <v>215</v>
      </c>
      <c r="G6" s="320" t="s">
        <v>1395</v>
      </c>
      <c r="H6" s="320" t="s">
        <v>112</v>
      </c>
      <c r="I6" s="320" t="s">
        <v>115</v>
      </c>
      <c r="J6" s="320"/>
      <c r="K6" s="41" t="s">
        <v>145</v>
      </c>
      <c r="L6" s="370" t="s">
        <v>129</v>
      </c>
      <c r="M6" s="320" t="s">
        <v>132</v>
      </c>
      <c r="N6" s="320" t="s">
        <v>132</v>
      </c>
      <c r="O6" s="320" t="s">
        <v>653</v>
      </c>
      <c r="P6" s="400" t="s">
        <v>653</v>
      </c>
      <c r="Q6" s="401" t="s">
        <v>112</v>
      </c>
      <c r="R6" s="320" t="s">
        <v>115</v>
      </c>
      <c r="S6" s="370" t="s">
        <v>112</v>
      </c>
      <c r="T6" s="365" t="s">
        <v>115</v>
      </c>
      <c r="U6" s="401" t="s">
        <v>112</v>
      </c>
      <c r="V6" s="365" t="s">
        <v>115</v>
      </c>
      <c r="W6" s="320" t="s">
        <v>112</v>
      </c>
      <c r="X6" s="400" t="s">
        <v>115</v>
      </c>
      <c r="Y6" s="320" t="s">
        <v>112</v>
      </c>
      <c r="Z6" s="400" t="s">
        <v>115</v>
      </c>
    </row>
    <row r="7" spans="1:29">
      <c r="A7" s="373" t="s">
        <v>117</v>
      </c>
      <c r="B7" s="885" t="s">
        <v>7</v>
      </c>
      <c r="C7" s="770">
        <f>SUMIF(Gebäude!L$12:L$32,A7,Gebäude!M$12:M$32)</f>
        <v>8578.5714285714294</v>
      </c>
      <c r="D7" s="770">
        <v>0</v>
      </c>
      <c r="E7" s="886"/>
      <c r="F7" s="770">
        <f>IF(OR(E7=0,E7=""),C7,E7)</f>
        <v>8578.5714285714294</v>
      </c>
      <c r="G7" s="888">
        <v>0.8</v>
      </c>
      <c r="H7" s="765">
        <f>F7*G7/1000</f>
        <v>6.8628571428571439</v>
      </c>
      <c r="I7" s="892">
        <v>26.76514285714287</v>
      </c>
      <c r="J7" s="890" t="s">
        <v>648</v>
      </c>
      <c r="K7" s="771">
        <f>IF(H7=0,0,ROUND(I7*1000/H7,-1))</f>
        <v>3900</v>
      </c>
      <c r="L7" s="891">
        <v>80</v>
      </c>
      <c r="M7" s="889">
        <v>20</v>
      </c>
      <c r="N7" s="889">
        <v>21</v>
      </c>
      <c r="O7" s="891">
        <v>0</v>
      </c>
      <c r="P7" s="891">
        <v>0</v>
      </c>
      <c r="Q7" s="892">
        <v>25.780852141231509</v>
      </c>
      <c r="R7" s="892">
        <v>1.7501597036018199</v>
      </c>
      <c r="S7" s="892">
        <v>16.153470609180598</v>
      </c>
      <c r="T7" s="892">
        <v>3.7862957285656109</v>
      </c>
      <c r="U7" s="892">
        <v>0</v>
      </c>
      <c r="V7" s="892">
        <v>0</v>
      </c>
      <c r="W7" s="892">
        <v>0</v>
      </c>
      <c r="X7" s="892">
        <v>0</v>
      </c>
      <c r="Y7" s="892">
        <v>4.461757242328502E-14</v>
      </c>
      <c r="Z7" s="892">
        <v>33.272385507921896</v>
      </c>
      <c r="AB7" s="43"/>
      <c r="AC7" s="43"/>
    </row>
    <row r="8" spans="1:29">
      <c r="A8" s="373" t="s">
        <v>118</v>
      </c>
      <c r="B8" s="885" t="s">
        <v>9</v>
      </c>
      <c r="C8" s="770">
        <f>SUMIF(Gebäude!L$12:L$32,A8,Gebäude!M$12:M$32)</f>
        <v>1933.3333333333333</v>
      </c>
      <c r="D8" s="771">
        <v>0</v>
      </c>
      <c r="E8" s="887"/>
      <c r="F8" s="770">
        <f t="shared" ref="F8:F22" si="0">IF(OR(E8=0,E8=""),C8,E8)</f>
        <v>1933.3333333333333</v>
      </c>
      <c r="G8" s="888">
        <v>0.5</v>
      </c>
      <c r="H8" s="765">
        <f t="shared" ref="H8:H22" si="1">F8*G8/1000</f>
        <v>0.96666666666666667</v>
      </c>
      <c r="I8" s="892">
        <v>1.0536666666666665</v>
      </c>
      <c r="J8" s="890" t="s">
        <v>650</v>
      </c>
      <c r="K8" s="771">
        <f t="shared" ref="K8:K22" si="2">IF(H8=0,0,ROUND(I8*1000/H8,-1))</f>
        <v>1090</v>
      </c>
      <c r="L8" s="891">
        <v>80</v>
      </c>
      <c r="M8" s="889">
        <v>20</v>
      </c>
      <c r="N8" s="889">
        <v>21</v>
      </c>
      <c r="O8" s="891">
        <v>0</v>
      </c>
      <c r="P8" s="891">
        <v>0</v>
      </c>
      <c r="Q8" s="892">
        <v>5.8101726168970256</v>
      </c>
      <c r="R8" s="892">
        <v>5.3028862120543384E-2</v>
      </c>
      <c r="S8" s="892">
        <v>3.6404713113113085</v>
      </c>
      <c r="T8" s="892">
        <v>0.11472264715299853</v>
      </c>
      <c r="U8" s="892">
        <v>0</v>
      </c>
      <c r="V8" s="892">
        <v>0</v>
      </c>
      <c r="W8" s="892">
        <v>0</v>
      </c>
      <c r="X8" s="892">
        <v>0</v>
      </c>
      <c r="Y8" s="892">
        <v>8.7765186065182728E-15</v>
      </c>
      <c r="Z8" s="892">
        <v>3.9600935980189207</v>
      </c>
      <c r="AB8" s="43"/>
      <c r="AC8" s="43"/>
    </row>
    <row r="9" spans="1:29">
      <c r="A9" s="373" t="s">
        <v>119</v>
      </c>
      <c r="B9" s="885" t="s">
        <v>10</v>
      </c>
      <c r="C9" s="770">
        <f>SUMIF(Gebäude!L$12:L$32,A9,Gebäude!M$12:M$32)</f>
        <v>483.33333333333331</v>
      </c>
      <c r="D9" s="771">
        <v>0</v>
      </c>
      <c r="E9" s="887"/>
      <c r="F9" s="770">
        <f t="shared" si="0"/>
        <v>483.33333333333331</v>
      </c>
      <c r="G9" s="888">
        <v>0.7</v>
      </c>
      <c r="H9" s="765">
        <f t="shared" si="1"/>
        <v>0.33833333333333332</v>
      </c>
      <c r="I9" s="892">
        <v>1.3194999999999997</v>
      </c>
      <c r="J9" s="890" t="s">
        <v>648</v>
      </c>
      <c r="K9" s="771">
        <f t="shared" si="2"/>
        <v>3900</v>
      </c>
      <c r="L9" s="891">
        <v>75</v>
      </c>
      <c r="M9" s="889">
        <v>20</v>
      </c>
      <c r="N9" s="889">
        <v>21</v>
      </c>
      <c r="O9" s="891">
        <v>0</v>
      </c>
      <c r="P9" s="891">
        <v>0</v>
      </c>
      <c r="Q9" s="892">
        <v>1.5143796729879553</v>
      </c>
      <c r="R9" s="892">
        <v>9.9377475330481399E-2</v>
      </c>
      <c r="S9" s="892">
        <v>1.1827753597347346</v>
      </c>
      <c r="T9" s="892">
        <v>0.35537726901281824</v>
      </c>
      <c r="U9" s="892">
        <v>0</v>
      </c>
      <c r="V9" s="892">
        <v>0</v>
      </c>
      <c r="W9" s="892">
        <v>0</v>
      </c>
      <c r="X9" s="892">
        <v>0</v>
      </c>
      <c r="Y9" s="892">
        <v>2.1941296516295682E-15</v>
      </c>
      <c r="Z9" s="892">
        <v>0.67764772608065349</v>
      </c>
      <c r="AB9" s="43"/>
      <c r="AC9" s="43"/>
    </row>
    <row r="10" spans="1:29">
      <c r="A10" s="373" t="s">
        <v>120</v>
      </c>
      <c r="B10" s="885" t="s">
        <v>32</v>
      </c>
      <c r="C10" s="770">
        <f>SUMIF(Gebäude!L$12:L$32,A10,Gebäude!M$12:M$32)</f>
        <v>800</v>
      </c>
      <c r="D10" s="771">
        <v>0</v>
      </c>
      <c r="E10" s="887"/>
      <c r="F10" s="770">
        <f t="shared" si="0"/>
        <v>800</v>
      </c>
      <c r="G10" s="888">
        <v>0.5</v>
      </c>
      <c r="H10" s="765">
        <f t="shared" si="1"/>
        <v>0.4</v>
      </c>
      <c r="I10" s="892">
        <v>0.96399999999999986</v>
      </c>
      <c r="J10" s="890" t="s">
        <v>649</v>
      </c>
      <c r="K10" s="771">
        <f t="shared" si="2"/>
        <v>2410</v>
      </c>
      <c r="L10" s="891">
        <v>75</v>
      </c>
      <c r="M10" s="889">
        <v>20</v>
      </c>
      <c r="N10" s="889">
        <v>21</v>
      </c>
      <c r="O10" s="891">
        <v>0</v>
      </c>
      <c r="P10" s="891">
        <v>0</v>
      </c>
      <c r="Q10" s="892">
        <v>2.5065594587386846</v>
      </c>
      <c r="R10" s="892">
        <v>0.10527158766042718</v>
      </c>
      <c r="S10" s="892">
        <v>1.9576971471471467</v>
      </c>
      <c r="T10" s="892">
        <v>0.37645481738185427</v>
      </c>
      <c r="U10" s="892">
        <v>0</v>
      </c>
      <c r="V10" s="892">
        <v>0</v>
      </c>
      <c r="W10" s="892">
        <v>0</v>
      </c>
      <c r="X10" s="892">
        <v>0</v>
      </c>
      <c r="Y10" s="892">
        <v>3.631662871662734E-15</v>
      </c>
      <c r="Z10" s="892">
        <v>-6.4516220702077165E-16</v>
      </c>
      <c r="AB10" s="43"/>
      <c r="AC10" s="43"/>
    </row>
    <row r="11" spans="1:29">
      <c r="A11" s="373" t="s">
        <v>121</v>
      </c>
      <c r="B11" s="885" t="s">
        <v>36</v>
      </c>
      <c r="C11" s="770">
        <f>SUMIF(Gebäude!L$12:L$32,A11,Gebäude!M$12:M$32)</f>
        <v>260</v>
      </c>
      <c r="D11" s="771">
        <v>0</v>
      </c>
      <c r="E11" s="887"/>
      <c r="F11" s="770">
        <f t="shared" si="0"/>
        <v>260</v>
      </c>
      <c r="G11" s="888">
        <v>0.4</v>
      </c>
      <c r="H11" s="765">
        <f t="shared" si="1"/>
        <v>0.104</v>
      </c>
      <c r="I11" s="892">
        <v>0.56940000000000002</v>
      </c>
      <c r="J11" s="890" t="s">
        <v>648</v>
      </c>
      <c r="K11" s="771">
        <f t="shared" si="2"/>
        <v>5480</v>
      </c>
      <c r="L11" s="891">
        <v>74</v>
      </c>
      <c r="M11" s="889">
        <v>20</v>
      </c>
      <c r="N11" s="889">
        <v>21</v>
      </c>
      <c r="O11" s="891">
        <v>0</v>
      </c>
      <c r="P11" s="891">
        <v>0</v>
      </c>
      <c r="Q11" s="892">
        <v>0.82125304805219823</v>
      </c>
      <c r="R11" s="892">
        <v>0.10551746160437871</v>
      </c>
      <c r="S11" s="892">
        <v>0.66558576246246226</v>
      </c>
      <c r="T11" s="892">
        <v>0.4092395701562217</v>
      </c>
      <c r="U11" s="892">
        <v>0</v>
      </c>
      <c r="V11" s="892">
        <v>0</v>
      </c>
      <c r="W11" s="892">
        <v>0</v>
      </c>
      <c r="X11" s="892">
        <v>0</v>
      </c>
      <c r="Y11" s="892">
        <v>1.1802904332903886E-15</v>
      </c>
      <c r="Z11" s="892">
        <v>-2.392898342730395E-16</v>
      </c>
      <c r="AB11" s="43"/>
      <c r="AC11" s="43"/>
    </row>
    <row r="12" spans="1:29">
      <c r="A12" s="373" t="s">
        <v>122</v>
      </c>
      <c r="B12" s="885" t="s">
        <v>33</v>
      </c>
      <c r="C12" s="770">
        <f>SUMIF(Gebäude!L$12:L$32,A12,Gebäude!M$12:M$32)</f>
        <v>1340</v>
      </c>
      <c r="D12" s="771">
        <f>Gebäude!D21*Std!E47</f>
        <v>1340</v>
      </c>
      <c r="E12" s="887"/>
      <c r="F12" s="770">
        <f t="shared" si="0"/>
        <v>1340</v>
      </c>
      <c r="G12" s="888">
        <v>0.4</v>
      </c>
      <c r="H12" s="765">
        <f t="shared" si="1"/>
        <v>0.53600000000000003</v>
      </c>
      <c r="I12" s="892">
        <v>1.8116800000000004</v>
      </c>
      <c r="J12" s="890" t="s">
        <v>649</v>
      </c>
      <c r="K12" s="771">
        <f t="shared" si="2"/>
        <v>3380</v>
      </c>
      <c r="L12" s="891"/>
      <c r="M12" s="889"/>
      <c r="N12" s="889"/>
      <c r="O12" s="891">
        <v>0</v>
      </c>
      <c r="P12" s="891">
        <v>0</v>
      </c>
      <c r="Q12" s="892">
        <v>0</v>
      </c>
      <c r="R12" s="892">
        <v>0</v>
      </c>
      <c r="S12" s="892">
        <v>0</v>
      </c>
      <c r="T12" s="892">
        <v>0</v>
      </c>
      <c r="U12" s="892">
        <v>0</v>
      </c>
      <c r="V12" s="892">
        <v>0</v>
      </c>
      <c r="W12" s="892">
        <v>0</v>
      </c>
      <c r="X12" s="892">
        <v>0</v>
      </c>
      <c r="Y12" s="892">
        <v>0</v>
      </c>
      <c r="Z12" s="892">
        <v>-1.6090721440450057E-15</v>
      </c>
      <c r="AB12" s="43"/>
      <c r="AC12" s="43"/>
    </row>
    <row r="13" spans="1:29">
      <c r="A13" s="373" t="s">
        <v>123</v>
      </c>
      <c r="B13" s="885"/>
      <c r="C13" s="770">
        <f>SUMIF(Gebäude!L$12:L$32,A13,Gebäude!M$12:M$32)</f>
        <v>0</v>
      </c>
      <c r="D13" s="771"/>
      <c r="E13" s="887"/>
      <c r="F13" s="770">
        <f t="shared" si="0"/>
        <v>0</v>
      </c>
      <c r="G13" s="888">
        <v>0</v>
      </c>
      <c r="H13" s="765">
        <f>F13*G13/1000</f>
        <v>0</v>
      </c>
      <c r="I13" s="892">
        <v>0</v>
      </c>
      <c r="J13" s="890"/>
      <c r="K13" s="771">
        <f t="shared" si="2"/>
        <v>0</v>
      </c>
      <c r="L13" s="891"/>
      <c r="M13" s="889"/>
      <c r="N13" s="889"/>
      <c r="O13" s="891">
        <v>0</v>
      </c>
      <c r="P13" s="891">
        <v>0</v>
      </c>
      <c r="Q13" s="892">
        <v>0</v>
      </c>
      <c r="R13" s="892">
        <v>0</v>
      </c>
      <c r="S13" s="892">
        <v>0</v>
      </c>
      <c r="T13" s="892">
        <v>0</v>
      </c>
      <c r="U13" s="892">
        <v>0</v>
      </c>
      <c r="V13" s="892">
        <v>0</v>
      </c>
      <c r="W13" s="892">
        <v>0</v>
      </c>
      <c r="X13" s="892">
        <v>0</v>
      </c>
      <c r="Y13" s="892">
        <v>0</v>
      </c>
      <c r="Z13" s="892">
        <v>0</v>
      </c>
      <c r="AB13" s="43"/>
    </row>
    <row r="14" spans="1:29">
      <c r="A14" s="373" t="s">
        <v>124</v>
      </c>
      <c r="B14" s="885"/>
      <c r="C14" s="770">
        <f>SUMIF(Gebäude!L$12:L$32,A14,Gebäude!M$12:M$32)</f>
        <v>0</v>
      </c>
      <c r="D14" s="771"/>
      <c r="E14" s="887"/>
      <c r="F14" s="770">
        <f t="shared" si="0"/>
        <v>0</v>
      </c>
      <c r="G14" s="888">
        <v>0</v>
      </c>
      <c r="H14" s="765">
        <f t="shared" si="1"/>
        <v>0</v>
      </c>
      <c r="I14" s="892">
        <v>0</v>
      </c>
      <c r="J14" s="890">
        <v>0</v>
      </c>
      <c r="K14" s="771">
        <f t="shared" si="2"/>
        <v>0</v>
      </c>
      <c r="L14" s="891"/>
      <c r="M14" s="889"/>
      <c r="N14" s="889"/>
      <c r="O14" s="891">
        <v>0</v>
      </c>
      <c r="P14" s="891">
        <v>0</v>
      </c>
      <c r="Q14" s="892">
        <v>0</v>
      </c>
      <c r="R14" s="892">
        <v>0</v>
      </c>
      <c r="S14" s="892">
        <v>0</v>
      </c>
      <c r="T14" s="892">
        <v>0</v>
      </c>
      <c r="U14" s="892">
        <v>0</v>
      </c>
      <c r="V14" s="892">
        <v>0</v>
      </c>
      <c r="W14" s="892">
        <v>0</v>
      </c>
      <c r="X14" s="892">
        <v>0</v>
      </c>
      <c r="Y14" s="892">
        <v>0</v>
      </c>
      <c r="Z14" s="892">
        <v>0</v>
      </c>
      <c r="AB14" s="43"/>
    </row>
    <row r="15" spans="1:29">
      <c r="A15" s="373" t="s">
        <v>1080</v>
      </c>
      <c r="B15" s="885"/>
      <c r="C15" s="770">
        <f>SUMIF(Gebäude!L$12:L$32,A15,Gebäude!M$12:M$32)</f>
        <v>0</v>
      </c>
      <c r="D15" s="771"/>
      <c r="E15" s="887"/>
      <c r="F15" s="770">
        <f t="shared" si="0"/>
        <v>0</v>
      </c>
      <c r="G15" s="889">
        <v>0</v>
      </c>
      <c r="H15" s="765">
        <f t="shared" si="1"/>
        <v>0</v>
      </c>
      <c r="I15" s="892">
        <v>0</v>
      </c>
      <c r="J15" s="890">
        <v>0</v>
      </c>
      <c r="K15" s="771">
        <f t="shared" si="2"/>
        <v>0</v>
      </c>
      <c r="L15" s="891"/>
      <c r="M15" s="889"/>
      <c r="N15" s="889"/>
      <c r="O15" s="891">
        <v>0</v>
      </c>
      <c r="P15" s="891">
        <v>0</v>
      </c>
      <c r="Q15" s="892">
        <v>0</v>
      </c>
      <c r="R15" s="892">
        <v>0</v>
      </c>
      <c r="S15" s="892">
        <v>0</v>
      </c>
      <c r="T15" s="892">
        <v>0</v>
      </c>
      <c r="U15" s="892">
        <v>0</v>
      </c>
      <c r="V15" s="892">
        <v>0</v>
      </c>
      <c r="W15" s="892">
        <v>0</v>
      </c>
      <c r="X15" s="892">
        <v>0</v>
      </c>
      <c r="Y15" s="892">
        <v>0</v>
      </c>
      <c r="Z15" s="892">
        <v>0</v>
      </c>
      <c r="AB15" s="43"/>
    </row>
    <row r="16" spans="1:29">
      <c r="A16" s="373" t="s">
        <v>1081</v>
      </c>
      <c r="B16" s="885"/>
      <c r="C16" s="770">
        <f>SUMIF(Gebäude!L$12:L$32,A16,Gebäude!M$12:M$32)</f>
        <v>0</v>
      </c>
      <c r="D16" s="771"/>
      <c r="E16" s="887"/>
      <c r="F16" s="770">
        <f t="shared" si="0"/>
        <v>0</v>
      </c>
      <c r="G16" s="889">
        <v>0</v>
      </c>
      <c r="H16" s="765">
        <f t="shared" si="1"/>
        <v>0</v>
      </c>
      <c r="I16" s="892">
        <v>0</v>
      </c>
      <c r="J16" s="890">
        <v>0</v>
      </c>
      <c r="K16" s="771">
        <f t="shared" si="2"/>
        <v>0</v>
      </c>
      <c r="L16" s="891"/>
      <c r="M16" s="889"/>
      <c r="N16" s="889"/>
      <c r="O16" s="891">
        <v>0</v>
      </c>
      <c r="P16" s="891">
        <v>0</v>
      </c>
      <c r="Q16" s="892">
        <v>0</v>
      </c>
      <c r="R16" s="892">
        <v>0</v>
      </c>
      <c r="S16" s="892">
        <v>0</v>
      </c>
      <c r="T16" s="892">
        <v>0</v>
      </c>
      <c r="U16" s="892">
        <v>0</v>
      </c>
      <c r="V16" s="892">
        <v>0</v>
      </c>
      <c r="W16" s="892">
        <v>0</v>
      </c>
      <c r="X16" s="892">
        <v>0</v>
      </c>
      <c r="Y16" s="892">
        <v>0</v>
      </c>
      <c r="Z16" s="892">
        <v>0</v>
      </c>
      <c r="AB16" s="43"/>
    </row>
    <row r="17" spans="1:28">
      <c r="A17" s="373" t="s">
        <v>1082</v>
      </c>
      <c r="B17" s="885"/>
      <c r="C17" s="770">
        <f>SUMIF(Gebäude!L$12:L$32,A17,Gebäude!M$12:M$32)</f>
        <v>0</v>
      </c>
      <c r="D17" s="771"/>
      <c r="E17" s="887"/>
      <c r="F17" s="770">
        <f t="shared" si="0"/>
        <v>0</v>
      </c>
      <c r="G17" s="889">
        <v>0</v>
      </c>
      <c r="H17" s="765">
        <f t="shared" si="1"/>
        <v>0</v>
      </c>
      <c r="I17" s="892">
        <v>0</v>
      </c>
      <c r="J17" s="890">
        <v>0</v>
      </c>
      <c r="K17" s="771">
        <f t="shared" si="2"/>
        <v>0</v>
      </c>
      <c r="L17" s="891"/>
      <c r="M17" s="889"/>
      <c r="N17" s="889"/>
      <c r="O17" s="891">
        <v>0</v>
      </c>
      <c r="P17" s="891">
        <v>0</v>
      </c>
      <c r="Q17" s="892">
        <v>0</v>
      </c>
      <c r="R17" s="892">
        <v>0</v>
      </c>
      <c r="S17" s="892">
        <v>0</v>
      </c>
      <c r="T17" s="892">
        <v>0</v>
      </c>
      <c r="U17" s="892">
        <v>0</v>
      </c>
      <c r="V17" s="892">
        <v>0</v>
      </c>
      <c r="W17" s="892">
        <v>0</v>
      </c>
      <c r="X17" s="892">
        <v>0</v>
      </c>
      <c r="Y17" s="892">
        <v>0</v>
      </c>
      <c r="Z17" s="892">
        <v>0</v>
      </c>
      <c r="AB17" s="43"/>
    </row>
    <row r="18" spans="1:28">
      <c r="A18" s="373" t="s">
        <v>1083</v>
      </c>
      <c r="B18" s="885"/>
      <c r="C18" s="770">
        <f>SUMIF(Gebäude!L$12:L$32,A18,Gebäude!M$12:M$32)</f>
        <v>0</v>
      </c>
      <c r="D18" s="771"/>
      <c r="E18" s="887"/>
      <c r="F18" s="770">
        <f t="shared" si="0"/>
        <v>0</v>
      </c>
      <c r="G18" s="889">
        <v>0</v>
      </c>
      <c r="H18" s="765">
        <f t="shared" si="1"/>
        <v>0</v>
      </c>
      <c r="I18" s="892">
        <v>0</v>
      </c>
      <c r="J18" s="890">
        <v>0</v>
      </c>
      <c r="K18" s="771">
        <f t="shared" si="2"/>
        <v>0</v>
      </c>
      <c r="L18" s="891"/>
      <c r="M18" s="889"/>
      <c r="N18" s="889"/>
      <c r="O18" s="891">
        <v>0</v>
      </c>
      <c r="P18" s="891">
        <v>0</v>
      </c>
      <c r="Q18" s="892">
        <v>0</v>
      </c>
      <c r="R18" s="892">
        <v>0</v>
      </c>
      <c r="S18" s="892">
        <v>0</v>
      </c>
      <c r="T18" s="892">
        <v>0</v>
      </c>
      <c r="U18" s="892">
        <v>0</v>
      </c>
      <c r="V18" s="892">
        <v>0</v>
      </c>
      <c r="W18" s="892">
        <v>0</v>
      </c>
      <c r="X18" s="892">
        <v>0</v>
      </c>
      <c r="Y18" s="892">
        <v>0</v>
      </c>
      <c r="Z18" s="892">
        <v>0</v>
      </c>
      <c r="AB18" s="43"/>
    </row>
    <row r="19" spans="1:28">
      <c r="A19" s="373" t="s">
        <v>1084</v>
      </c>
      <c r="B19" s="885"/>
      <c r="C19" s="770">
        <f>SUMIF(Gebäude!L$12:L$32,A19,Gebäude!M$12:M$32)</f>
        <v>0</v>
      </c>
      <c r="D19" s="771"/>
      <c r="E19" s="887"/>
      <c r="F19" s="770">
        <f t="shared" si="0"/>
        <v>0</v>
      </c>
      <c r="G19" s="889">
        <v>0</v>
      </c>
      <c r="H19" s="765">
        <f t="shared" si="1"/>
        <v>0</v>
      </c>
      <c r="I19" s="892">
        <v>0</v>
      </c>
      <c r="J19" s="890">
        <v>0</v>
      </c>
      <c r="K19" s="771">
        <f t="shared" si="2"/>
        <v>0</v>
      </c>
      <c r="L19" s="891"/>
      <c r="M19" s="889"/>
      <c r="N19" s="889"/>
      <c r="O19" s="891">
        <v>0</v>
      </c>
      <c r="P19" s="891">
        <v>0</v>
      </c>
      <c r="Q19" s="892">
        <v>0</v>
      </c>
      <c r="R19" s="892">
        <v>0</v>
      </c>
      <c r="S19" s="892">
        <v>0</v>
      </c>
      <c r="T19" s="892">
        <v>0</v>
      </c>
      <c r="U19" s="892">
        <v>0</v>
      </c>
      <c r="V19" s="892">
        <v>0</v>
      </c>
      <c r="W19" s="892">
        <v>0</v>
      </c>
      <c r="X19" s="892">
        <v>0</v>
      </c>
      <c r="Y19" s="892">
        <v>0</v>
      </c>
      <c r="Z19" s="892">
        <v>0</v>
      </c>
      <c r="AB19" s="43"/>
    </row>
    <row r="20" spans="1:28">
      <c r="A20" s="373" t="s">
        <v>1085</v>
      </c>
      <c r="B20" s="885"/>
      <c r="C20" s="770">
        <f>SUMIF(Gebäude!L$12:L$32,A20,Gebäude!M$12:M$32)</f>
        <v>0</v>
      </c>
      <c r="D20" s="771"/>
      <c r="E20" s="887"/>
      <c r="F20" s="770">
        <f t="shared" si="0"/>
        <v>0</v>
      </c>
      <c r="G20" s="889">
        <v>0</v>
      </c>
      <c r="H20" s="765">
        <f t="shared" si="1"/>
        <v>0</v>
      </c>
      <c r="I20" s="892">
        <v>0</v>
      </c>
      <c r="J20" s="890">
        <v>0</v>
      </c>
      <c r="K20" s="771">
        <f t="shared" si="2"/>
        <v>0</v>
      </c>
      <c r="L20" s="891"/>
      <c r="M20" s="889"/>
      <c r="N20" s="889"/>
      <c r="O20" s="891">
        <v>0</v>
      </c>
      <c r="P20" s="891">
        <v>0</v>
      </c>
      <c r="Q20" s="892">
        <v>0</v>
      </c>
      <c r="R20" s="892">
        <v>0</v>
      </c>
      <c r="S20" s="892">
        <v>0</v>
      </c>
      <c r="T20" s="892">
        <v>0</v>
      </c>
      <c r="U20" s="892">
        <v>0</v>
      </c>
      <c r="V20" s="892">
        <v>0</v>
      </c>
      <c r="W20" s="892">
        <v>0</v>
      </c>
      <c r="X20" s="892">
        <v>0</v>
      </c>
      <c r="Y20" s="892">
        <v>0</v>
      </c>
      <c r="Z20" s="892">
        <v>0</v>
      </c>
      <c r="AB20" s="43"/>
    </row>
    <row r="21" spans="1:28">
      <c r="A21" s="373" t="s">
        <v>1086</v>
      </c>
      <c r="B21" s="885"/>
      <c r="C21" s="770">
        <f>SUMIF(Gebäude!L$12:L$32,A21,Gebäude!M$12:M$32)</f>
        <v>0</v>
      </c>
      <c r="D21" s="771"/>
      <c r="E21" s="887"/>
      <c r="F21" s="770">
        <f t="shared" si="0"/>
        <v>0</v>
      </c>
      <c r="G21" s="889">
        <v>0</v>
      </c>
      <c r="H21" s="765">
        <f t="shared" si="1"/>
        <v>0</v>
      </c>
      <c r="I21" s="892">
        <v>0</v>
      </c>
      <c r="J21" s="890"/>
      <c r="K21" s="771">
        <f t="shared" si="2"/>
        <v>0</v>
      </c>
      <c r="L21" s="891"/>
      <c r="M21" s="889"/>
      <c r="N21" s="889"/>
      <c r="O21" s="891">
        <v>0</v>
      </c>
      <c r="P21" s="891">
        <v>0</v>
      </c>
      <c r="Q21" s="892">
        <v>0</v>
      </c>
      <c r="R21" s="892">
        <v>0</v>
      </c>
      <c r="S21" s="892">
        <v>0</v>
      </c>
      <c r="T21" s="892">
        <v>0</v>
      </c>
      <c r="U21" s="892">
        <v>0</v>
      </c>
      <c r="V21" s="892">
        <v>0</v>
      </c>
      <c r="W21" s="892">
        <v>0</v>
      </c>
      <c r="X21" s="892">
        <v>0</v>
      </c>
      <c r="Y21" s="892">
        <v>0</v>
      </c>
      <c r="Z21" s="892">
        <v>0</v>
      </c>
      <c r="AB21" s="43"/>
    </row>
    <row r="22" spans="1:28">
      <c r="A22" s="373" t="s">
        <v>1087</v>
      </c>
      <c r="B22" s="885"/>
      <c r="C22" s="770">
        <f>SUMIF(Gebäude!L$12:L$32,A22,Gebäude!M$12:M$32)</f>
        <v>0</v>
      </c>
      <c r="D22" s="771"/>
      <c r="E22" s="887"/>
      <c r="F22" s="770">
        <f t="shared" si="0"/>
        <v>0</v>
      </c>
      <c r="G22" s="889">
        <v>0</v>
      </c>
      <c r="H22" s="765">
        <f t="shared" si="1"/>
        <v>0</v>
      </c>
      <c r="I22" s="892">
        <v>0</v>
      </c>
      <c r="J22" s="890">
        <v>0</v>
      </c>
      <c r="K22" s="771">
        <f t="shared" si="2"/>
        <v>0</v>
      </c>
      <c r="L22" s="891"/>
      <c r="M22" s="889"/>
      <c r="N22" s="889"/>
      <c r="O22" s="891">
        <v>0</v>
      </c>
      <c r="P22" s="891">
        <v>0</v>
      </c>
      <c r="Q22" s="892">
        <v>0</v>
      </c>
      <c r="R22" s="892">
        <v>0</v>
      </c>
      <c r="S22" s="892">
        <v>0</v>
      </c>
      <c r="T22" s="892">
        <v>0</v>
      </c>
      <c r="U22" s="892">
        <v>0</v>
      </c>
      <c r="V22" s="892">
        <v>0</v>
      </c>
      <c r="W22" s="892">
        <v>0</v>
      </c>
      <c r="X22" s="892">
        <v>0</v>
      </c>
      <c r="Y22" s="892">
        <v>0</v>
      </c>
      <c r="Z22" s="892">
        <v>0</v>
      </c>
      <c r="AB22" s="43"/>
    </row>
    <row r="23" spans="1:28">
      <c r="A23" s="374"/>
      <c r="B23" s="375" t="s">
        <v>146</v>
      </c>
      <c r="C23" s="376">
        <f>SUM(C7:C22)</f>
        <v>13395.238095238097</v>
      </c>
      <c r="D23" s="376">
        <f>SUM(D7:D22)</f>
        <v>1340</v>
      </c>
      <c r="E23" s="376"/>
      <c r="F23" s="376"/>
      <c r="G23" s="377"/>
      <c r="H23" s="772">
        <f>SUM(H7:H22)</f>
        <v>9.2078571428571436</v>
      </c>
      <c r="I23" s="766">
        <f>SUM(I7:I22)</f>
        <v>32.483389523809535</v>
      </c>
      <c r="J23" s="376"/>
      <c r="K23" s="378"/>
      <c r="L23" s="378"/>
      <c r="M23" s="378"/>
      <c r="N23" s="378"/>
      <c r="O23" s="378"/>
      <c r="P23" s="378"/>
      <c r="Q23" s="766">
        <f>SUM(Q7:Q22)</f>
        <v>36.433216937907375</v>
      </c>
      <c r="R23" s="766">
        <f t="shared" ref="R23:V23" si="3">SUM(R7:R22)</f>
        <v>2.1133550903176506</v>
      </c>
      <c r="S23" s="766">
        <f t="shared" si="3"/>
        <v>23.600000189836251</v>
      </c>
      <c r="T23" s="766">
        <f t="shared" si="3"/>
        <v>5.0420900322695044</v>
      </c>
      <c r="U23" s="766">
        <f t="shared" si="3"/>
        <v>0</v>
      </c>
      <c r="V23" s="766">
        <f t="shared" si="3"/>
        <v>0</v>
      </c>
      <c r="W23" s="766">
        <f>SUM(W7:W22)</f>
        <v>0</v>
      </c>
      <c r="X23" s="766">
        <f>SUM(X7:X22)</f>
        <v>0</v>
      </c>
      <c r="Y23" s="766">
        <f>SUM(Y7:Y22)</f>
        <v>6.0400173986385984E-14</v>
      </c>
      <c r="Z23" s="766">
        <f>SUM(Z7:Z22)</f>
        <v>37.910126832021469</v>
      </c>
    </row>
    <row r="30" spans="1:28">
      <c r="A30" s="12" t="str">
        <f>Begriffe!F149</f>
        <v>Ergebnisse pro Lüftungsanlage</v>
      </c>
    </row>
    <row r="32" spans="1:28">
      <c r="A32" s="884" t="s">
        <v>117</v>
      </c>
      <c r="B32" s="879" t="str">
        <f t="shared" ref="B32:H32" si="4">INDEX(B$7:B$22,MATCH($A$32,$A$7:$A$22,0))</f>
        <v>Einzel-, Gruppenbüro</v>
      </c>
      <c r="C32" s="880">
        <f t="shared" si="4"/>
        <v>8578.5714285714294</v>
      </c>
      <c r="D32" s="880">
        <f t="shared" si="4"/>
        <v>0</v>
      </c>
      <c r="E32" s="880">
        <f t="shared" si="4"/>
        <v>0</v>
      </c>
      <c r="F32" s="880">
        <f t="shared" si="4"/>
        <v>8578.5714285714294</v>
      </c>
      <c r="G32" s="864">
        <f t="shared" si="4"/>
        <v>0.8</v>
      </c>
      <c r="H32" s="864">
        <f t="shared" si="4"/>
        <v>6.8628571428571439</v>
      </c>
      <c r="I32" s="881">
        <f>'Berechnung LU'!H7</f>
        <v>26.76514285714287</v>
      </c>
      <c r="J32" s="864" t="str">
        <f>INDEX(J$7:J$22,MATCH($A$32,$A$7:$A$22,0))</f>
        <v>einstufig</v>
      </c>
      <c r="K32" s="880">
        <f>'Berechnung LU'!J7</f>
        <v>3900</v>
      </c>
      <c r="L32" s="880">
        <f>INDEX(L$7:L$22,MATCH($A$32,$A$7:$A$22,0))</f>
        <v>80</v>
      </c>
      <c r="M32" s="864">
        <f>INDEX(M$7:M$22,MATCH($A$32,$A$7:$A$22,0))</f>
        <v>20</v>
      </c>
      <c r="N32" s="864">
        <f>INDEX(N$7:N$22,MATCH($A$32,$A$7:$A$22,0))</f>
        <v>21</v>
      </c>
      <c r="O32" s="880">
        <f>INDEX(O$7:O$22,MATCH($A$32,$A$7:$A$22,0))</f>
        <v>0</v>
      </c>
      <c r="P32" s="880">
        <f>INDEX(P$7:P$22,MATCH($A$32,$A$7:$A$22,0))</f>
        <v>0</v>
      </c>
      <c r="Q32" s="882">
        <f>'Berechnung LU'!P7</f>
        <v>25.780852141231509</v>
      </c>
      <c r="R32" s="882">
        <f>'Berechnung LU'!Q7</f>
        <v>1.7501597036018199</v>
      </c>
      <c r="S32" s="882">
        <f>'Berechnung LU'!R7</f>
        <v>16.153470609180598</v>
      </c>
      <c r="T32" s="882">
        <f>'Berechnung LU'!S7</f>
        <v>3.7862957285656109</v>
      </c>
      <c r="U32" s="769">
        <f>'Berechnung LU'!V7</f>
        <v>0</v>
      </c>
      <c r="V32" s="769">
        <f>'Berechnung LU'!W7</f>
        <v>0</v>
      </c>
      <c r="W32" s="769">
        <f>'Berechnung LU'!X7</f>
        <v>0</v>
      </c>
      <c r="X32" s="769">
        <f>'Berechnung LU'!Y7</f>
        <v>0</v>
      </c>
      <c r="Y32" s="769">
        <f>'Berechnung LU'!T7</f>
        <v>3.8943099186312001E-14</v>
      </c>
      <c r="Z32" s="769">
        <f>'Berechnung LU'!U7</f>
        <v>-3.2534871175269231E-15</v>
      </c>
    </row>
  </sheetData>
  <sheetProtection algorithmName="SHA-512" hashValue="cirav+90/V4MWgn0neRvTSd2SsYIIy/3yMyTsAriT7T0Ydem7xplZ/5Gs77kBGD69gx0AGE7mm3dE8CN+AcsjQ==" saltValue="8C3Ix+pfDOrt7bnsV4CFhA==" spinCount="100000" sheet="1" objects="1" scenarios="1"/>
  <dataValidations count="1">
    <dataValidation type="list" allowBlank="1" showInputMessage="1" showErrorMessage="1" sqref="A32" xr:uid="{212EC270-5529-400E-B314-B34A7726931E}">
      <formula1>$A$7:$A$22</formula1>
    </dataValidation>
  </dataValidations>
  <pageMargins left="0.7" right="0.7" top="0.78740157499999996" bottom="0.78740157499999996" header="0.3" footer="0.3"/>
  <pageSetup paperSize="9" scale="70" orientation="landscape" verticalDpi="180" r:id="rId1"/>
  <headerFooter>
    <oddHeader>&amp;LWärmepumpe Erdsonden 35°C&amp;CVersion 1.3&amp;R4/20/2025</oddHeader>
    <oddFooter>&amp;CSIA 2024, Copyright © 2017 by SIA Zurich</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locked="0" defaultSize="0" print="0" autoFill="0" autoPict="0" macro="[0]!Lüftung_Resultate.Lüftung_Resultate" altText="Update">
                <anchor moveWithCells="1" sizeWithCells="1">
                  <from>
                    <xdr:col>17</xdr:col>
                    <xdr:colOff>76200</xdr:colOff>
                    <xdr:row>0</xdr:row>
                    <xdr:rowOff>92529</xdr:rowOff>
                  </from>
                  <to>
                    <xdr:col>19</xdr:col>
                    <xdr:colOff>473529</xdr:colOff>
                    <xdr:row>2</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0D3202E-9D33-44A9-A770-36D0858A9A7F}">
          <x14:formula1>
            <xm:f>Begriffe!$F$13:$F$57</xm:f>
          </x14:formula1>
          <xm:sqref>B7:B22</xm:sqref>
        </x14:dataValidation>
        <x14:dataValidation type="list" allowBlank="1" showInputMessage="1" showErrorMessage="1" xr:uid="{46054408-FA1F-441A-8228-337F8BEEF7EC}">
          <x14:formula1>
            <xm:f>Begriffe!$F$205:$F$207</xm:f>
          </x14:formula1>
          <xm:sqref>J7:J22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blErzeugung">
    <pageSetUpPr fitToPage="1"/>
  </sheetPr>
  <dimension ref="A1:R37"/>
  <sheetViews>
    <sheetView showGridLines="0" showRowColHeaders="0" zoomScaleNormal="100" workbookViewId="0">
      <selection activeCell="K2" sqref="K2"/>
    </sheetView>
  </sheetViews>
  <sheetFormatPr baseColWidth="10" defaultRowHeight="12.45"/>
  <cols>
    <col min="1" max="1" width="7.765625" customWidth="1"/>
    <col min="3" max="3" width="25.69140625" customWidth="1"/>
    <col min="4" max="4" width="9.765625" customWidth="1"/>
    <col min="5" max="5" width="9.53515625" customWidth="1"/>
    <col min="6" max="6" width="9.4609375" customWidth="1"/>
    <col min="7" max="7" width="9.53515625" customWidth="1"/>
    <col min="8" max="8" width="9.4609375" customWidth="1"/>
    <col min="9" max="9" width="7.23046875" customWidth="1"/>
    <col min="10" max="10" width="9" customWidth="1"/>
    <col min="11" max="11" width="10.4609375" customWidth="1"/>
    <col min="12" max="12" width="9.53515625" customWidth="1"/>
    <col min="13" max="13" width="10.23046875" customWidth="1"/>
    <col min="14" max="14" width="10" customWidth="1"/>
    <col min="15" max="15" width="10.4609375" customWidth="1"/>
    <col min="16" max="16" width="9.69140625" customWidth="1"/>
    <col min="17" max="17" width="10.53515625" customWidth="1"/>
    <col min="18" max="18" width="12.23046875" customWidth="1"/>
  </cols>
  <sheetData>
    <row r="1" spans="1:18">
      <c r="A1" s="20" t="str">
        <f>Begriffe!F61</f>
        <v>Projektname</v>
      </c>
      <c r="B1" s="33"/>
      <c r="C1" s="12"/>
      <c r="D1" s="33"/>
      <c r="E1" s="20" t="str">
        <f>Begriffe!F62</f>
        <v>Klimastation</v>
      </c>
      <c r="H1" s="20" t="str">
        <f>Begriffe!F63</f>
        <v>Autor</v>
      </c>
      <c r="J1" s="4"/>
      <c r="K1" s="19" t="str">
        <f>Begriffe!F64</f>
        <v>Datum</v>
      </c>
    </row>
    <row r="2" spans="1:18">
      <c r="A2" s="33" t="str">
        <f>Gebäude!B2</f>
        <v>Beispiel/exemple/esempio</v>
      </c>
      <c r="B2" s="33"/>
      <c r="D2" s="33"/>
      <c r="E2" t="str" cm="1">
        <f t="array" ref="E2">INDEX(Klimadaten!B4:B43,Gebäude!D2,0)</f>
        <v>Zürich-MeteoSchweiz</v>
      </c>
      <c r="H2" s="33" t="str">
        <f>Gebäude!G2</f>
        <v>Max Muster</v>
      </c>
      <c r="I2" s="33"/>
      <c r="J2" s="4"/>
      <c r="K2" s="896">
        <f>Gebäude!J2</f>
        <v>45767</v>
      </c>
    </row>
    <row r="4" spans="1:18">
      <c r="A4" s="127" t="str">
        <f>Begriffe!F165</f>
        <v>Kälteerzeugung</v>
      </c>
      <c r="B4" s="128"/>
      <c r="C4" s="125"/>
      <c r="D4" s="123" t="str">
        <f>Begriffe!$F$244</f>
        <v>Nutzungsgrad</v>
      </c>
      <c r="E4" s="129"/>
      <c r="F4" s="123" t="str">
        <f>Begriffe!$F$245</f>
        <v>Deckungsgrad</v>
      </c>
      <c r="G4" s="124"/>
      <c r="H4" s="123" t="str">
        <f>Begriffe!$F$246</f>
        <v>Speicher - und Verteilverluste</v>
      </c>
      <c r="I4" s="126"/>
      <c r="J4" s="295"/>
      <c r="K4" s="124"/>
      <c r="L4" s="130" t="str">
        <f>Begriffe!F247</f>
        <v>Kälte (inkl. Verluste)</v>
      </c>
      <c r="M4" s="126"/>
      <c r="N4" s="126"/>
      <c r="O4" s="124"/>
      <c r="P4" s="123" t="str">
        <f>Begriffe!$F$248</f>
        <v>Endenergie</v>
      </c>
      <c r="Q4" s="126"/>
      <c r="R4" s="124"/>
    </row>
    <row r="5" spans="1:18">
      <c r="A5" s="209" t="s">
        <v>150</v>
      </c>
      <c r="B5" s="33" t="str">
        <f>Begriffe!$F$243</f>
        <v>Erzeugertyp</v>
      </c>
      <c r="C5" s="102"/>
      <c r="D5" s="103" t="str">
        <f>Begriffe!$F$76</f>
        <v>Standard</v>
      </c>
      <c r="E5" s="104" t="str">
        <f>Begriffe!$F$103</f>
        <v>Projekt</v>
      </c>
      <c r="F5" s="81" t="str">
        <f>Begriffe!$F$100</f>
        <v>Leistung</v>
      </c>
      <c r="G5" s="56" t="str">
        <f>Begriffe!$F$101</f>
        <v>Energie</v>
      </c>
      <c r="H5" s="1030" t="str">
        <f>Begriffe!$F$80</f>
        <v>Standardwert</v>
      </c>
      <c r="I5" s="1031"/>
      <c r="J5" s="1033" t="str">
        <f>Begriffe!$F$79</f>
        <v>Projektwert</v>
      </c>
      <c r="K5" s="1034"/>
      <c r="L5" s="81" t="str">
        <f>Begriffe!$F$100</f>
        <v>Leistung</v>
      </c>
      <c r="M5" s="56" t="str">
        <f>Begriffe!$F$101</f>
        <v>Energie</v>
      </c>
      <c r="N5" s="1041" t="str">
        <f>Begriffe!$F$250</f>
        <v>Volllaststunden</v>
      </c>
      <c r="O5" s="1042"/>
      <c r="P5" s="81" t="str">
        <f>Begriffe!$F$100</f>
        <v>Leistung</v>
      </c>
      <c r="Q5" s="56" t="str">
        <f>Begriffe!$F$101</f>
        <v>Energie</v>
      </c>
      <c r="R5" s="779" t="str">
        <f>Begriffe!$F$251</f>
        <v>Energieträger</v>
      </c>
    </row>
    <row r="6" spans="1:18">
      <c r="A6" s="108"/>
      <c r="B6" s="143"/>
      <c r="C6" s="109"/>
      <c r="D6" s="110" t="s">
        <v>89</v>
      </c>
      <c r="E6" s="134"/>
      <c r="F6" s="775" t="s">
        <v>129</v>
      </c>
      <c r="G6" s="778" t="s">
        <v>129</v>
      </c>
      <c r="H6" s="1032" t="s">
        <v>129</v>
      </c>
      <c r="I6" s="1021"/>
      <c r="J6" s="1021" t="s">
        <v>129</v>
      </c>
      <c r="K6" s="1022"/>
      <c r="L6" s="110" t="s">
        <v>112</v>
      </c>
      <c r="M6" s="116" t="s">
        <v>115</v>
      </c>
      <c r="N6" s="1039" t="s">
        <v>199</v>
      </c>
      <c r="O6" s="1022"/>
      <c r="P6" s="110" t="s">
        <v>112</v>
      </c>
      <c r="Q6" s="116" t="s">
        <v>115</v>
      </c>
      <c r="R6" s="111"/>
    </row>
    <row r="7" spans="1:18">
      <c r="A7" s="292" t="str">
        <f>IF(B7&lt;&gt;"",INDEX(Nutzungsgrad!$B$3:$C$8,MATCH(Erzeugung!B7,Nutzungsgrad!$C$3:$C$8,0),1),"")</f>
        <v>KE06</v>
      </c>
      <c r="B7" s="1035" t="s">
        <v>352</v>
      </c>
      <c r="C7" s="1036"/>
      <c r="D7" s="115">
        <f>IF(B7&lt;&gt;"",VLOOKUP($B7,Nutzungsgrad!$C$3:$G$8,3,FALSE),0)</f>
        <v>15</v>
      </c>
      <c r="E7" s="256">
        <v>12</v>
      </c>
      <c r="F7" s="777">
        <v>60</v>
      </c>
      <c r="G7" s="257">
        <v>80</v>
      </c>
      <c r="H7" s="1023">
        <v>10</v>
      </c>
      <c r="I7" s="1024"/>
      <c r="J7" s="1028"/>
      <c r="K7" s="1029"/>
      <c r="L7" s="117">
        <f>(Gebäude!Q$35+Lüftung!Q$23)*F7%*(100+IF($J7&lt;&gt;"",$J7,$H7))%</f>
        <v>134.3570347111197</v>
      </c>
      <c r="M7" s="118">
        <f>(Gebäude!R$35+Lüftung!R$23)*G7%*(100+IF($J7&lt;&gt;"",$J7,$H7))%</f>
        <v>55.722316336032236</v>
      </c>
      <c r="N7" s="1024">
        <f>IF(L7=0,0,M7*1000/L7)</f>
        <v>414.73315078619049</v>
      </c>
      <c r="O7" s="1040"/>
      <c r="P7" s="113">
        <f>IF(D7=0,0,$L7/IF($E7&lt;&gt;"",$E7,$D7))</f>
        <v>11.196419559259974</v>
      </c>
      <c r="Q7" s="121">
        <f>IF(D7=0,0,$M7/IF($E7&lt;&gt;"",$E7,$D7))</f>
        <v>4.6435263613360194</v>
      </c>
      <c r="R7" s="122" t="str">
        <f>IF(D7=0,"",VLOOKUP($B7,Nutzungsgrad!$C$3:$G$8,4,FALSE))</f>
        <v>Elektrizität</v>
      </c>
    </row>
    <row r="8" spans="1:18">
      <c r="A8" s="292" t="str">
        <f>IF(B8&lt;&gt;"",INDEX(Nutzungsgrad!$B$3:$C$8,MATCH(Erzeugung!B8,Nutzungsgrad!$C$3:$C$8,0),1),"")</f>
        <v>KE02</v>
      </c>
      <c r="B8" s="1035" t="s">
        <v>347</v>
      </c>
      <c r="C8" s="1036"/>
      <c r="D8" s="115">
        <f>IF(B8&lt;&gt;"",VLOOKUP($B8,Nutzungsgrad!$C$3:$G$8,3,FALSE),0)</f>
        <v>4</v>
      </c>
      <c r="E8" s="257"/>
      <c r="F8" s="777">
        <v>40</v>
      </c>
      <c r="G8" s="257">
        <v>20</v>
      </c>
      <c r="H8" s="1023">
        <v>10</v>
      </c>
      <c r="I8" s="1024"/>
      <c r="J8" s="1028"/>
      <c r="K8" s="1029"/>
      <c r="L8" s="117">
        <f>(Gebäude!Q$35+Lüftung!Q$23)*F8%*(100+IF($J8&lt;&gt;"",$J8,$H8))%</f>
        <v>89.571356474079806</v>
      </c>
      <c r="M8" s="118">
        <f>(Gebäude!R$35+Lüftung!R$23)*G8%*(100+IF($J8&lt;&gt;"",$J8,$H8))%</f>
        <v>13.930579084008059</v>
      </c>
      <c r="N8" s="1024">
        <f>IF(L8=0,0,M8*1000/L8)</f>
        <v>155.52493154482141</v>
      </c>
      <c r="O8" s="1040"/>
      <c r="P8" s="113">
        <f>IF(D8=0,0,$L8/IF($E8&lt;&gt;"",$E8,$D8))</f>
        <v>22.392839118519952</v>
      </c>
      <c r="Q8" s="121">
        <f>IF(D8=0,0,$M8/IF($E8&lt;&gt;"",$E8,$D8))</f>
        <v>3.4826447710020147</v>
      </c>
      <c r="R8" s="122" t="str">
        <f>IF(D8=0,"",VLOOKUP($B8,Nutzungsgrad!$C$3:$G$8,4,FALSE))</f>
        <v>Elektrizität</v>
      </c>
    </row>
    <row r="9" spans="1:18">
      <c r="A9" s="292" t="str">
        <f>IF(B9&lt;&gt;"",INDEX(Nutzungsgrad!$B$3:$C$8,MATCH(Erzeugung!B9,Nutzungsgrad!$C$3:$C$8,0),1),"")</f>
        <v/>
      </c>
      <c r="B9" s="1035"/>
      <c r="C9" s="1036"/>
      <c r="D9" s="115">
        <f>IF(B9&lt;&gt;"",VLOOKUP($B9,Nutzungsgrad!$C$3:$G$8,3,FALSE),0)</f>
        <v>0</v>
      </c>
      <c r="E9" s="257"/>
      <c r="F9" s="777"/>
      <c r="G9" s="257"/>
      <c r="H9" s="1023">
        <v>10</v>
      </c>
      <c r="I9" s="1024"/>
      <c r="J9" s="1028"/>
      <c r="K9" s="1029"/>
      <c r="L9" s="117">
        <f>(Gebäude!Q$35+Lüftung!Q$23)*F9%*(100+IF($J9&lt;&gt;"",$J9,$H9))%</f>
        <v>0</v>
      </c>
      <c r="M9" s="118">
        <f>(Gebäude!R$35+Lüftung!R$23)*G9%*(100+IF($J9&lt;&gt;"",$J9,$H9))%</f>
        <v>0</v>
      </c>
      <c r="N9" s="1024">
        <f>IF(L9=0,0,M9*1000/L9)</f>
        <v>0</v>
      </c>
      <c r="O9" s="1040"/>
      <c r="P9" s="113">
        <f>IF(D9=0,0,$L9/IF($E9&lt;&gt;"",$E9,$D9))</f>
        <v>0</v>
      </c>
      <c r="Q9" s="121">
        <f>IF(D9=0,0,$M9/IF($E9&lt;&gt;"",$E9,$D9))</f>
        <v>0</v>
      </c>
      <c r="R9" s="122" t="str">
        <f>IF(D9=0,"",VLOOKUP($B9,Nutzungsgrad!$C$3:$G$8,4,FALSE))</f>
        <v/>
      </c>
    </row>
    <row r="10" spans="1:18">
      <c r="A10" s="137"/>
      <c r="B10" s="1037" t="str">
        <f>Begriffe!$F$83</f>
        <v>Total</v>
      </c>
      <c r="C10" s="1038"/>
      <c r="D10" s="137"/>
      <c r="E10" s="347"/>
      <c r="F10" s="119">
        <f>SUM(F7:F9)</f>
        <v>100</v>
      </c>
      <c r="G10" s="776">
        <f>SUM(G7:G9)</f>
        <v>100</v>
      </c>
      <c r="H10" s="1025"/>
      <c r="I10" s="1026"/>
      <c r="J10" s="1026"/>
      <c r="K10" s="1027"/>
      <c r="L10" s="119">
        <f>SUM(L7:L9)</f>
        <v>223.9283911851995</v>
      </c>
      <c r="M10" s="120">
        <f>SUM(M7:M9)</f>
        <v>69.652895420040295</v>
      </c>
      <c r="N10" s="1043">
        <f>M10*1000/L10</f>
        <v>311.04986308964288</v>
      </c>
      <c r="O10" s="1044"/>
      <c r="P10" s="119">
        <f>SUM(P7:P9)</f>
        <v>33.589258677779924</v>
      </c>
      <c r="Q10" s="348"/>
      <c r="R10" s="86"/>
    </row>
    <row r="11" spans="1:18">
      <c r="A11" s="2"/>
      <c r="F11" s="16"/>
      <c r="G11" s="4"/>
      <c r="H11" s="4"/>
      <c r="I11" s="4"/>
      <c r="J11" s="43"/>
      <c r="K11" s="4"/>
      <c r="L11" s="4"/>
      <c r="M11" s="4"/>
      <c r="N11" s="4"/>
      <c r="O11" s="4"/>
      <c r="P11" s="4"/>
      <c r="Q11" s="4"/>
      <c r="R11" s="4"/>
    </row>
    <row r="12" spans="1:18">
      <c r="A12" s="2"/>
      <c r="G12" s="4"/>
      <c r="H12" s="4"/>
      <c r="I12" s="4"/>
      <c r="J12" s="43"/>
      <c r="K12" s="4"/>
      <c r="L12" s="4"/>
      <c r="M12" s="4"/>
      <c r="N12" s="4"/>
      <c r="O12" s="4"/>
      <c r="P12" s="4"/>
      <c r="Q12" s="4"/>
      <c r="R12" s="4"/>
    </row>
    <row r="13" spans="1:18">
      <c r="A13" s="127" t="str">
        <f>Begriffe!F173</f>
        <v>Wärmeerzeugung</v>
      </c>
      <c r="B13" s="128"/>
      <c r="C13" s="125"/>
      <c r="D13" s="123" t="str">
        <f>Begriffe!$F$244</f>
        <v>Nutzungsgrad</v>
      </c>
      <c r="E13" s="129"/>
      <c r="F13" s="123" t="str">
        <f>Begriffe!$F$245</f>
        <v>Deckungsgrad</v>
      </c>
      <c r="G13" s="124"/>
      <c r="H13" s="123" t="str">
        <f>Begriffe!$F$246</f>
        <v>Speicher - und Verteilverluste</v>
      </c>
      <c r="I13" s="126"/>
      <c r="J13" s="295"/>
      <c r="K13" s="124"/>
      <c r="L13" s="130" t="str">
        <f>Begriffe!F253</f>
        <v>Wärme (inkl. Verluste)</v>
      </c>
      <c r="M13" s="126"/>
      <c r="N13" s="126"/>
      <c r="O13" s="124"/>
      <c r="P13" s="123" t="str">
        <f>Begriffe!$F$248</f>
        <v>Endenergie</v>
      </c>
      <c r="Q13" s="126"/>
      <c r="R13" s="124"/>
    </row>
    <row r="14" spans="1:18">
      <c r="A14" s="209" t="s">
        <v>150</v>
      </c>
      <c r="B14" s="33" t="str">
        <f>Begriffe!$F$243</f>
        <v>Erzeugertyp</v>
      </c>
      <c r="C14" s="102"/>
      <c r="D14" s="103" t="str">
        <f>Begriffe!$F$76</f>
        <v>Standard</v>
      </c>
      <c r="E14" s="104" t="str">
        <f>Begriffe!$F$103</f>
        <v>Projekt</v>
      </c>
      <c r="F14" s="81" t="str">
        <f>Begriffe!$F$100</f>
        <v>Leistung</v>
      </c>
      <c r="G14" s="56" t="str">
        <f>Begriffe!$F$101</f>
        <v>Energie</v>
      </c>
      <c r="H14" s="1030" t="str">
        <f>Begriffe!$F$80</f>
        <v>Standardwert</v>
      </c>
      <c r="I14" s="1031"/>
      <c r="J14" s="1033" t="str">
        <f>Begriffe!$F$79</f>
        <v>Projektwert</v>
      </c>
      <c r="K14" s="1034"/>
      <c r="L14" s="81" t="str">
        <f>Begriffe!$F$100</f>
        <v>Leistung</v>
      </c>
      <c r="M14" s="56" t="str">
        <f>Begriffe!$F$101</f>
        <v>Energie</v>
      </c>
      <c r="N14" s="1041" t="str">
        <f>Begriffe!$F$250</f>
        <v>Volllaststunden</v>
      </c>
      <c r="O14" s="1042"/>
      <c r="P14" s="81" t="str">
        <f>Begriffe!$F$100</f>
        <v>Leistung</v>
      </c>
      <c r="Q14" s="56" t="str">
        <f>Begriffe!$F$101</f>
        <v>Energie</v>
      </c>
      <c r="R14" s="779" t="str">
        <f>Begriffe!$F$251</f>
        <v>Energieträger</v>
      </c>
    </row>
    <row r="15" spans="1:18">
      <c r="A15" s="108"/>
      <c r="B15" s="143"/>
      <c r="C15" s="109"/>
      <c r="D15" s="110" t="s">
        <v>89</v>
      </c>
      <c r="E15" s="134"/>
      <c r="F15" s="775" t="s">
        <v>129</v>
      </c>
      <c r="G15" s="778" t="s">
        <v>129</v>
      </c>
      <c r="H15" s="1032" t="s">
        <v>129</v>
      </c>
      <c r="I15" s="1021"/>
      <c r="J15" s="1021" t="s">
        <v>129</v>
      </c>
      <c r="K15" s="1022"/>
      <c r="L15" s="110" t="s">
        <v>112</v>
      </c>
      <c r="M15" s="116" t="s">
        <v>115</v>
      </c>
      <c r="N15" s="1039" t="s">
        <v>199</v>
      </c>
      <c r="O15" s="1022"/>
      <c r="P15" s="110" t="s">
        <v>112</v>
      </c>
      <c r="Q15" s="116" t="s">
        <v>115</v>
      </c>
      <c r="R15" s="111"/>
    </row>
    <row r="16" spans="1:18">
      <c r="A16" s="292" t="str">
        <f>IF(B16&lt;&gt;"",INDEX(Nutzungsgrad!$B$11:$C$26,MATCH(Erzeugung!B16,Nutzungsgrad!$C$11:$C$26,0),1),"")</f>
        <v>WE15</v>
      </c>
      <c r="B16" s="1035" t="s">
        <v>357</v>
      </c>
      <c r="C16" s="1036"/>
      <c r="D16" s="115">
        <f>IF(B16&lt;&gt;"",VLOOKUP($B16,Nutzungsgrad!$C$11:$G$27,3,FALSE),0)</f>
        <v>4.3</v>
      </c>
      <c r="E16" s="256">
        <v>5.5</v>
      </c>
      <c r="F16" s="777">
        <v>70</v>
      </c>
      <c r="G16" s="257">
        <v>80</v>
      </c>
      <c r="H16" s="1023">
        <v>10</v>
      </c>
      <c r="I16" s="1024"/>
      <c r="J16" s="1028"/>
      <c r="K16" s="1029"/>
      <c r="L16" s="117">
        <f>(Gebäude!T$35+Lüftung!S$23)*F16%*(100+IF($J16&lt;&gt;"",$J16,$H16))%</f>
        <v>97.730039340291569</v>
      </c>
      <c r="M16" s="118">
        <f>(Gebäude!U$35+Lüftung!T$23)*G16%*(100+IF($J16&lt;&gt;"",$J16,$H16))%</f>
        <v>65.010880984347978</v>
      </c>
      <c r="N16" s="1024">
        <f>IF(L16=0,0,M16*1000/L16)</f>
        <v>665.20878762754853</v>
      </c>
      <c r="O16" s="1040"/>
      <c r="P16" s="113">
        <f>IF(D16=0,0,$L16/IF($E16&lt;&gt;"",$E16,$D16))</f>
        <v>17.769098061871194</v>
      </c>
      <c r="Q16" s="121">
        <f>IF(D16=0,0,$M16/IF($E16&lt;&gt;"",$E16,$D16))</f>
        <v>11.82016017897236</v>
      </c>
      <c r="R16" s="122" t="str">
        <f>IF(D16=0,"",VLOOKUP($B16,Nutzungsgrad!$C$11:$G$27,4,FALSE))</f>
        <v>Elektrizität</v>
      </c>
    </row>
    <row r="17" spans="1:18">
      <c r="A17" s="292" t="str">
        <f>IF(B17&lt;&gt;"",INDEX(Nutzungsgrad!$B$11:$C$26,MATCH(Erzeugung!B17,Nutzungsgrad!$C$11:$C$26,0),1),"")</f>
        <v>WE05</v>
      </c>
      <c r="B17" s="1035" t="s">
        <v>206</v>
      </c>
      <c r="C17" s="1036"/>
      <c r="D17" s="115">
        <f>IF(B17&lt;&gt;"",VLOOKUP($B17,Nutzungsgrad!$C$11:$G$27,3,FALSE),0)</f>
        <v>0.7</v>
      </c>
      <c r="E17" s="257"/>
      <c r="F17" s="777">
        <v>30</v>
      </c>
      <c r="G17" s="257">
        <v>20</v>
      </c>
      <c r="H17" s="1023">
        <v>10</v>
      </c>
      <c r="I17" s="1024"/>
      <c r="J17" s="1028"/>
      <c r="K17" s="1029"/>
      <c r="L17" s="117">
        <f>(Gebäude!T$35+Lüftung!S$23)*F17%*(100+IF($J17&lt;&gt;"",$J17,$H17))%</f>
        <v>41.884302574410675</v>
      </c>
      <c r="M17" s="118">
        <f>(Gebäude!U$35+Lüftung!T$23)*G17%*(100+IF($J17&lt;&gt;"",$J17,$H17))%</f>
        <v>16.252720246086994</v>
      </c>
      <c r="N17" s="1024">
        <f>IF(L17=0,0,M17*1000/L17)</f>
        <v>388.03845944940326</v>
      </c>
      <c r="O17" s="1040"/>
      <c r="P17" s="113">
        <f>IF(D17=0,0,$L17/IF($E17&lt;&gt;"",$E17,$D17))</f>
        <v>59.834717963443829</v>
      </c>
      <c r="Q17" s="121">
        <f>IF(D17=0,0,$M17/IF($E17&lt;&gt;"",$E17,$D17))</f>
        <v>23.21817178012428</v>
      </c>
      <c r="R17" s="122" t="str">
        <f>IF(D17=0,"",VLOOKUP($B17,Nutzungsgrad!$C$11:$G$27,4,FALSE))</f>
        <v>Pellets</v>
      </c>
    </row>
    <row r="18" spans="1:18">
      <c r="A18" s="292" t="str">
        <f>IF(B18&lt;&gt;"",INDEX(Nutzungsgrad!$B$11:$C$26,MATCH(Erzeugung!B18,Nutzungsgrad!$C$11:$C$26,0),1),"")</f>
        <v/>
      </c>
      <c r="B18" s="1035"/>
      <c r="C18" s="1036"/>
      <c r="D18" s="115">
        <f>IF(B18&lt;&gt;"",VLOOKUP($B18,Nutzungsgrad!$C$11:$G$27,3,FALSE),0)</f>
        <v>0</v>
      </c>
      <c r="E18" s="257"/>
      <c r="F18" s="777"/>
      <c r="G18" s="257"/>
      <c r="H18" s="1023">
        <v>10</v>
      </c>
      <c r="I18" s="1024"/>
      <c r="J18" s="1028"/>
      <c r="K18" s="1029"/>
      <c r="L18" s="117">
        <f>(Gebäude!T$35+Lüftung!S$23)*F18%*(100+IF($J18&lt;&gt;"",$J18,$H18))%</f>
        <v>0</v>
      </c>
      <c r="M18" s="118">
        <f>(Gebäude!U$35+Lüftung!T$23)*G18%*(100+IF($J18&lt;&gt;"",$J18,$H18))%</f>
        <v>0</v>
      </c>
      <c r="N18" s="1024">
        <f>IF(L18=0,0,M18*1000/L18)</f>
        <v>0</v>
      </c>
      <c r="O18" s="1040"/>
      <c r="P18" s="113">
        <f>IF(D18=0,0,$L18/IF($E18&lt;&gt;"",$E18,$D18))</f>
        <v>0</v>
      </c>
      <c r="Q18" s="121">
        <f>IF(D18=0,0,$M18/IF($E18&lt;&gt;"",$E18,$D18))</f>
        <v>0</v>
      </c>
      <c r="R18" s="122" t="str">
        <f>IF(D18=0,"",VLOOKUP($B18,Nutzungsgrad!$C$11:$G$27,4,FALSE))</f>
        <v/>
      </c>
    </row>
    <row r="19" spans="1:18">
      <c r="A19" s="137"/>
      <c r="B19" s="1037" t="str">
        <f>Begriffe!$F$83</f>
        <v>Total</v>
      </c>
      <c r="C19" s="1038"/>
      <c r="D19" s="137"/>
      <c r="E19" s="347"/>
      <c r="F19" s="119">
        <f>SUM(F16:F18)</f>
        <v>100</v>
      </c>
      <c r="G19" s="776">
        <f>SUM(G16:G18)</f>
        <v>100</v>
      </c>
      <c r="H19" s="1025"/>
      <c r="I19" s="1026"/>
      <c r="J19" s="1026"/>
      <c r="K19" s="1027"/>
      <c r="L19" s="119">
        <f>SUM(L16:L18)</f>
        <v>139.61434191470224</v>
      </c>
      <c r="M19" s="120">
        <f>SUM(M16:M18)</f>
        <v>81.263601230434972</v>
      </c>
      <c r="N19" s="1043">
        <f>M19*1000/L19</f>
        <v>582.05768917410501</v>
      </c>
      <c r="O19" s="1044"/>
      <c r="P19" s="119">
        <f>SUM(P16:P18)</f>
        <v>77.603816025315027</v>
      </c>
      <c r="Q19" s="348"/>
      <c r="R19" s="86"/>
    </row>
    <row r="20" spans="1:18">
      <c r="A20" s="2"/>
      <c r="G20" s="4"/>
      <c r="H20" s="4"/>
      <c r="I20" s="4"/>
      <c r="J20" s="43"/>
      <c r="K20" s="4"/>
      <c r="L20" s="4"/>
      <c r="M20" s="4"/>
      <c r="N20" s="4"/>
      <c r="O20" s="4"/>
      <c r="P20" s="4"/>
      <c r="Q20" s="4"/>
      <c r="R20" s="4"/>
    </row>
    <row r="21" spans="1:18">
      <c r="A21" s="2"/>
      <c r="G21" s="4"/>
      <c r="H21" s="4"/>
      <c r="I21" s="4"/>
      <c r="J21" s="43"/>
      <c r="K21" s="4"/>
      <c r="L21" s="4"/>
      <c r="M21" s="4"/>
      <c r="N21" s="4"/>
      <c r="O21" s="4"/>
      <c r="P21" s="4"/>
      <c r="Q21" s="4"/>
      <c r="R21" s="4"/>
    </row>
    <row r="22" spans="1:18">
      <c r="A22" s="127" t="str">
        <f>Begriffe!F191</f>
        <v>Warmwassererzeugung</v>
      </c>
      <c r="B22" s="128"/>
      <c r="C22" s="125"/>
      <c r="D22" s="123" t="str">
        <f>Begriffe!$F$244</f>
        <v>Nutzungsgrad</v>
      </c>
      <c r="E22" s="129"/>
      <c r="F22" s="123" t="str">
        <f>Begriffe!$F$245</f>
        <v>Deckungsgrad</v>
      </c>
      <c r="G22" s="124"/>
      <c r="H22" s="123" t="str">
        <f>Begriffe!$F$246</f>
        <v>Speicher - und Verteilverluste</v>
      </c>
      <c r="I22" s="126"/>
      <c r="J22" s="295"/>
      <c r="K22" s="124"/>
      <c r="L22" s="130" t="str">
        <f>Begriffe!F253</f>
        <v>Wärme (inkl. Verluste)</v>
      </c>
      <c r="M22" s="126"/>
      <c r="N22" s="126"/>
      <c r="O22" s="124"/>
      <c r="P22" s="123" t="str">
        <f>Begriffe!$F$248</f>
        <v>Endenergie</v>
      </c>
      <c r="Q22" s="126"/>
      <c r="R22" s="124"/>
    </row>
    <row r="23" spans="1:18">
      <c r="A23" s="209" t="s">
        <v>150</v>
      </c>
      <c r="B23" s="33" t="str">
        <f>Begriffe!$F$243</f>
        <v>Erzeugertyp</v>
      </c>
      <c r="C23" s="102"/>
      <c r="D23" s="103" t="str">
        <f>Begriffe!$F$76</f>
        <v>Standard</v>
      </c>
      <c r="E23" s="104" t="str">
        <f>Begriffe!$F$103</f>
        <v>Projekt</v>
      </c>
      <c r="F23" s="81" t="str">
        <f>Begriffe!$F$100</f>
        <v>Leistung</v>
      </c>
      <c r="G23" s="56" t="str">
        <f>Begriffe!$F$101</f>
        <v>Energie</v>
      </c>
      <c r="H23" s="1030" t="str">
        <f>Begriffe!$F$80</f>
        <v>Standardwert</v>
      </c>
      <c r="I23" s="1031"/>
      <c r="J23" s="1033" t="str">
        <f>Begriffe!$F$79</f>
        <v>Projektwert</v>
      </c>
      <c r="K23" s="1034"/>
      <c r="L23" s="81" t="str">
        <f>Begriffe!$F$100</f>
        <v>Leistung</v>
      </c>
      <c r="M23" s="56" t="str">
        <f>Begriffe!$F$101</f>
        <v>Energie</v>
      </c>
      <c r="N23" s="1041" t="str">
        <f>Begriffe!$F$250</f>
        <v>Volllaststunden</v>
      </c>
      <c r="O23" s="1042"/>
      <c r="P23" s="81" t="str">
        <f>Begriffe!$F$100</f>
        <v>Leistung</v>
      </c>
      <c r="Q23" s="56" t="str">
        <f>Begriffe!$F$101</f>
        <v>Energie</v>
      </c>
      <c r="R23" s="779" t="str">
        <f>Begriffe!$F$251</f>
        <v>Energieträger</v>
      </c>
    </row>
    <row r="24" spans="1:18">
      <c r="A24" s="108"/>
      <c r="B24" s="143"/>
      <c r="C24" s="109"/>
      <c r="D24" s="110" t="s">
        <v>89</v>
      </c>
      <c r="E24" s="134"/>
      <c r="F24" s="775" t="s">
        <v>129</v>
      </c>
      <c r="G24" s="778" t="s">
        <v>129</v>
      </c>
      <c r="H24" s="1032" t="s">
        <v>129</v>
      </c>
      <c r="I24" s="1021"/>
      <c r="J24" s="1021" t="s">
        <v>129</v>
      </c>
      <c r="K24" s="1022"/>
      <c r="L24" s="110" t="s">
        <v>112</v>
      </c>
      <c r="M24" s="116" t="s">
        <v>115</v>
      </c>
      <c r="N24" s="1039" t="s">
        <v>199</v>
      </c>
      <c r="O24" s="1022"/>
      <c r="P24" s="110" t="s">
        <v>112</v>
      </c>
      <c r="Q24" s="116" t="s">
        <v>115</v>
      </c>
      <c r="R24" s="111"/>
    </row>
    <row r="25" spans="1:18">
      <c r="A25" s="292" t="str">
        <f>IF(B25&lt;&gt;"",INDEX(Nutzungsgrad!$B$29:$C$41,MATCH(Erzeugung!B25,Nutzungsgrad!$C$29:$C$41,0),1),"")</f>
        <v>W13</v>
      </c>
      <c r="B25" s="1035" t="s">
        <v>361</v>
      </c>
      <c r="C25" s="1036"/>
      <c r="D25" s="115">
        <f>IF(B25&lt;&gt;"",VLOOKUP($B25,Nutzungsgrad!$C$29:$G$42,3,FALSE),0)</f>
        <v>1.9</v>
      </c>
      <c r="E25" s="256">
        <v>2.7</v>
      </c>
      <c r="F25" s="777">
        <v>30</v>
      </c>
      <c r="G25" s="257">
        <v>50</v>
      </c>
      <c r="H25" s="1023">
        <v>40</v>
      </c>
      <c r="I25" s="1024"/>
      <c r="J25" s="1028"/>
      <c r="K25" s="1029"/>
      <c r="L25" s="117">
        <f>Gebäude!V$35*4.186/3.6*50/L$29/1000*F25%*(100+IF($J25&lt;&gt;"",$J25,$H25))%</f>
        <v>3.4011249999999991</v>
      </c>
      <c r="M25" s="118">
        <f>(Gebäude!W$35*G25%)*(100+IF($J25&lt;&gt;"",$J25,$H25))%</f>
        <v>7.0845840000000013</v>
      </c>
      <c r="N25" s="1024">
        <f>IF(L25=0,0,M25*1000/L25)</f>
        <v>2083.0119445771629</v>
      </c>
      <c r="O25" s="1040"/>
      <c r="P25" s="113">
        <f>IF(D25=0,0,$L25/IF($E25&lt;&gt;"",$E25,$D25))</f>
        <v>1.2596759259259256</v>
      </c>
      <c r="Q25" s="121">
        <f>IF(D25=0,0,$M25/IF($E25&lt;&gt;"",$E25,$D25))</f>
        <v>2.6239200000000005</v>
      </c>
      <c r="R25" s="122" t="str">
        <f>IF(D25=0,"",VLOOKUP($B25,Nutzungsgrad!$C$29:$G$42,4,FALSE))</f>
        <v>Elektrizität</v>
      </c>
    </row>
    <row r="26" spans="1:18">
      <c r="A26" s="292" t="str">
        <f>IF(B26&lt;&gt;"",INDEX(Nutzungsgrad!$B$29:$C$41,MATCH(Erzeugung!B26,Nutzungsgrad!$C$29:$C$41,0),1),"")</f>
        <v>W05</v>
      </c>
      <c r="B26" s="1035" t="s">
        <v>206</v>
      </c>
      <c r="C26" s="1036"/>
      <c r="D26" s="115">
        <f>IF(B26&lt;&gt;"",VLOOKUP($B26,Nutzungsgrad!$C$29:$G$42,3,FALSE),0)</f>
        <v>0.65</v>
      </c>
      <c r="E26" s="257"/>
      <c r="F26" s="777">
        <v>70</v>
      </c>
      <c r="G26" s="257">
        <v>20</v>
      </c>
      <c r="H26" s="1023">
        <v>40</v>
      </c>
      <c r="I26" s="1024"/>
      <c r="J26" s="1028"/>
      <c r="K26" s="1029"/>
      <c r="L26" s="117">
        <f>Gebäude!V$35*4.186/3.6*50/L$29/1000*F26%*(100+IF($J26&lt;&gt;"",$J26,$H26))%</f>
        <v>7.935958333333331</v>
      </c>
      <c r="M26" s="118">
        <f>(Gebäude!W$35*G26%)*(100+IF($J26&lt;&gt;"",$J26,$H26))%</f>
        <v>2.8338336000000006</v>
      </c>
      <c r="N26" s="1024">
        <f>IF(L26=0,0,M26*1000/L26)</f>
        <v>357.08776192751367</v>
      </c>
      <c r="O26" s="1040"/>
      <c r="P26" s="113">
        <f>IF(D26=0,0,$L26/IF($E26&lt;&gt;"",$E26,$D26))</f>
        <v>12.209166666666663</v>
      </c>
      <c r="Q26" s="121">
        <f>IF(D26=0,0,$M26/IF($E26&lt;&gt;"",$E26,$D26))</f>
        <v>4.359744000000001</v>
      </c>
      <c r="R26" s="122" t="str">
        <f>IF(D26=0,"",VLOOKUP($B26,Nutzungsgrad!$C$29:$G$42,4,FALSE))</f>
        <v>Pellets</v>
      </c>
    </row>
    <row r="27" spans="1:18">
      <c r="A27" s="292" t="str">
        <f>IF(B27&lt;&gt;"",INDEX(Nutzungsgrad!$B$29:$C$41,MATCH(Erzeugung!B27,Nutzungsgrad!$C$29:$C$41,0),1),"")</f>
        <v>W09</v>
      </c>
      <c r="B27" s="1035" t="s">
        <v>211</v>
      </c>
      <c r="C27" s="1036"/>
      <c r="D27" s="115">
        <f>IF(B27&lt;&gt;"",VLOOKUP($B27,Nutzungsgrad!$C$29:$G$42,3,FALSE),0)</f>
        <v>0</v>
      </c>
      <c r="E27" s="257"/>
      <c r="F27" s="777">
        <v>0</v>
      </c>
      <c r="G27" s="257">
        <v>30</v>
      </c>
      <c r="H27" s="1023">
        <v>40</v>
      </c>
      <c r="I27" s="1024"/>
      <c r="J27" s="1028"/>
      <c r="K27" s="1029"/>
      <c r="L27" s="117">
        <f>Gebäude!V$35*4.186/3.6*50/L$29/1000*F27%*(100+IF($J27&lt;&gt;"",$J27,$H27))%</f>
        <v>0</v>
      </c>
      <c r="M27" s="118">
        <f>(Gebäude!W$35*G27%)*(100+IF($J27&lt;&gt;"",$J27,$H27))%</f>
        <v>4.2507504000000003</v>
      </c>
      <c r="N27" s="1024">
        <f>IF(L27=0,0,M27*1000/L27)</f>
        <v>0</v>
      </c>
      <c r="O27" s="1040"/>
      <c r="P27" s="113">
        <f>IF(D27=0,0,$L27/IF($E27&lt;&gt;"",$E27,$D27))</f>
        <v>0</v>
      </c>
      <c r="Q27" s="121">
        <f>IF(D27=0,0,$M27/IF($E27&lt;&gt;"",$E27,$D27))</f>
        <v>0</v>
      </c>
      <c r="R27" s="122" t="str">
        <f>IF(D27=0,"",VLOOKUP($B27,Nutzungsgrad!$C$29:$G$42,4,FALSE))</f>
        <v/>
      </c>
    </row>
    <row r="28" spans="1:18">
      <c r="A28" s="137"/>
      <c r="B28" s="1037" t="str">
        <f>Begriffe!$F$83</f>
        <v>Total</v>
      </c>
      <c r="C28" s="1038"/>
      <c r="D28" s="137"/>
      <c r="E28" s="347"/>
      <c r="F28" s="119">
        <f>SUM(F25:F27)</f>
        <v>100</v>
      </c>
      <c r="G28" s="776">
        <f>SUM(G25:G27)</f>
        <v>100</v>
      </c>
      <c r="H28" s="1025"/>
      <c r="I28" s="1026"/>
      <c r="J28" s="1026"/>
      <c r="K28" s="1027"/>
      <c r="L28" s="119">
        <f>SUM(L25:L27)</f>
        <v>11.337083333333331</v>
      </c>
      <c r="M28" s="120">
        <f>SUM(M25:M27)</f>
        <v>14.169168000000003</v>
      </c>
      <c r="N28" s="1043">
        <f>M28*1000/L28</f>
        <v>1249.8071667462978</v>
      </c>
      <c r="O28" s="1044"/>
      <c r="P28" s="119">
        <f>SUM(P25:P27)</f>
        <v>13.468842592592589</v>
      </c>
      <c r="Q28" s="348"/>
      <c r="R28" s="86"/>
    </row>
    <row r="29" spans="1:18">
      <c r="A29" s="2"/>
      <c r="F29" s="4"/>
      <c r="G29" s="4"/>
      <c r="H29" s="4" t="str">
        <f>Begriffe!$F$209</f>
        <v>Aufheizzeit Warmwasser pro Tag:</v>
      </c>
      <c r="J29" s="43"/>
      <c r="K29" s="4"/>
      <c r="L29" s="293">
        <v>6</v>
      </c>
      <c r="M29" t="s">
        <v>470</v>
      </c>
      <c r="N29" s="4"/>
      <c r="O29" s="4"/>
      <c r="P29" s="4"/>
      <c r="Q29" s="4"/>
      <c r="R29" s="4"/>
    </row>
    <row r="30" spans="1:18">
      <c r="A30" s="2"/>
      <c r="F30" s="4"/>
      <c r="G30" s="4"/>
      <c r="H30" s="4"/>
      <c r="I30" s="4"/>
      <c r="J30" s="43"/>
      <c r="K30" s="4"/>
      <c r="L30" s="4"/>
      <c r="M30" s="4"/>
      <c r="N30" s="4"/>
      <c r="O30" s="4"/>
      <c r="P30" s="4"/>
      <c r="Q30" s="4"/>
      <c r="R30" s="4"/>
    </row>
    <row r="31" spans="1:18" hidden="1">
      <c r="A31" s="127" t="s">
        <v>472</v>
      </c>
      <c r="B31" s="128"/>
      <c r="C31" s="221"/>
      <c r="D31" s="154" t="s">
        <v>257</v>
      </c>
      <c r="E31" s="213"/>
      <c r="F31" s="214"/>
      <c r="G31" s="155" t="s">
        <v>251</v>
      </c>
      <c r="H31" s="214"/>
      <c r="I31" s="214"/>
      <c r="J31" s="155" t="s">
        <v>265</v>
      </c>
      <c r="K31" s="214"/>
      <c r="L31" s="155" t="s">
        <v>183</v>
      </c>
      <c r="M31" s="214"/>
      <c r="N31" s="214"/>
      <c r="O31" s="154" t="s">
        <v>261</v>
      </c>
      <c r="P31" s="214"/>
      <c r="Q31" s="214"/>
      <c r="R31" s="214"/>
    </row>
    <row r="32" spans="1:18" hidden="1">
      <c r="A32" s="41" t="s">
        <v>243</v>
      </c>
      <c r="B32" s="33" t="s">
        <v>244</v>
      </c>
      <c r="C32" s="33"/>
      <c r="D32" s="209" t="s">
        <v>259</v>
      </c>
      <c r="E32" s="104" t="s">
        <v>260</v>
      </c>
      <c r="F32" s="43"/>
      <c r="G32" s="209" t="s">
        <v>259</v>
      </c>
      <c r="H32" s="104" t="s">
        <v>260</v>
      </c>
      <c r="I32" s="43"/>
      <c r="J32" s="209" t="s">
        <v>88</v>
      </c>
      <c r="K32" s="104" t="s">
        <v>217</v>
      </c>
      <c r="L32" s="209" t="s">
        <v>88</v>
      </c>
      <c r="M32" s="104" t="s">
        <v>217</v>
      </c>
      <c r="N32" s="4"/>
      <c r="O32" s="103" t="s">
        <v>262</v>
      </c>
      <c r="P32" s="356" t="s">
        <v>252</v>
      </c>
      <c r="Q32" s="358" t="s">
        <v>264</v>
      </c>
      <c r="R32" s="43"/>
    </row>
    <row r="33" spans="1:18" hidden="1">
      <c r="A33" s="41"/>
      <c r="B33" s="7"/>
      <c r="D33" s="209" t="s">
        <v>112</v>
      </c>
      <c r="E33" s="104" t="s">
        <v>112</v>
      </c>
      <c r="F33" s="4"/>
      <c r="G33" s="209" t="s">
        <v>89</v>
      </c>
      <c r="H33" s="104" t="s">
        <v>89</v>
      </c>
      <c r="I33" s="4"/>
      <c r="J33" s="209" t="s">
        <v>89</v>
      </c>
      <c r="K33" s="104" t="s">
        <v>89</v>
      </c>
      <c r="L33" s="103" t="s">
        <v>199</v>
      </c>
      <c r="M33" s="356" t="s">
        <v>199</v>
      </c>
      <c r="N33" s="4"/>
      <c r="O33" s="103" t="s">
        <v>263</v>
      </c>
      <c r="P33" s="356" t="s">
        <v>263</v>
      </c>
      <c r="Q33" s="358" t="s">
        <v>89</v>
      </c>
      <c r="R33" s="43"/>
    </row>
    <row r="34" spans="1:18" hidden="1">
      <c r="A34" s="165" t="s">
        <v>247</v>
      </c>
      <c r="B34" s="71" t="s">
        <v>245</v>
      </c>
      <c r="C34" s="349"/>
      <c r="D34" s="217">
        <v>30</v>
      </c>
      <c r="E34" s="351" t="s">
        <v>89</v>
      </c>
      <c r="F34" s="350"/>
      <c r="G34" s="353">
        <v>0.21</v>
      </c>
      <c r="H34" s="351" t="s">
        <v>89</v>
      </c>
      <c r="I34" s="350"/>
      <c r="J34" s="223">
        <v>0.93</v>
      </c>
      <c r="K34" s="351"/>
      <c r="L34" s="219" t="s">
        <v>89</v>
      </c>
      <c r="M34" s="351"/>
      <c r="N34" s="350"/>
      <c r="O34" s="217">
        <v>8</v>
      </c>
      <c r="P34" s="351">
        <v>-45</v>
      </c>
      <c r="Q34" s="359">
        <v>0.83</v>
      </c>
      <c r="R34" s="350"/>
    </row>
    <row r="35" spans="1:18" ht="15" hidden="1" customHeight="1">
      <c r="A35" s="165" t="s">
        <v>248</v>
      </c>
      <c r="B35" s="71" t="s">
        <v>246</v>
      </c>
      <c r="C35" s="349"/>
      <c r="D35" s="217">
        <v>5</v>
      </c>
      <c r="E35" s="351">
        <v>16</v>
      </c>
      <c r="F35" s="350"/>
      <c r="G35" s="354">
        <v>0.27</v>
      </c>
      <c r="H35" s="355">
        <v>0.51</v>
      </c>
      <c r="I35" s="350"/>
      <c r="J35" s="223">
        <v>0.87</v>
      </c>
      <c r="K35" s="351"/>
      <c r="L35" s="220">
        <v>3500</v>
      </c>
      <c r="M35" s="351"/>
      <c r="N35" s="350"/>
      <c r="O35" s="354" t="s">
        <v>89</v>
      </c>
      <c r="P35" s="351" t="s">
        <v>89</v>
      </c>
      <c r="Q35" s="360" t="s">
        <v>89</v>
      </c>
      <c r="R35" s="350"/>
    </row>
    <row r="36" spans="1:18" hidden="1">
      <c r="A36" s="165" t="s">
        <v>249</v>
      </c>
      <c r="B36" s="215"/>
      <c r="C36" s="349"/>
      <c r="D36" s="217"/>
      <c r="E36" s="351"/>
      <c r="F36" s="350"/>
      <c r="G36" s="217"/>
      <c r="H36" s="351"/>
      <c r="I36" s="350"/>
      <c r="J36" s="220"/>
      <c r="K36" s="351"/>
      <c r="L36" s="220"/>
      <c r="M36" s="351"/>
      <c r="N36" s="350"/>
      <c r="O36" s="357" t="s">
        <v>89</v>
      </c>
      <c r="P36" s="351" t="s">
        <v>89</v>
      </c>
      <c r="Q36" s="360" t="s">
        <v>89</v>
      </c>
      <c r="R36" s="350"/>
    </row>
    <row r="37" spans="1:18" hidden="1">
      <c r="A37" s="165" t="s">
        <v>250</v>
      </c>
      <c r="B37" s="215"/>
      <c r="C37" s="349"/>
      <c r="D37" s="217"/>
      <c r="E37" s="352"/>
      <c r="F37" s="350"/>
      <c r="G37" s="217"/>
      <c r="H37" s="352"/>
      <c r="I37" s="350"/>
      <c r="J37" s="220"/>
      <c r="K37" s="352"/>
      <c r="L37" s="218"/>
      <c r="M37" s="352"/>
      <c r="N37" s="350"/>
      <c r="O37" s="357" t="s">
        <v>89</v>
      </c>
      <c r="P37" s="351" t="s">
        <v>89</v>
      </c>
      <c r="Q37" s="360" t="s">
        <v>89</v>
      </c>
      <c r="R37" s="350"/>
    </row>
  </sheetData>
  <sheetProtection algorithmName="SHA-512" hashValue="Sism+8CO4UjyCmgteL/ABkNKlGjPsVd1YiaMx0KAnOpsyTm13e4aZ+xZwrxDTAKKG8UN4L1fmccQsGmU8IZnZA==" saltValue="1n5oCh223vFDrrtDbGKehA==" spinCount="100000" sheet="1" objects="1" scenarios="1"/>
  <mergeCells count="66">
    <mergeCell ref="N28:O28"/>
    <mergeCell ref="N27:O27"/>
    <mergeCell ref="N25:O25"/>
    <mergeCell ref="N26:O26"/>
    <mergeCell ref="N10:O10"/>
    <mergeCell ref="N19:O19"/>
    <mergeCell ref="N23:O23"/>
    <mergeCell ref="N24:O24"/>
    <mergeCell ref="N5:O5"/>
    <mergeCell ref="N14:O14"/>
    <mergeCell ref="N15:O15"/>
    <mergeCell ref="N16:O16"/>
    <mergeCell ref="N17:O17"/>
    <mergeCell ref="J16:K16"/>
    <mergeCell ref="N6:O6"/>
    <mergeCell ref="J9:K9"/>
    <mergeCell ref="J10:K10"/>
    <mergeCell ref="N18:O18"/>
    <mergeCell ref="N7:O7"/>
    <mergeCell ref="N8:O8"/>
    <mergeCell ref="N9:O9"/>
    <mergeCell ref="J7:K7"/>
    <mergeCell ref="J8:K8"/>
    <mergeCell ref="H16:I16"/>
    <mergeCell ref="B25:C25"/>
    <mergeCell ref="H18:I18"/>
    <mergeCell ref="H23:I23"/>
    <mergeCell ref="B26:C26"/>
    <mergeCell ref="H24:I24"/>
    <mergeCell ref="B16:C16"/>
    <mergeCell ref="B17:C17"/>
    <mergeCell ref="B28:C28"/>
    <mergeCell ref="B9:C9"/>
    <mergeCell ref="B18:C18"/>
    <mergeCell ref="B27:C27"/>
    <mergeCell ref="B19:C19"/>
    <mergeCell ref="H14:I14"/>
    <mergeCell ref="J14:K14"/>
    <mergeCell ref="B7:C7"/>
    <mergeCell ref="B8:C8"/>
    <mergeCell ref="B10:C10"/>
    <mergeCell ref="H5:I5"/>
    <mergeCell ref="H6:I6"/>
    <mergeCell ref="J5:K5"/>
    <mergeCell ref="J6:K6"/>
    <mergeCell ref="J23:K23"/>
    <mergeCell ref="J19:K19"/>
    <mergeCell ref="H17:I17"/>
    <mergeCell ref="H19:I19"/>
    <mergeCell ref="J18:K18"/>
    <mergeCell ref="J17:K17"/>
    <mergeCell ref="H15:I15"/>
    <mergeCell ref="J15:K15"/>
    <mergeCell ref="H7:I7"/>
    <mergeCell ref="H8:I8"/>
    <mergeCell ref="H9:I9"/>
    <mergeCell ref="H10:I10"/>
    <mergeCell ref="J24:K24"/>
    <mergeCell ref="H26:I26"/>
    <mergeCell ref="H27:I27"/>
    <mergeCell ref="H28:I28"/>
    <mergeCell ref="J28:K28"/>
    <mergeCell ref="J27:K27"/>
    <mergeCell ref="J26:K26"/>
    <mergeCell ref="H25:I25"/>
    <mergeCell ref="J25:K25"/>
  </mergeCells>
  <pageMargins left="0.7" right="0.7" top="0.78740157499999996" bottom="0.78740157499999996" header="0.3" footer="0.3"/>
  <pageSetup paperSize="9" scale="69" orientation="landscape" verticalDpi="180" r:id="rId1"/>
  <headerFooter>
    <oddHeader>&amp;LWärmepumpe Erdsonden 35°C&amp;CVersion 1.3&amp;R4/20/2025</oddHeader>
    <oddFooter>&amp;CSIA 2024, Copyright © 2017 by SIA Zurich</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00000000}">
          <x14:formula1>
            <xm:f>Nutzungsgrad!$C$29:$C$41</xm:f>
          </x14:formula1>
          <xm:sqref>B25:C27</xm:sqref>
        </x14:dataValidation>
        <x14:dataValidation type="list" allowBlank="1" showInputMessage="1" showErrorMessage="1" xr:uid="{00000000-0002-0000-0700-000001000000}">
          <x14:formula1>
            <xm:f>Nutzungsgrad!$C$11:$C$26</xm:f>
          </x14:formula1>
          <xm:sqref>B16:C18</xm:sqref>
        </x14:dataValidation>
        <x14:dataValidation type="list" allowBlank="1" showInputMessage="1" showErrorMessage="1" xr:uid="{00000000-0002-0000-0700-000002000000}">
          <x14:formula1>
            <xm:f>Nutzungsgrad!$C$3:$C$8</xm:f>
          </x14:formula1>
          <xm:sqref>B7:C9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blResultate">
    <pageSetUpPr fitToPage="1"/>
  </sheetPr>
  <dimension ref="A1:Y72"/>
  <sheetViews>
    <sheetView showGridLines="0" showRowColHeaders="0" zoomScaleNormal="100" workbookViewId="0">
      <selection activeCell="C33" sqref="C33"/>
    </sheetView>
  </sheetViews>
  <sheetFormatPr baseColWidth="10" defaultRowHeight="12.45"/>
  <cols>
    <col min="1" max="1" width="6.765625" customWidth="1"/>
    <col min="2" max="2" width="27.53515625" customWidth="1"/>
    <col min="3" max="3" width="8" customWidth="1"/>
    <col min="4" max="4" width="11.69140625" customWidth="1"/>
    <col min="5" max="5" width="9.69140625" customWidth="1"/>
    <col min="6" max="6" width="8.765625" customWidth="1"/>
    <col min="7" max="7" width="8.23046875" customWidth="1"/>
    <col min="8" max="8" width="9.4609375" customWidth="1"/>
    <col min="9" max="9" width="10" customWidth="1"/>
    <col min="10" max="10" width="9.53515625" customWidth="1"/>
    <col min="11" max="11" width="10.23046875" customWidth="1"/>
    <col min="12" max="12" width="9.4609375" customWidth="1"/>
    <col min="13" max="13" width="8.23046875" customWidth="1"/>
    <col min="14" max="14" width="8.53515625" customWidth="1"/>
    <col min="15" max="15" width="8.23046875" customWidth="1"/>
    <col min="16" max="16" width="9.23046875" customWidth="1"/>
    <col min="17" max="17" width="8.23046875" customWidth="1"/>
    <col min="18" max="18" width="8.69140625" customWidth="1"/>
    <col min="19" max="21" width="8.23046875" customWidth="1"/>
    <col min="22" max="22" width="5.69140625" customWidth="1"/>
    <col min="23" max="25" width="0" hidden="1" customWidth="1"/>
  </cols>
  <sheetData>
    <row r="1" spans="1:25">
      <c r="A1" s="20" t="str">
        <f>Begriffe!F61</f>
        <v>Projektname</v>
      </c>
      <c r="B1" s="33"/>
      <c r="C1" s="12"/>
      <c r="D1" s="33"/>
      <c r="E1" s="20" t="str">
        <f>Begriffe!F62</f>
        <v>Klimastation</v>
      </c>
      <c r="H1" s="20" t="str">
        <f>Begriffe!F63</f>
        <v>Autor</v>
      </c>
      <c r="J1" s="4"/>
      <c r="K1" s="19" t="str">
        <f>Begriffe!F64</f>
        <v>Datum</v>
      </c>
    </row>
    <row r="2" spans="1:25">
      <c r="A2" s="33" t="str">
        <f>Gebäude!B2</f>
        <v>Beispiel/exemple/esempio</v>
      </c>
      <c r="B2" s="33"/>
      <c r="D2" s="33"/>
      <c r="E2" t="str" cm="1">
        <f t="array" ref="E2">INDEX(Klimadaten!B4:B43,Gebäude!D2,0)</f>
        <v>Zürich-MeteoSchweiz</v>
      </c>
      <c r="H2" s="33" t="str">
        <f>Gebäude!G2</f>
        <v>Max Muster</v>
      </c>
      <c r="I2" s="33"/>
      <c r="J2" s="4"/>
      <c r="K2" s="896">
        <f>Gebäude!J2</f>
        <v>45767</v>
      </c>
    </row>
    <row r="4" spans="1:25">
      <c r="A4" s="127" t="str">
        <f>Begriffe!F92</f>
        <v>Energieträger</v>
      </c>
      <c r="B4" s="128"/>
      <c r="C4" s="125"/>
      <c r="D4" s="1049" t="str">
        <f>Begriffe!F240</f>
        <v>Allg. Gebäudetechnik</v>
      </c>
      <c r="E4" s="1050"/>
      <c r="F4" s="1045" t="str">
        <f>Begriffe!F69</f>
        <v>Geräte</v>
      </c>
      <c r="G4" s="1046"/>
      <c r="H4" s="1045" t="str">
        <f>Begriffe!F241</f>
        <v>Prozessanlagen</v>
      </c>
      <c r="I4" s="1046"/>
      <c r="J4" s="1045" t="str">
        <f>Begriffe!F71</f>
        <v>Beleuchtung</v>
      </c>
      <c r="K4" s="1046"/>
      <c r="L4" s="1045" t="str">
        <f>Begriffe!F72</f>
        <v>Lüftung</v>
      </c>
      <c r="M4" s="1046"/>
      <c r="N4" s="1045" t="str">
        <f>Begriffe!F267</f>
        <v>Kühlung</v>
      </c>
      <c r="O4" s="1046"/>
      <c r="P4" s="1045" t="str">
        <f>Begriffe!F269</f>
        <v>Heizung</v>
      </c>
      <c r="Q4" s="1046"/>
      <c r="R4" s="1045" t="str">
        <f>Begriffe!F75</f>
        <v>Warmwasser</v>
      </c>
      <c r="S4" s="1046"/>
      <c r="T4" s="1047" t="str">
        <f>Begriffe!F83</f>
        <v>Total</v>
      </c>
      <c r="U4" s="1048"/>
      <c r="W4" s="339" t="s">
        <v>165</v>
      </c>
      <c r="X4" s="340"/>
      <c r="Y4" s="341"/>
    </row>
    <row r="5" spans="1:25">
      <c r="A5" s="100"/>
      <c r="B5" s="1"/>
      <c r="C5" s="102"/>
      <c r="D5" s="81" t="str">
        <f>Begriffe!$F$100</f>
        <v>Leistung</v>
      </c>
      <c r="E5" s="62" t="str">
        <f>Begriffe!$F$101</f>
        <v>Energie</v>
      </c>
      <c r="F5" s="81" t="str">
        <f>Begriffe!$F$100</f>
        <v>Leistung</v>
      </c>
      <c r="G5" s="62" t="str">
        <f>Begriffe!$F$101</f>
        <v>Energie</v>
      </c>
      <c r="H5" s="81" t="str">
        <f>Begriffe!$F$100</f>
        <v>Leistung</v>
      </c>
      <c r="I5" s="62" t="str">
        <f>Begriffe!$F$101</f>
        <v>Energie</v>
      </c>
      <c r="J5" s="81" t="str">
        <f>Begriffe!$F$100</f>
        <v>Leistung</v>
      </c>
      <c r="K5" s="62" t="str">
        <f>Begriffe!$F$101</f>
        <v>Energie</v>
      </c>
      <c r="L5" s="81" t="str">
        <f>Begriffe!$F$100</f>
        <v>Leistung</v>
      </c>
      <c r="M5" s="62" t="str">
        <f>Begriffe!$F$101</f>
        <v>Energie</v>
      </c>
      <c r="N5" s="238" t="str">
        <f>Begriffe!$F$100</f>
        <v>Leistung</v>
      </c>
      <c r="O5" s="62" t="str">
        <f>Begriffe!$F$101</f>
        <v>Energie</v>
      </c>
      <c r="P5" s="81" t="str">
        <f>Begriffe!$F$100</f>
        <v>Leistung</v>
      </c>
      <c r="Q5" s="62" t="str">
        <f>Begriffe!$F$101</f>
        <v>Energie</v>
      </c>
      <c r="R5" s="81" t="str">
        <f>Begriffe!$F$100</f>
        <v>Leistung</v>
      </c>
      <c r="S5" s="62" t="str">
        <f>Begriffe!$F$101</f>
        <v>Energie</v>
      </c>
      <c r="T5" s="81" t="str">
        <f>Begriffe!$F$100</f>
        <v>Leistung</v>
      </c>
      <c r="U5" s="62" t="str">
        <f>Begriffe!$F$101</f>
        <v>Energie</v>
      </c>
      <c r="W5" s="342" t="s">
        <v>167</v>
      </c>
      <c r="X5" s="57" t="s">
        <v>186</v>
      </c>
      <c r="Y5" s="343" t="s">
        <v>166</v>
      </c>
    </row>
    <row r="6" spans="1:25">
      <c r="A6" s="108"/>
      <c r="B6" s="143"/>
      <c r="C6" s="109"/>
      <c r="D6" s="82" t="s">
        <v>112</v>
      </c>
      <c r="E6" s="69" t="s">
        <v>115</v>
      </c>
      <c r="F6" s="82" t="s">
        <v>112</v>
      </c>
      <c r="G6" s="69" t="s">
        <v>115</v>
      </c>
      <c r="H6" s="82" t="s">
        <v>112</v>
      </c>
      <c r="I6" s="69" t="s">
        <v>115</v>
      </c>
      <c r="J6" s="82" t="s">
        <v>112</v>
      </c>
      <c r="K6" s="69" t="s">
        <v>115</v>
      </c>
      <c r="L6" s="82" t="s">
        <v>112</v>
      </c>
      <c r="M6" s="69" t="s">
        <v>115</v>
      </c>
      <c r="N6" s="82" t="s">
        <v>112</v>
      </c>
      <c r="O6" s="69" t="s">
        <v>115</v>
      </c>
      <c r="P6" s="82" t="s">
        <v>112</v>
      </c>
      <c r="Q6" s="69" t="s">
        <v>115</v>
      </c>
      <c r="R6" s="82" t="s">
        <v>112</v>
      </c>
      <c r="S6" s="69" t="s">
        <v>115</v>
      </c>
      <c r="T6" s="82" t="s">
        <v>112</v>
      </c>
      <c r="U6" s="69" t="s">
        <v>115</v>
      </c>
      <c r="W6" s="344" t="s">
        <v>89</v>
      </c>
      <c r="X6" s="345" t="s">
        <v>89</v>
      </c>
      <c r="Y6" s="346" t="s">
        <v>168</v>
      </c>
    </row>
    <row r="7" spans="1:25">
      <c r="A7" s="897" t="s">
        <v>197</v>
      </c>
      <c r="B7" s="161" t="str">
        <f>Begriffe!F257</f>
        <v>Elektrizität</v>
      </c>
      <c r="C7" s="112"/>
      <c r="D7" s="113">
        <f>Gebäude!L58</f>
        <v>55.822888127853879</v>
      </c>
      <c r="E7" s="107">
        <f>Gebäude!I58</f>
        <v>54.644199999999998</v>
      </c>
      <c r="F7" s="113">
        <f>Gebäude!F35</f>
        <v>45.57</v>
      </c>
      <c r="G7" s="107">
        <f>Gebäude!G35</f>
        <v>129.68610000000001</v>
      </c>
      <c r="H7" s="113">
        <f>Gebäude!H35</f>
        <v>3</v>
      </c>
      <c r="I7" s="107">
        <f>Gebäude!I35</f>
        <v>21.03</v>
      </c>
      <c r="J7" s="113">
        <f>Gebäude!J35</f>
        <v>41.375400641025635</v>
      </c>
      <c r="K7" s="107">
        <f>Gebäude!K35</f>
        <v>59.901999762820516</v>
      </c>
      <c r="L7" s="113">
        <f>Lüftung!H23</f>
        <v>9.2078571428571436</v>
      </c>
      <c r="M7" s="107">
        <f>Lüftung!I23</f>
        <v>32.483389523809535</v>
      </c>
      <c r="N7" s="297">
        <f>Erzeugung!P10</f>
        <v>33.589258677779924</v>
      </c>
      <c r="O7" s="107">
        <f>SUMIF(Erzeugung!$R$7:$R$9,$B7,Erzeugung!$Q$7:$Q$9)</f>
        <v>8.1261711323380332</v>
      </c>
      <c r="P7" s="113">
        <f>SUMIF(Erzeugung!$R$16:$R$18,$B7,Erzeugung!$P$16:$P$18)</f>
        <v>17.769098061871194</v>
      </c>
      <c r="Q7" s="107">
        <f>SUMIF(Erzeugung!$R$16:$R$18,$B7,Erzeugung!$Q$16:$Q$18)</f>
        <v>11.82016017897236</v>
      </c>
      <c r="R7" s="113">
        <f>SUMIF(Erzeugung!$R$25:$R$27,$B7,Erzeugung!$P$25:$P$27)</f>
        <v>1.2596759259259256</v>
      </c>
      <c r="S7" s="107">
        <f>SUMIF(Erzeugung!$R$25:$R$27,$B7,Erzeugung!$Q$25:$Q$27)</f>
        <v>2.6239200000000005</v>
      </c>
      <c r="T7" s="113">
        <f>SUM(D7,F7,H7,J7,L7,N7,P7,R7)</f>
        <v>207.59417857731373</v>
      </c>
      <c r="U7" s="107">
        <f>E7+G7+I7+K7+M7+O7+Q7+S7</f>
        <v>320.31594059794043</v>
      </c>
      <c r="W7" s="336">
        <v>2</v>
      </c>
      <c r="X7" s="337">
        <v>2.69</v>
      </c>
      <c r="Y7" s="337">
        <v>0.13900000000000001</v>
      </c>
    </row>
    <row r="8" spans="1:25">
      <c r="A8" s="897" t="s">
        <v>187</v>
      </c>
      <c r="B8" s="161" t="str">
        <f>Begriffe!F258</f>
        <v>Heizöl EL</v>
      </c>
      <c r="C8" s="112"/>
      <c r="D8" s="135"/>
      <c r="E8" s="136"/>
      <c r="F8" s="135"/>
      <c r="G8" s="136"/>
      <c r="H8" s="135"/>
      <c r="I8" s="136"/>
      <c r="J8" s="135"/>
      <c r="K8" s="136"/>
      <c r="L8" s="135"/>
      <c r="M8" s="136"/>
      <c r="N8" s="298"/>
      <c r="O8" s="136"/>
      <c r="P8" s="113">
        <f>SUMIF(Erzeugung!$R$16:$R$18,$B8,Erzeugung!$P$16:$P$18)</f>
        <v>0</v>
      </c>
      <c r="Q8" s="107">
        <f>SUMIF(Erzeugung!$R$16:$R$18,$B8,Erzeugung!$Q$16:$Q$18)</f>
        <v>0</v>
      </c>
      <c r="R8" s="113">
        <f>SUMIF(Erzeugung!$R$25:$R$27,$B8,Erzeugung!$P$25:$P$27)</f>
        <v>0</v>
      </c>
      <c r="S8" s="107">
        <f>SUMIF(Erzeugung!$R$25:$R$27,$B8,Erzeugung!$Q$25:$Q$27)</f>
        <v>0</v>
      </c>
      <c r="T8" s="113">
        <f>SUM(D8,F8,H8,J8,L8,N8,P8,R8)</f>
        <v>0</v>
      </c>
      <c r="U8" s="107">
        <f t="shared" ref="U8:U14" si="0">E8+G8+I8+K8+M8+O8+Q8+S8</f>
        <v>0</v>
      </c>
      <c r="W8" s="336">
        <v>1</v>
      </c>
      <c r="X8" s="337">
        <v>1.22</v>
      </c>
      <c r="Y8" s="337">
        <v>0.29799999999999999</v>
      </c>
    </row>
    <row r="9" spans="1:25">
      <c r="A9" s="897" t="s">
        <v>188</v>
      </c>
      <c r="B9" s="161" t="str">
        <f>Begriffe!F259</f>
        <v>Erdgas</v>
      </c>
      <c r="C9" s="112"/>
      <c r="D9" s="135"/>
      <c r="E9" s="136"/>
      <c r="F9" s="135"/>
      <c r="G9" s="136"/>
      <c r="H9" s="135"/>
      <c r="I9" s="136"/>
      <c r="J9" s="135"/>
      <c r="K9" s="136"/>
      <c r="L9" s="135"/>
      <c r="M9" s="136"/>
      <c r="N9" s="298"/>
      <c r="O9" s="136"/>
      <c r="P9" s="113">
        <f>SUMIF(Erzeugung!$R$16:$R$18,$B9,Erzeugung!$P$16:$P$18)</f>
        <v>0</v>
      </c>
      <c r="Q9" s="107">
        <f>SUMIF(Erzeugung!$R$16:$R$18,$B9,Erzeugung!$Q$16:$Q$18)</f>
        <v>0</v>
      </c>
      <c r="R9" s="113">
        <f>SUMIF(Erzeugung!$R$25:$R$27,$B9,Erzeugung!$P$25:$P$27)</f>
        <v>0</v>
      </c>
      <c r="S9" s="107">
        <f>SUMIF(Erzeugung!$R$25:$R$27,$B9,Erzeugung!$Q$25:$Q$27)</f>
        <v>0</v>
      </c>
      <c r="T9" s="113">
        <f t="shared" ref="T9:T14" si="1">SUM(D9,F9,H9,J9,L9,N9,P9,R9)</f>
        <v>0</v>
      </c>
      <c r="U9" s="107">
        <f t="shared" si="0"/>
        <v>0</v>
      </c>
      <c r="W9" s="336">
        <v>1</v>
      </c>
      <c r="X9" s="337">
        <v>1.06</v>
      </c>
      <c r="Y9" s="337">
        <v>0.22800000000000001</v>
      </c>
    </row>
    <row r="10" spans="1:25">
      <c r="A10" s="897" t="s">
        <v>189</v>
      </c>
      <c r="B10" s="161" t="str">
        <f>Begriffe!F260</f>
        <v>Pellets</v>
      </c>
      <c r="C10" s="112"/>
      <c r="D10" s="135"/>
      <c r="E10" s="136"/>
      <c r="F10" s="135"/>
      <c r="G10" s="136"/>
      <c r="H10" s="135"/>
      <c r="I10" s="136"/>
      <c r="J10" s="135"/>
      <c r="K10" s="136"/>
      <c r="L10" s="135"/>
      <c r="M10" s="136"/>
      <c r="N10" s="298"/>
      <c r="O10" s="136"/>
      <c r="P10" s="113">
        <f>SUMIF(Erzeugung!$R$16:$R$18,$B10,Erzeugung!$P$16:$P$18)</f>
        <v>59.834717963443829</v>
      </c>
      <c r="Q10" s="107">
        <f>SUMIF(Erzeugung!$R$16:$R$18,$B10,Erzeugung!$Q$16:$Q$18)</f>
        <v>23.21817178012428</v>
      </c>
      <c r="R10" s="113">
        <f>SUMIF(Erzeugung!$R$25:$R$27,$B10,Erzeugung!$P$25:$P$27)</f>
        <v>12.209166666666663</v>
      </c>
      <c r="S10" s="107">
        <f>SUMIF(Erzeugung!$R$25:$R$27,$B10,Erzeugung!$Q$25:$Q$27)</f>
        <v>4.359744000000001</v>
      </c>
      <c r="T10" s="113">
        <f t="shared" si="1"/>
        <v>72.043884630110497</v>
      </c>
      <c r="U10" s="107">
        <f t="shared" si="0"/>
        <v>27.577915780124279</v>
      </c>
      <c r="W10" s="337">
        <v>0.7</v>
      </c>
      <c r="X10" s="337">
        <v>0.2</v>
      </c>
      <c r="Y10" s="337">
        <v>3.4000000000000002E-2</v>
      </c>
    </row>
    <row r="11" spans="1:25">
      <c r="A11" s="897" t="s">
        <v>196</v>
      </c>
      <c r="B11" s="161" t="str">
        <f>Begriffe!F262</f>
        <v>Holzschnitzel</v>
      </c>
      <c r="C11" s="112"/>
      <c r="D11" s="135"/>
      <c r="E11" s="136"/>
      <c r="F11" s="135"/>
      <c r="G11" s="136"/>
      <c r="H11" s="135"/>
      <c r="I11" s="136"/>
      <c r="J11" s="135"/>
      <c r="K11" s="136"/>
      <c r="L11" s="135"/>
      <c r="M11" s="136"/>
      <c r="N11" s="298"/>
      <c r="O11" s="136"/>
      <c r="P11" s="113">
        <f>SUMIF(Erzeugung!$R$16:$R$18,$B11,Erzeugung!$P$16:$P$18)</f>
        <v>0</v>
      </c>
      <c r="Q11" s="107">
        <f>SUMIF(Erzeugung!$R$16:$R$18,$B11,Erzeugung!$Q$16:$Q$18)</f>
        <v>0</v>
      </c>
      <c r="R11" s="113">
        <f>SUMIF(Erzeugung!$R$25:$R$27,$B11,Erzeugung!$P$25:$P$27)</f>
        <v>0</v>
      </c>
      <c r="S11" s="107">
        <f>SUMIF(Erzeugung!$R$25:$R$27,$B11,Erzeugung!$Q$25:$Q$27)</f>
        <v>0</v>
      </c>
      <c r="T11" s="113">
        <f t="shared" si="1"/>
        <v>0</v>
      </c>
      <c r="U11" s="107">
        <f t="shared" si="0"/>
        <v>0</v>
      </c>
      <c r="W11" s="337">
        <v>0.7</v>
      </c>
      <c r="X11" s="337">
        <v>0.06</v>
      </c>
      <c r="Y11" s="337">
        <f>0.011*2</f>
        <v>2.1999999999999999E-2</v>
      </c>
    </row>
    <row r="12" spans="1:25">
      <c r="A12" s="897" t="s">
        <v>190</v>
      </c>
      <c r="B12" s="161" t="str">
        <f>Begriffe!F263</f>
        <v>Stückholz</v>
      </c>
      <c r="C12" s="114"/>
      <c r="D12" s="135"/>
      <c r="E12" s="136"/>
      <c r="F12" s="135"/>
      <c r="G12" s="136"/>
      <c r="H12" s="135"/>
      <c r="I12" s="136"/>
      <c r="J12" s="135"/>
      <c r="K12" s="136"/>
      <c r="L12" s="135"/>
      <c r="M12" s="136"/>
      <c r="N12" s="298"/>
      <c r="O12" s="136"/>
      <c r="P12" s="113">
        <f>SUMIF(Erzeugung!$R$16:$R$18,$B12,Erzeugung!$P$16:$P$18)</f>
        <v>0</v>
      </c>
      <c r="Q12" s="107">
        <f>SUMIF(Erzeugung!$R$16:$R$18,$B12,Erzeugung!$Q$16:$Q$18)</f>
        <v>0</v>
      </c>
      <c r="R12" s="113">
        <f>SUMIF(Erzeugung!$R$25:$R$27,$B12,Erzeugung!$P$25:$P$27)</f>
        <v>0</v>
      </c>
      <c r="S12" s="107">
        <f>SUMIF(Erzeugung!$R$25:$R$27,$B12,Erzeugung!$Q$25:$Q$27)</f>
        <v>0</v>
      </c>
      <c r="T12" s="113">
        <f t="shared" si="1"/>
        <v>0</v>
      </c>
      <c r="U12" s="107">
        <f t="shared" si="0"/>
        <v>0</v>
      </c>
      <c r="W12" s="337">
        <v>0.7</v>
      </c>
      <c r="X12" s="337">
        <v>0.05</v>
      </c>
      <c r="Y12" s="337">
        <f>0.011*2</f>
        <v>2.1999999999999999E-2</v>
      </c>
    </row>
    <row r="13" spans="1:25">
      <c r="A13" s="897" t="s">
        <v>191</v>
      </c>
      <c r="B13" s="161" t="str">
        <f>Begriffe!F264</f>
        <v>Biogas</v>
      </c>
      <c r="C13" s="112"/>
      <c r="D13" s="135"/>
      <c r="E13" s="136"/>
      <c r="F13" s="135"/>
      <c r="G13" s="136"/>
      <c r="H13" s="135"/>
      <c r="I13" s="136"/>
      <c r="J13" s="135"/>
      <c r="K13" s="136"/>
      <c r="L13" s="135"/>
      <c r="M13" s="136"/>
      <c r="N13" s="298"/>
      <c r="O13" s="136"/>
      <c r="P13" s="113">
        <f>SUMIF(Erzeugung!$R$16:$R$18,$B13,Erzeugung!$P$16:$P$18)</f>
        <v>0</v>
      </c>
      <c r="Q13" s="107">
        <f>SUMIF(Erzeugung!$R$16:$R$18,$B13,Erzeugung!$Q$16:$Q$18)</f>
        <v>0</v>
      </c>
      <c r="R13" s="113">
        <f>SUMIF(Erzeugung!$R$25:$R$27,$B13,Erzeugung!$P$25:$P$27)</f>
        <v>0</v>
      </c>
      <c r="S13" s="107">
        <f>SUMIF(Erzeugung!$R$25:$R$27,$B13,Erzeugung!$Q$25:$Q$27)</f>
        <v>0</v>
      </c>
      <c r="T13" s="113">
        <f t="shared" si="1"/>
        <v>0</v>
      </c>
      <c r="U13" s="107">
        <f t="shared" si="0"/>
        <v>0</v>
      </c>
      <c r="W13" s="337">
        <v>1</v>
      </c>
      <c r="X13" s="337">
        <v>0.31</v>
      </c>
      <c r="Y13" s="337">
        <v>0.13200000000000001</v>
      </c>
    </row>
    <row r="14" spans="1:25">
      <c r="A14" s="897" t="s">
        <v>192</v>
      </c>
      <c r="B14" s="161" t="str">
        <f>Begriffe!F265</f>
        <v>Fernwärme</v>
      </c>
      <c r="C14" s="112"/>
      <c r="D14" s="135"/>
      <c r="E14" s="136"/>
      <c r="F14" s="135"/>
      <c r="G14" s="136"/>
      <c r="H14" s="135"/>
      <c r="I14" s="136"/>
      <c r="J14" s="135"/>
      <c r="K14" s="136"/>
      <c r="L14" s="135"/>
      <c r="M14" s="136"/>
      <c r="N14" s="298"/>
      <c r="O14" s="136"/>
      <c r="P14" s="113">
        <f>SUMIF(Erzeugung!$R$16:$R$18,$B14,Erzeugung!$P$16:$P$18)</f>
        <v>0</v>
      </c>
      <c r="Q14" s="107">
        <f>SUMIF(Erzeugung!$R$16:$R$18,$B14,Erzeugung!$Q$16:$Q$18)</f>
        <v>0</v>
      </c>
      <c r="R14" s="113">
        <f>SUMIF(Erzeugung!$R$25:$R$27,$B14,Erzeugung!$P$25:$P$27)</f>
        <v>0</v>
      </c>
      <c r="S14" s="107">
        <f>SUMIF(Erzeugung!$R$25:$R$27,$B14,Erzeugung!$Q$25:$Q$27)</f>
        <v>0</v>
      </c>
      <c r="T14" s="113">
        <f t="shared" si="1"/>
        <v>0</v>
      </c>
      <c r="U14" s="107">
        <f t="shared" si="0"/>
        <v>0</v>
      </c>
      <c r="W14" s="337">
        <v>0.6</v>
      </c>
      <c r="X14" s="337">
        <v>0.55000000000000004</v>
      </c>
      <c r="Y14" s="337">
        <v>0.1</v>
      </c>
    </row>
    <row r="15" spans="1:25">
      <c r="A15" s="137"/>
      <c r="B15" s="162" t="s">
        <v>146</v>
      </c>
      <c r="C15" s="138"/>
      <c r="D15" s="139"/>
      <c r="E15" s="133"/>
      <c r="F15" s="139"/>
      <c r="G15" s="133"/>
      <c r="H15" s="139"/>
      <c r="I15" s="133"/>
      <c r="J15" s="139"/>
      <c r="K15" s="133"/>
      <c r="L15" s="139"/>
      <c r="M15" s="133"/>
      <c r="N15" s="139"/>
      <c r="O15" s="133"/>
      <c r="P15" s="140">
        <f t="shared" ref="P15:S15" si="2">SUM(P7:P14)</f>
        <v>77.603816025315027</v>
      </c>
      <c r="Q15" s="86">
        <f t="shared" si="2"/>
        <v>35.038331959096638</v>
      </c>
      <c r="R15" s="140">
        <f t="shared" si="2"/>
        <v>13.468842592592589</v>
      </c>
      <c r="S15" s="86">
        <f t="shared" si="2"/>
        <v>6.983664000000001</v>
      </c>
      <c r="T15" s="140">
        <f>SUM(T7:T14)</f>
        <v>279.63806320742424</v>
      </c>
      <c r="U15" s="86">
        <f>SUM(U7:U14)</f>
        <v>347.8938563780647</v>
      </c>
      <c r="W15" s="338"/>
      <c r="X15" s="338"/>
      <c r="Y15" s="338"/>
    </row>
    <row r="16" spans="1:25">
      <c r="A16" s="2"/>
      <c r="B16" s="1"/>
      <c r="F16" s="4"/>
      <c r="G16" s="4"/>
      <c r="H16" s="4"/>
      <c r="I16" s="4"/>
      <c r="J16" s="43"/>
      <c r="K16" s="4"/>
      <c r="L16" s="4"/>
      <c r="M16" s="4"/>
      <c r="N16" s="4"/>
      <c r="O16" s="4"/>
      <c r="P16" s="4"/>
      <c r="Q16" s="4"/>
      <c r="R16" s="4"/>
      <c r="S16" s="4"/>
      <c r="T16" s="4"/>
    </row>
    <row r="17" spans="1:21">
      <c r="A17" s="2"/>
      <c r="B17" s="1"/>
      <c r="F17" s="4"/>
      <c r="G17" s="4"/>
      <c r="H17" s="4"/>
      <c r="I17" s="4"/>
      <c r="J17" s="43"/>
      <c r="K17" s="4"/>
      <c r="L17" s="4"/>
      <c r="M17" s="4"/>
      <c r="N17" s="4"/>
      <c r="O17" s="4"/>
      <c r="P17" s="4"/>
      <c r="Q17" s="4"/>
      <c r="R17" s="4"/>
      <c r="S17" s="4"/>
      <c r="T17" s="4"/>
    </row>
    <row r="18" spans="1:21">
      <c r="A18" s="127" t="str">
        <f>Begriffe!F254</f>
        <v>Gewichtete Energie</v>
      </c>
      <c r="B18" s="141"/>
      <c r="C18" s="141"/>
      <c r="D18" s="1051" t="str">
        <f>Begriffe!F240</f>
        <v>Allg. Gebäudetechnik</v>
      </c>
      <c r="E18" s="1050"/>
      <c r="F18" s="1045" t="str">
        <f>Begriffe!F69</f>
        <v>Geräte</v>
      </c>
      <c r="G18" s="1046"/>
      <c r="H18" s="1045" t="str">
        <f>Begriffe!F241</f>
        <v>Prozessanlagen</v>
      </c>
      <c r="I18" s="1046"/>
      <c r="J18" s="1045" t="str">
        <f>Begriffe!F71</f>
        <v>Beleuchtung</v>
      </c>
      <c r="K18" s="1046"/>
      <c r="L18" s="1045" t="str">
        <f>Begriffe!F72</f>
        <v>Lüftung</v>
      </c>
      <c r="M18" s="1046"/>
      <c r="N18" s="1045" t="str">
        <f>Begriffe!F73</f>
        <v>Raumkühlung</v>
      </c>
      <c r="O18" s="1046"/>
      <c r="P18" s="1045" t="str">
        <f>Begriffe!F74</f>
        <v>Raumheizung</v>
      </c>
      <c r="Q18" s="1046"/>
      <c r="R18" s="1045" t="str">
        <f>Begriffe!F75</f>
        <v>Warmwasser</v>
      </c>
      <c r="S18" s="1046"/>
      <c r="T18" s="1047" t="str">
        <f>Begriffe!F83</f>
        <v>Total</v>
      </c>
      <c r="U18" s="1048"/>
    </row>
    <row r="19" spans="1:21">
      <c r="A19" s="142"/>
      <c r="B19" s="20"/>
      <c r="C19" s="20"/>
      <c r="D19" s="144"/>
      <c r="E19" s="145"/>
      <c r="F19" s="144"/>
      <c r="G19" s="145"/>
      <c r="H19" s="144"/>
      <c r="I19" s="145"/>
      <c r="J19" s="144"/>
      <c r="K19" s="145"/>
      <c r="L19" s="144"/>
      <c r="M19" s="145"/>
      <c r="N19" s="144"/>
      <c r="O19" s="145"/>
      <c r="P19" s="144"/>
      <c r="Q19" s="145"/>
      <c r="R19" s="144"/>
      <c r="S19" s="145"/>
      <c r="T19" s="326"/>
      <c r="U19" s="327"/>
    </row>
    <row r="20" spans="1:21" ht="14.15">
      <c r="A20" s="146"/>
      <c r="B20" s="21"/>
      <c r="C20" s="21"/>
      <c r="D20" s="150" t="s">
        <v>216</v>
      </c>
      <c r="E20" s="62" t="s">
        <v>115</v>
      </c>
      <c r="F20" s="150" t="s">
        <v>216</v>
      </c>
      <c r="G20" s="62" t="s">
        <v>115</v>
      </c>
      <c r="H20" s="150" t="s">
        <v>216</v>
      </c>
      <c r="I20" s="62" t="s">
        <v>115</v>
      </c>
      <c r="J20" s="150" t="s">
        <v>216</v>
      </c>
      <c r="K20" s="62" t="s">
        <v>115</v>
      </c>
      <c r="L20" s="150" t="s">
        <v>216</v>
      </c>
      <c r="M20" s="62" t="s">
        <v>115</v>
      </c>
      <c r="N20" s="150" t="s">
        <v>216</v>
      </c>
      <c r="O20" s="62" t="s">
        <v>115</v>
      </c>
      <c r="P20" s="150" t="s">
        <v>216</v>
      </c>
      <c r="Q20" s="62" t="s">
        <v>115</v>
      </c>
      <c r="R20" s="150" t="s">
        <v>216</v>
      </c>
      <c r="S20" s="62" t="s">
        <v>115</v>
      </c>
      <c r="T20" s="150" t="s">
        <v>216</v>
      </c>
      <c r="U20" s="62" t="s">
        <v>115</v>
      </c>
    </row>
    <row r="21" spans="1:21" ht="13.75">
      <c r="A21" s="90" t="s">
        <v>655</v>
      </c>
      <c r="B21" s="151" t="str">
        <f>Begriffe!F230</f>
        <v>Nationale Energie-Kennzahl</v>
      </c>
      <c r="C21" s="159"/>
      <c r="D21" s="113">
        <f>E21*1000/Gebäude!$D$39</f>
        <v>16.782616707616704</v>
      </c>
      <c r="E21" s="107" cm="1">
        <f t="array" ref="E21">SUMPRODUCT(E$7:E$17*W7:W17)</f>
        <v>109.2884</v>
      </c>
      <c r="F21" s="113">
        <f>G21*1000/Gebäude!$D$39</f>
        <v>39.829883292383286</v>
      </c>
      <c r="G21" s="107" cm="1">
        <f t="array" ref="G21">SUMPRODUCT(G$7:G$17*W7:W17)</f>
        <v>259.37220000000002</v>
      </c>
      <c r="H21" s="113">
        <f>I21*1000/Gebäude!$D$39</f>
        <v>0.44888974201474197</v>
      </c>
      <c r="I21" s="107" cm="1">
        <f t="array" ref="I21">SUMPRODUCT(I$7:I$17*Y7:Y17)</f>
        <v>2.9231700000000003</v>
      </c>
      <c r="J21" s="113">
        <f>K21*1000/Gebäude!$D$39</f>
        <v>18.397420074576324</v>
      </c>
      <c r="K21" s="107" cm="1">
        <f t="array" ref="K21">SUMPRODUCT(K$7:K$17*$W7:$W17)</f>
        <v>119.80399952564103</v>
      </c>
      <c r="L21" s="113">
        <f>M21*1000/Gebäude!$D$39</f>
        <v>9.9764709839709855</v>
      </c>
      <c r="M21" s="107" cm="1">
        <f t="array" ref="M21">SUMPRODUCT(M$7:M$17*$W7:$W17)</f>
        <v>64.96677904761907</v>
      </c>
      <c r="N21" s="297">
        <f>O21*1000/Gebäude!$D$39</f>
        <v>2.4957528047721227</v>
      </c>
      <c r="O21" s="107" cm="1">
        <f t="array" ref="O21">SUMPRODUCT(O$7:O$17*$W7:$W17)</f>
        <v>16.252342264676066</v>
      </c>
      <c r="P21" s="113">
        <f>Q21*1000/Gebäude!$D$39</f>
        <v>6.1260811738377923</v>
      </c>
      <c r="Q21" s="107" cm="1">
        <f t="array" ref="Q21">SUMPRODUCT(Q$7:Q$17*$W7:$W17)</f>
        <v>39.893040604031711</v>
      </c>
      <c r="R21" s="113">
        <f>S21*1000/Gebäude!$D$39</f>
        <v>1.2745179361179362</v>
      </c>
      <c r="S21" s="107" cm="1">
        <f t="array" ref="S21">SUMPRODUCT(S$7:S$17*$W7:$W17)</f>
        <v>8.2996608000000016</v>
      </c>
      <c r="T21" s="86">
        <f>D21+F21+H21+J21+L21+N21+P21+R21</f>
        <v>95.331632715289885</v>
      </c>
      <c r="U21" s="86">
        <f>E21+G21+I21+K21+M21+O21+Q21+S21</f>
        <v>620.79959224196796</v>
      </c>
    </row>
    <row r="22" spans="1:21" ht="13.75">
      <c r="A22" s="90" t="s">
        <v>656</v>
      </c>
      <c r="B22" s="151" t="str">
        <f>Begriffe!F231</f>
        <v>Primärenergie nicht erneuerbar</v>
      </c>
      <c r="C22" s="160"/>
      <c r="D22" s="113">
        <f>E22*1000/Gebäude!$D$39</f>
        <v>22.572619471744467</v>
      </c>
      <c r="E22" s="107">
        <f>SUMPRODUCT(E$7:E$17*$X7:$X17)</f>
        <v>146.992898</v>
      </c>
      <c r="F22" s="113">
        <f>G22*1000/Gebäude!$D$39</f>
        <v>22.572619471744467</v>
      </c>
      <c r="G22" s="107">
        <f>SUMPRODUCT(E$7:E$17*$X7:$X17)</f>
        <v>146.992898</v>
      </c>
      <c r="H22" s="113">
        <f>I22*1000/Gebäude!$D$39</f>
        <v>8.6871468058968055</v>
      </c>
      <c r="I22" s="107">
        <f>SUMPRODUCT(I$7:I$17*$X7:$X17)</f>
        <v>56.570700000000002</v>
      </c>
      <c r="J22" s="113">
        <f>K22*1000/Gebäude!$D$39</f>
        <v>24.744530000305158</v>
      </c>
      <c r="K22" s="107">
        <f>SUMPRODUCT(K$7:K$17*$X7:$X17)</f>
        <v>161.1363793619872</v>
      </c>
      <c r="L22" s="113">
        <f>M22*1000/Gebäude!$D$39</f>
        <v>13.418353473440975</v>
      </c>
      <c r="M22" s="107">
        <f>SUMPRODUCT(M$7:M$17*$X7:$X17)</f>
        <v>87.380317819047647</v>
      </c>
      <c r="N22" s="297">
        <f>O22*1000/Gebäude!$D$39</f>
        <v>3.3567875224185046</v>
      </c>
      <c r="O22" s="107">
        <f>SUMPRODUCT(O$7:O$17*$X7:$X17)</f>
        <v>21.859400345989307</v>
      </c>
      <c r="P22" s="113">
        <f>Q22*1000/Gebäude!$D$39</f>
        <v>5.5958024013299283</v>
      </c>
      <c r="Q22" s="107">
        <f>SUMPRODUCT(Q$7:Q$17*$X7:$X17)</f>
        <v>36.439865237460502</v>
      </c>
      <c r="R22" s="113">
        <f>S22*1000/Gebäude!$D$39</f>
        <v>1.2177969287469288</v>
      </c>
      <c r="S22" s="107">
        <f>SUMPRODUCT(S$7:S$17*$X7:$X17)</f>
        <v>7.9302936000000015</v>
      </c>
      <c r="T22" s="86">
        <f>D22+F22+H22+J22+L22+N22+P22+R22</f>
        <v>102.16565607562724</v>
      </c>
      <c r="U22" s="86">
        <f>E22+G22+I22+K22+M22+O22+Q22+S22</f>
        <v>665.3027523644846</v>
      </c>
    </row>
    <row r="23" spans="1:21">
      <c r="A23" s="898"/>
      <c r="B23" s="21"/>
      <c r="C23" s="21"/>
      <c r="D23" s="59"/>
      <c r="E23" s="105"/>
      <c r="F23" s="59"/>
      <c r="G23" s="105"/>
      <c r="H23" s="59"/>
      <c r="I23" s="105"/>
      <c r="J23" s="59"/>
      <c r="K23" s="105"/>
      <c r="L23" s="59"/>
      <c r="M23" s="105"/>
      <c r="N23" s="103"/>
      <c r="O23" s="105"/>
      <c r="P23" s="59"/>
      <c r="Q23" s="105"/>
      <c r="R23" s="59"/>
      <c r="S23" s="105"/>
      <c r="T23" s="148"/>
      <c r="U23" s="149"/>
    </row>
    <row r="24" spans="1:21" ht="14.15">
      <c r="A24" s="898"/>
      <c r="B24" s="21"/>
      <c r="C24" s="21"/>
      <c r="D24" s="103" t="s">
        <v>221</v>
      </c>
      <c r="E24" s="106" t="s">
        <v>185</v>
      </c>
      <c r="F24" s="103" t="s">
        <v>221</v>
      </c>
      <c r="G24" s="106" t="s">
        <v>185</v>
      </c>
      <c r="H24" s="103" t="s">
        <v>221</v>
      </c>
      <c r="I24" s="106" t="s">
        <v>185</v>
      </c>
      <c r="J24" s="103" t="s">
        <v>221</v>
      </c>
      <c r="K24" s="106" t="s">
        <v>185</v>
      </c>
      <c r="L24" s="103" t="s">
        <v>221</v>
      </c>
      <c r="M24" s="106" t="s">
        <v>185</v>
      </c>
      <c r="N24" s="103" t="s">
        <v>221</v>
      </c>
      <c r="O24" s="106" t="s">
        <v>185</v>
      </c>
      <c r="P24" s="103" t="s">
        <v>221</v>
      </c>
      <c r="Q24" s="106" t="s">
        <v>185</v>
      </c>
      <c r="R24" s="103" t="s">
        <v>221</v>
      </c>
      <c r="S24" s="106" t="s">
        <v>185</v>
      </c>
      <c r="T24" s="103" t="s">
        <v>221</v>
      </c>
      <c r="U24" s="106" t="s">
        <v>185</v>
      </c>
    </row>
    <row r="25" spans="1:21" ht="13.75">
      <c r="A25" s="90" t="s">
        <v>657</v>
      </c>
      <c r="B25" s="147" t="str">
        <f>Begriffe!F232</f>
        <v>Treibhausgasemissionen</v>
      </c>
      <c r="C25" s="160"/>
      <c r="D25" s="115">
        <f>E25*1000/Gebäude!$D$39</f>
        <v>1.1663918611793611</v>
      </c>
      <c r="E25" s="101" cm="1">
        <f t="array" ref="E25">SUMPRODUCT(E$7:E$17*$Y7:$Y17)</f>
        <v>7.5955438000000006</v>
      </c>
      <c r="F25" s="115">
        <f>G25*1000/Gebäude!$D$39</f>
        <v>2.7681768888206393</v>
      </c>
      <c r="G25" s="101" cm="1">
        <f t="array" ref="G25">SUMPRODUCT(G$7:G$17*$Y7:$Y17)</f>
        <v>18.026367900000004</v>
      </c>
      <c r="H25" s="115">
        <f>I25*1000/Gebäude!$D$39</f>
        <v>0.44888974201474197</v>
      </c>
      <c r="I25" s="101" cm="1">
        <f t="array" ref="I25">SUMPRODUCT(I$7:I$17*$Y7:$Y17)</f>
        <v>2.9231700000000003</v>
      </c>
      <c r="J25" s="115">
        <f>K25*1000/Gebäude!$D$39</f>
        <v>1.2786206951830543</v>
      </c>
      <c r="K25" s="101" cm="1">
        <f t="array" ref="K25">SUMPRODUCT(K$7:K$17*$Y7:$Y17)</f>
        <v>8.3263779670320517</v>
      </c>
      <c r="L25" s="115">
        <f>M25*1000/Gebäude!$D$39</f>
        <v>0.69336473338598359</v>
      </c>
      <c r="M25" s="101" cm="1">
        <f t="array" ref="M25">SUMPRODUCT(M$7:M$17*$Y7:$Y17)</f>
        <v>4.5151911438095258</v>
      </c>
      <c r="N25" s="96">
        <f>O25*1000/Gebäude!$D$39</f>
        <v>0.17345481993166256</v>
      </c>
      <c r="O25" s="101" cm="1">
        <f t="array" ref="O25">SUMPRODUCT(O$7:O$17*$Y7:$Y17)</f>
        <v>1.1295377873949868</v>
      </c>
      <c r="P25" s="115">
        <f>Q25*1000/Gebäude!$D$39</f>
        <v>0.373528885964586</v>
      </c>
      <c r="Q25" s="101" cm="1">
        <f t="array" ref="Q25">SUMPRODUCT(Q$7:Q$17*$Y7:$Y17)</f>
        <v>2.4324201054013841</v>
      </c>
      <c r="R25" s="115">
        <f>S25*1000/Gebäude!$D$39</f>
        <v>7.8770911547911562E-2</v>
      </c>
      <c r="S25" s="101" cm="1">
        <f t="array" ref="S25">SUMPRODUCT(S$7:S$17*$Y7:$Y17)</f>
        <v>0.5129561760000001</v>
      </c>
      <c r="T25" s="86">
        <f>D25+F25+H25+J25+L25+N25+P25+R25</f>
        <v>6.9811985380279413</v>
      </c>
      <c r="U25" s="86">
        <f>E25+G25+I25+K25+M25+O25+Q25+S25</f>
        <v>45.461564879637955</v>
      </c>
    </row>
    <row r="26" spans="1:21">
      <c r="A26" s="2"/>
      <c r="F26" s="4"/>
      <c r="G26" s="4"/>
      <c r="H26" s="4"/>
      <c r="I26" s="4"/>
      <c r="J26" s="43"/>
      <c r="K26" s="4"/>
      <c r="L26" s="4"/>
      <c r="M26" s="4"/>
      <c r="N26" s="4"/>
      <c r="O26" s="4"/>
      <c r="P26" s="4"/>
      <c r="Q26" s="4"/>
      <c r="R26" s="4"/>
      <c r="S26" s="4"/>
      <c r="T26" s="4"/>
      <c r="U26" s="4"/>
    </row>
    <row r="27" spans="1:21">
      <c r="A27" s="2"/>
      <c r="F27" s="4"/>
      <c r="G27" s="4"/>
      <c r="H27" s="4"/>
      <c r="I27" s="4"/>
      <c r="J27" s="43"/>
      <c r="K27" s="4"/>
      <c r="L27" s="4"/>
      <c r="M27" s="4"/>
      <c r="N27" s="4"/>
      <c r="O27" s="4"/>
      <c r="P27" s="4"/>
      <c r="Q27" s="4"/>
      <c r="R27" s="4"/>
      <c r="S27" s="4"/>
      <c r="T27" s="4"/>
      <c r="U27" s="4"/>
    </row>
    <row r="28" spans="1:21">
      <c r="A28" s="153" t="str">
        <f>Begriffe!F255</f>
        <v>Energiebilanz pro Verwendungszweck</v>
      </c>
      <c r="B28" s="154"/>
      <c r="C28" s="154"/>
      <c r="D28" s="154"/>
      <c r="E28" s="154"/>
      <c r="F28" s="155"/>
      <c r="G28" s="155"/>
      <c r="H28" s="155"/>
      <c r="I28" s="155"/>
      <c r="J28" s="296"/>
      <c r="K28" s="155"/>
      <c r="L28" s="155"/>
      <c r="M28" s="155"/>
      <c r="N28" s="155"/>
      <c r="O28" s="155"/>
      <c r="P28" s="155"/>
      <c r="Q28" s="155"/>
      <c r="R28" s="155"/>
      <c r="S28" s="240" t="str">
        <f>Begriffe!F256</f>
        <v>Anteil der Raumnutzflächen</v>
      </c>
      <c r="T28" s="155"/>
      <c r="U28" s="155"/>
    </row>
    <row r="29" spans="1:21">
      <c r="A29" s="156"/>
      <c r="B29" s="157"/>
      <c r="C29" s="157"/>
      <c r="D29" s="157"/>
      <c r="E29" s="157"/>
      <c r="F29" s="158"/>
      <c r="G29" s="158"/>
      <c r="H29" s="158"/>
      <c r="I29" s="158"/>
      <c r="J29" s="19"/>
      <c r="K29" s="158"/>
      <c r="L29" s="158"/>
      <c r="M29" s="158"/>
      <c r="N29" s="158"/>
      <c r="O29" s="158"/>
      <c r="P29" s="158"/>
      <c r="Q29" s="158"/>
      <c r="R29" s="4"/>
      <c r="S29" s="4"/>
      <c r="T29" s="4"/>
      <c r="U29" s="4"/>
    </row>
    <row r="30" spans="1:21" ht="14.15">
      <c r="A30" s="2"/>
      <c r="B30" s="12" t="str">
        <f>Begriffe!F235</f>
        <v>Thermische Nutzenergie</v>
      </c>
      <c r="C30" s="41" t="s">
        <v>216</v>
      </c>
      <c r="F30" s="4"/>
      <c r="G30" s="4"/>
      <c r="H30" s="4"/>
      <c r="I30" s="4"/>
      <c r="J30" s="43"/>
      <c r="K30" s="4"/>
      <c r="L30" s="4"/>
      <c r="M30" s="4"/>
      <c r="N30" s="4"/>
      <c r="O30" s="4"/>
      <c r="P30" s="4"/>
      <c r="Q30" s="4"/>
      <c r="R30" s="4"/>
      <c r="S30" s="4"/>
      <c r="T30" s="4"/>
      <c r="U30" s="4"/>
    </row>
    <row r="31" spans="1:21">
      <c r="A31" s="2"/>
      <c r="B31" s="1" t="str">
        <f>Begriffe!F73</f>
        <v>Raumkühlung</v>
      </c>
      <c r="C31" s="266">
        <f>Gebäude!R35*1000/Gebäude!D39</f>
        <v>9.3991798107955749</v>
      </c>
      <c r="F31" s="4"/>
      <c r="G31" s="4"/>
      <c r="H31" s="4"/>
      <c r="I31" s="4"/>
      <c r="J31" s="43"/>
      <c r="K31" s="4"/>
      <c r="L31" s="4"/>
      <c r="M31" s="4"/>
      <c r="N31" s="4"/>
      <c r="O31" s="4"/>
      <c r="P31" s="4"/>
      <c r="Q31" s="4"/>
      <c r="R31" s="4"/>
      <c r="S31" s="4"/>
      <c r="T31" s="4"/>
      <c r="U31" s="4"/>
    </row>
    <row r="32" spans="1:21">
      <c r="A32" s="2"/>
      <c r="B32" s="33" t="str">
        <f>Begriffe!F137</f>
        <v>Luftkühlung</v>
      </c>
      <c r="C32" s="863">
        <f>Lüftung!R23*1000/Gebäude!D39</f>
        <v>0.32453241558931978</v>
      </c>
      <c r="F32" s="4"/>
      <c r="G32" s="4"/>
      <c r="H32" s="4"/>
      <c r="I32" s="4"/>
      <c r="J32" s="43"/>
      <c r="K32" s="4"/>
      <c r="L32" s="4"/>
      <c r="M32" s="4"/>
      <c r="N32" s="4"/>
      <c r="O32" s="4"/>
      <c r="P32" s="4"/>
      <c r="Q32" s="4"/>
      <c r="R32" s="4"/>
      <c r="S32" s="4"/>
      <c r="T32" s="4"/>
      <c r="U32" s="4"/>
    </row>
    <row r="33" spans="1:21">
      <c r="A33" s="2"/>
      <c r="B33" s="33" t="str">
        <f>Begriffe!F74</f>
        <v>Raumheizung</v>
      </c>
      <c r="C33" s="266">
        <f>Gebäude!U35*1000/Gebäude!D39</f>
        <v>10.570318041509172</v>
      </c>
      <c r="F33" s="4"/>
      <c r="G33" s="4"/>
      <c r="H33" s="4"/>
      <c r="I33" s="4"/>
      <c r="J33" s="43"/>
      <c r="K33" s="4"/>
      <c r="L33" s="4"/>
      <c r="M33" s="4"/>
      <c r="N33" s="4"/>
      <c r="O33" s="4"/>
      <c r="P33" s="4"/>
      <c r="Q33" s="4"/>
      <c r="R33" s="4"/>
      <c r="S33" s="4"/>
      <c r="T33" s="4"/>
      <c r="U33" s="4"/>
    </row>
    <row r="34" spans="1:21">
      <c r="A34" s="2"/>
      <c r="B34" s="33" t="str">
        <f>Begriffe!F138</f>
        <v>Lufterwärmung</v>
      </c>
      <c r="C34" s="266">
        <f>Lüftung!T23*1000/Gebäude!D39</f>
        <v>0.77427672485711052</v>
      </c>
      <c r="F34" s="4"/>
      <c r="G34" s="4"/>
      <c r="H34" s="4"/>
      <c r="I34" s="4"/>
      <c r="J34" s="43"/>
      <c r="K34" s="4"/>
      <c r="L34" s="4"/>
      <c r="M34" s="4"/>
      <c r="N34" s="4"/>
      <c r="O34" s="4"/>
      <c r="P34" s="4"/>
      <c r="Q34" s="4"/>
      <c r="R34" s="4"/>
      <c r="S34" s="4"/>
      <c r="T34" s="4"/>
      <c r="U34" s="4"/>
    </row>
    <row r="35" spans="1:21">
      <c r="A35" s="2"/>
      <c r="B35" s="1" t="str">
        <f>Begriffe!F75</f>
        <v>Warmwasser</v>
      </c>
      <c r="C35" s="266">
        <f>Gebäude!W35*1000/Gebäude!D39</f>
        <v>1.5541821691821693</v>
      </c>
      <c r="F35" s="4"/>
      <c r="G35" s="4"/>
      <c r="H35" s="4"/>
      <c r="I35" s="4"/>
      <c r="J35" s="43"/>
      <c r="K35" s="4"/>
      <c r="L35" s="4"/>
      <c r="M35" s="4"/>
      <c r="N35" s="4"/>
      <c r="O35" s="4"/>
      <c r="P35" s="4"/>
      <c r="Q35" s="4"/>
      <c r="R35" s="4"/>
      <c r="S35" s="4"/>
      <c r="T35" s="4"/>
      <c r="U35" s="4"/>
    </row>
    <row r="36" spans="1:21">
      <c r="A36" s="2"/>
      <c r="F36" s="4"/>
      <c r="G36" s="4"/>
      <c r="H36" s="4"/>
      <c r="I36" s="4"/>
      <c r="J36" s="43"/>
      <c r="K36" s="4"/>
      <c r="L36" s="4"/>
      <c r="M36" s="4"/>
      <c r="N36" s="4"/>
      <c r="O36" s="4"/>
      <c r="P36" s="4"/>
      <c r="Q36" s="4"/>
      <c r="R36" s="4"/>
      <c r="S36" s="4"/>
      <c r="T36" s="4"/>
      <c r="U36" s="4"/>
    </row>
    <row r="37" spans="1:21">
      <c r="A37" s="2"/>
      <c r="B37" s="322" t="str">
        <f>Begriffe!F155</f>
        <v>Erwärmung Befeuchtung</v>
      </c>
      <c r="C37" s="864">
        <f>Lüftung!V23*1000/Gebäude!D39</f>
        <v>0</v>
      </c>
      <c r="F37" s="4"/>
      <c r="G37" s="4"/>
      <c r="H37" s="4"/>
      <c r="I37" s="4"/>
      <c r="J37" s="43"/>
      <c r="K37" s="4"/>
      <c r="L37" s="4"/>
      <c r="M37" s="4"/>
      <c r="N37" s="4"/>
      <c r="O37" s="4"/>
      <c r="P37" s="4"/>
      <c r="Q37" s="4"/>
      <c r="R37" s="4"/>
      <c r="S37" s="4"/>
      <c r="T37" s="4"/>
      <c r="U37" s="4"/>
    </row>
    <row r="38" spans="1:21">
      <c r="A38" s="2"/>
      <c r="B38" s="322" t="str">
        <f>Begriffe!F157</f>
        <v>Kühlung Entfeuchtung</v>
      </c>
      <c r="C38" s="864">
        <f>Lüftung!X23*1000/Gebäude!D39</f>
        <v>0</v>
      </c>
      <c r="F38" s="4"/>
      <c r="G38" s="4"/>
      <c r="H38" s="4"/>
      <c r="I38" s="4"/>
      <c r="J38" s="43"/>
      <c r="K38" s="4"/>
      <c r="L38" s="4"/>
      <c r="M38" s="4"/>
      <c r="N38" s="4"/>
      <c r="O38" s="4"/>
      <c r="P38" s="4"/>
      <c r="Q38" s="4"/>
      <c r="R38" s="4"/>
      <c r="S38" s="4"/>
      <c r="T38" s="4"/>
      <c r="U38" s="4"/>
    </row>
    <row r="39" spans="1:21" ht="14.15">
      <c r="A39" s="2"/>
      <c r="B39" s="12" t="str">
        <f>Begriffe!F234</f>
        <v>Elektrische Energie</v>
      </c>
      <c r="C39" s="41" t="s">
        <v>216</v>
      </c>
      <c r="F39" s="4"/>
      <c r="G39" s="4"/>
      <c r="H39" s="4"/>
      <c r="I39" s="4"/>
      <c r="J39" s="43"/>
      <c r="K39" s="4"/>
      <c r="L39" s="4"/>
      <c r="M39" s="4"/>
      <c r="N39" s="4"/>
      <c r="O39" s="4"/>
      <c r="P39" s="4"/>
      <c r="Q39" s="4"/>
      <c r="R39" s="4"/>
      <c r="S39" s="4"/>
      <c r="T39" s="4"/>
      <c r="U39" s="4"/>
    </row>
    <row r="40" spans="1:21">
      <c r="A40" s="2"/>
      <c r="B40" s="33" t="str">
        <f>Begriffe!F240</f>
        <v>Allg. Gebäudetechnik</v>
      </c>
      <c r="C40" s="267">
        <f>E7*1000/Gebäude!D39</f>
        <v>8.3913083538083519</v>
      </c>
      <c r="F40" s="4"/>
      <c r="G40" s="4"/>
      <c r="H40" s="4"/>
      <c r="I40" s="4"/>
      <c r="J40" s="43"/>
      <c r="K40" s="4"/>
      <c r="L40" s="4"/>
      <c r="M40" s="4"/>
      <c r="N40" s="4"/>
      <c r="O40" s="4"/>
      <c r="P40" s="4"/>
      <c r="Q40" s="4"/>
      <c r="R40" s="4"/>
      <c r="S40" s="4"/>
      <c r="T40" s="4"/>
      <c r="U40" s="4"/>
    </row>
    <row r="41" spans="1:21">
      <c r="A41" s="2"/>
      <c r="B41" s="33" t="str">
        <f>Begriffe!F69</f>
        <v>Geräte</v>
      </c>
      <c r="C41" s="267">
        <f>G7*1000/Gebäude!D39</f>
        <v>19.914941646191643</v>
      </c>
      <c r="F41" s="4"/>
      <c r="G41" s="4"/>
      <c r="H41" s="4"/>
      <c r="I41" s="4"/>
      <c r="J41" s="43"/>
      <c r="K41" s="4"/>
      <c r="L41" s="4"/>
      <c r="M41" s="4"/>
      <c r="N41" s="4"/>
      <c r="O41" s="4"/>
      <c r="P41" s="4"/>
      <c r="Q41" s="4"/>
      <c r="R41" s="4"/>
      <c r="S41" s="4"/>
      <c r="T41" s="4"/>
      <c r="U41" s="4"/>
    </row>
    <row r="42" spans="1:21">
      <c r="A42" s="2"/>
      <c r="B42" s="33" t="str">
        <f>Begriffe!F241</f>
        <v>Prozessanlagen</v>
      </c>
      <c r="C42" s="267">
        <f>I7*1000/Gebäude!D39</f>
        <v>3.229422604422604</v>
      </c>
      <c r="F42" s="4"/>
      <c r="G42" s="4"/>
      <c r="H42" s="4"/>
      <c r="I42" s="4"/>
      <c r="J42" s="43"/>
      <c r="K42" s="4"/>
      <c r="L42" s="4"/>
      <c r="M42" s="4"/>
      <c r="N42" s="4"/>
      <c r="O42" s="4"/>
      <c r="P42" s="4"/>
      <c r="Q42" s="4"/>
      <c r="R42" s="4"/>
      <c r="S42" s="4"/>
      <c r="T42" s="4"/>
      <c r="U42" s="4"/>
    </row>
    <row r="43" spans="1:21">
      <c r="A43" s="2"/>
      <c r="B43" t="str">
        <f>Begriffe!F71</f>
        <v>Beleuchtung</v>
      </c>
      <c r="C43" s="267">
        <f>K7*1000/Gebäude!D39</f>
        <v>9.1987100372881621</v>
      </c>
      <c r="F43" s="4"/>
      <c r="G43" s="4"/>
      <c r="H43" s="4"/>
      <c r="I43" s="4"/>
      <c r="J43" s="43"/>
      <c r="K43" s="4"/>
      <c r="L43" s="4"/>
      <c r="M43" s="4"/>
      <c r="N43" s="4"/>
      <c r="O43" s="4"/>
      <c r="P43" s="4"/>
      <c r="Q43" s="4"/>
      <c r="R43" s="4"/>
      <c r="S43" s="4"/>
      <c r="T43" s="4"/>
      <c r="U43" s="4"/>
    </row>
    <row r="44" spans="1:21">
      <c r="A44" s="2"/>
      <c r="B44" t="str">
        <f>Begriffe!F72</f>
        <v>Lüftung</v>
      </c>
      <c r="C44" s="267">
        <f>M7*1000/Gebäude!D$39</f>
        <v>4.9882354919854928</v>
      </c>
      <c r="F44" s="4"/>
      <c r="G44" s="4"/>
      <c r="H44" s="4"/>
      <c r="I44" s="4"/>
      <c r="J44" s="43"/>
      <c r="K44" s="4"/>
      <c r="L44" s="4"/>
      <c r="M44" s="4"/>
      <c r="N44" s="4"/>
      <c r="O44" s="4"/>
      <c r="P44" s="4"/>
      <c r="Q44" s="4"/>
      <c r="R44" s="4"/>
      <c r="S44" s="4"/>
      <c r="T44" s="4"/>
      <c r="U44" s="4"/>
    </row>
    <row r="45" spans="1:21">
      <c r="A45" s="2"/>
      <c r="B45" s="43" t="str">
        <f>Begriffe!F268</f>
        <v>Kühlung (Raum, Luft)</v>
      </c>
      <c r="C45" s="397">
        <f>O7*1000/Gebäude!D$39</f>
        <v>1.2478764023860613</v>
      </c>
      <c r="F45" s="4"/>
      <c r="G45" s="4"/>
      <c r="H45" s="4"/>
      <c r="I45" s="4"/>
      <c r="J45" s="43"/>
      <c r="K45" s="4"/>
      <c r="L45" s="4"/>
      <c r="M45" s="4"/>
      <c r="N45" s="4"/>
      <c r="O45" s="4"/>
      <c r="P45" s="4"/>
      <c r="Q45" s="4"/>
      <c r="R45" s="4"/>
      <c r="S45" s="4"/>
      <c r="T45" s="4"/>
      <c r="U45" s="4"/>
    </row>
    <row r="46" spans="1:21">
      <c r="A46" s="2"/>
      <c r="B46" s="43" t="str">
        <f>Begriffe!F270</f>
        <v>Heizung (Raum, Luft)</v>
      </c>
      <c r="C46" s="397">
        <f>Q7*1000/Gebäude!D$39</f>
        <v>1.8151351626186056</v>
      </c>
      <c r="F46" s="4"/>
      <c r="G46" s="4"/>
      <c r="H46" s="4"/>
      <c r="I46" s="4"/>
      <c r="J46" s="43"/>
      <c r="K46" s="4"/>
      <c r="L46" s="4"/>
      <c r="M46" s="4"/>
      <c r="N46" s="4"/>
      <c r="O46" s="4"/>
      <c r="P46" s="4"/>
      <c r="Q46" s="4"/>
      <c r="R46" s="4"/>
      <c r="S46" s="4"/>
      <c r="T46" s="4"/>
      <c r="U46" s="4"/>
    </row>
    <row r="47" spans="1:21">
      <c r="A47" s="2"/>
      <c r="B47" s="43" t="str">
        <f>Begriffe!F75</f>
        <v>Warmwasser</v>
      </c>
      <c r="C47" s="397">
        <f>S7*1000/Gebäude!D$39</f>
        <v>0.40293611793611794</v>
      </c>
      <c r="F47" s="4"/>
      <c r="G47" s="4"/>
      <c r="H47" s="4"/>
      <c r="I47" s="4"/>
      <c r="J47" s="43"/>
      <c r="K47" s="4"/>
      <c r="L47" s="4"/>
      <c r="M47" s="4"/>
      <c r="N47" s="4"/>
      <c r="O47" s="4"/>
      <c r="P47" s="4"/>
      <c r="Q47" s="4"/>
      <c r="R47" s="4"/>
      <c r="S47" s="4"/>
      <c r="T47" s="4"/>
      <c r="U47" s="4"/>
    </row>
    <row r="48" spans="1:21">
      <c r="A48" s="2"/>
      <c r="F48" s="4"/>
      <c r="G48" s="4"/>
      <c r="H48" s="4"/>
      <c r="I48" s="4"/>
      <c r="J48" s="43"/>
      <c r="K48" s="4"/>
      <c r="L48" s="4"/>
      <c r="M48" s="4"/>
      <c r="N48" s="4"/>
      <c r="O48" s="4"/>
      <c r="P48" s="4"/>
      <c r="Q48" s="4"/>
      <c r="R48" s="4"/>
      <c r="S48" s="4"/>
      <c r="T48" s="4"/>
      <c r="U48" s="4"/>
    </row>
    <row r="49" spans="1:21">
      <c r="A49" s="2"/>
      <c r="F49" s="4"/>
      <c r="G49" s="4"/>
      <c r="H49" s="4"/>
      <c r="I49" s="4"/>
      <c r="J49" s="43"/>
      <c r="K49" s="4"/>
      <c r="L49" s="4"/>
      <c r="M49" s="4"/>
      <c r="N49" s="4"/>
      <c r="O49" s="4"/>
      <c r="P49" s="4"/>
      <c r="Q49" s="4"/>
      <c r="R49" s="4"/>
      <c r="S49" s="4"/>
      <c r="T49" s="4"/>
      <c r="U49" s="4"/>
    </row>
    <row r="50" spans="1:21">
      <c r="A50" s="4"/>
      <c r="B50" s="152" t="s">
        <v>78</v>
      </c>
      <c r="C50" s="164">
        <f>S15*1000/Gebäude!D39</f>
        <v>1.0724299754299753</v>
      </c>
      <c r="F50" s="4"/>
      <c r="G50" s="4"/>
      <c r="H50" s="4"/>
      <c r="I50" s="4"/>
      <c r="J50" s="43"/>
      <c r="K50" s="4"/>
      <c r="L50" s="4"/>
      <c r="M50" s="4"/>
      <c r="N50" s="4"/>
      <c r="O50" s="4"/>
      <c r="P50" s="4"/>
      <c r="Q50" s="4"/>
      <c r="R50" s="4"/>
      <c r="S50" s="4"/>
      <c r="T50" s="4"/>
      <c r="U50" s="4"/>
    </row>
    <row r="51" spans="1:21" ht="14.15">
      <c r="A51" s="4"/>
      <c r="B51" s="19" t="str">
        <f>Begriffe!F233</f>
        <v>Primärenergie nicht ern.</v>
      </c>
      <c r="C51" s="41" t="s">
        <v>216</v>
      </c>
      <c r="F51" s="4"/>
      <c r="G51" s="4"/>
      <c r="H51" s="4"/>
      <c r="I51" s="4"/>
      <c r="J51" s="43"/>
      <c r="K51" s="4"/>
      <c r="L51" s="4"/>
      <c r="M51" s="4"/>
      <c r="N51" s="4"/>
      <c r="O51" s="4"/>
      <c r="P51" s="4"/>
      <c r="Q51" s="4"/>
      <c r="R51" s="4"/>
      <c r="S51" s="4"/>
      <c r="T51" s="4"/>
      <c r="U51" s="4"/>
    </row>
    <row r="52" spans="1:21">
      <c r="A52" s="4"/>
      <c r="B52" s="43" t="str">
        <f>Begriffe!F240</f>
        <v>Allg. Gebäudetechnik</v>
      </c>
      <c r="C52" s="320">
        <f>D22</f>
        <v>22.572619471744467</v>
      </c>
      <c r="F52" s="4"/>
      <c r="G52" s="4"/>
      <c r="H52" s="4"/>
      <c r="I52" s="4"/>
      <c r="J52" s="43"/>
      <c r="K52" s="4"/>
      <c r="L52" s="4"/>
      <c r="M52" s="4"/>
      <c r="N52" s="4"/>
      <c r="O52" s="4"/>
      <c r="P52" s="4"/>
      <c r="Q52" s="4"/>
      <c r="R52" s="4"/>
      <c r="S52" s="4"/>
      <c r="T52" s="4"/>
      <c r="U52" s="4"/>
    </row>
    <row r="53" spans="1:21">
      <c r="A53" s="2"/>
      <c r="B53" s="33" t="str">
        <f>Begriffe!F69</f>
        <v>Geräte</v>
      </c>
      <c r="C53" s="267">
        <f>F22</f>
        <v>22.572619471744467</v>
      </c>
      <c r="F53" s="4"/>
      <c r="G53" s="4"/>
      <c r="H53" s="4"/>
      <c r="I53" s="4"/>
      <c r="J53" s="43"/>
      <c r="K53" s="4"/>
      <c r="L53" s="4"/>
      <c r="M53" s="4"/>
      <c r="N53" s="4"/>
      <c r="O53" s="4"/>
      <c r="P53" s="4"/>
      <c r="Q53" s="4"/>
      <c r="R53" s="4"/>
      <c r="S53" s="4"/>
      <c r="T53" s="4"/>
      <c r="U53" s="4"/>
    </row>
    <row r="54" spans="1:21">
      <c r="A54" s="2"/>
      <c r="B54" s="33" t="str">
        <f>Begriffe!F241</f>
        <v>Prozessanlagen</v>
      </c>
      <c r="C54" s="267">
        <f>H22</f>
        <v>8.6871468058968055</v>
      </c>
      <c r="F54" s="4"/>
      <c r="G54" s="4"/>
      <c r="H54" s="4"/>
      <c r="I54" s="4"/>
      <c r="J54" s="43"/>
      <c r="K54" s="4"/>
      <c r="L54" s="4"/>
      <c r="M54" s="4"/>
      <c r="N54" s="4"/>
      <c r="O54" s="4"/>
      <c r="P54" s="4"/>
      <c r="Q54" s="4"/>
      <c r="R54" s="4"/>
      <c r="S54" s="4"/>
      <c r="T54" s="4"/>
      <c r="U54" s="4"/>
    </row>
    <row r="55" spans="1:21">
      <c r="A55" s="4"/>
      <c r="B55" t="str">
        <f>Begriffe!F71</f>
        <v>Beleuchtung</v>
      </c>
      <c r="C55" s="267">
        <f>J22</f>
        <v>24.744530000305158</v>
      </c>
      <c r="F55" s="4"/>
      <c r="G55" s="4"/>
      <c r="H55" s="4"/>
      <c r="I55" s="4"/>
      <c r="J55" s="43"/>
      <c r="K55" s="4"/>
      <c r="L55" s="4"/>
      <c r="M55" s="4"/>
      <c r="N55" s="4"/>
      <c r="O55" s="4"/>
      <c r="P55" s="4"/>
      <c r="Q55" s="4"/>
      <c r="R55" s="4"/>
      <c r="S55" s="4"/>
      <c r="T55" s="4"/>
      <c r="U55" s="4"/>
    </row>
    <row r="56" spans="1:21">
      <c r="A56" s="2"/>
      <c r="B56" t="str">
        <f>Begriffe!F72</f>
        <v>Lüftung</v>
      </c>
      <c r="C56" s="267">
        <f>L22</f>
        <v>13.418353473440975</v>
      </c>
      <c r="F56" s="4"/>
      <c r="G56" s="4"/>
      <c r="H56" s="4"/>
      <c r="I56" s="4"/>
      <c r="J56" s="43"/>
      <c r="K56" s="4"/>
      <c r="L56" s="4"/>
      <c r="M56" s="4"/>
      <c r="N56" s="4"/>
      <c r="O56" s="4"/>
      <c r="P56" s="4"/>
      <c r="Q56" s="4"/>
      <c r="R56" s="4"/>
      <c r="S56" s="4"/>
      <c r="T56" s="4"/>
      <c r="U56" s="4"/>
    </row>
    <row r="57" spans="1:21">
      <c r="A57" s="4"/>
      <c r="B57" s="43" t="str">
        <f>Begriffe!F268</f>
        <v>Kühlung (Raum, Luft)</v>
      </c>
      <c r="C57" s="267">
        <f>N22</f>
        <v>3.3567875224185046</v>
      </c>
      <c r="F57" s="4"/>
      <c r="G57" s="4"/>
      <c r="H57" s="4"/>
      <c r="I57" s="4"/>
      <c r="J57" s="43"/>
      <c r="K57" s="4"/>
      <c r="L57" s="4"/>
      <c r="M57" s="4"/>
      <c r="N57" s="4"/>
      <c r="O57" s="4"/>
      <c r="P57" s="4"/>
      <c r="Q57" s="4"/>
      <c r="R57" s="4"/>
      <c r="S57" s="4"/>
      <c r="T57" s="4"/>
      <c r="U57" s="4"/>
    </row>
    <row r="58" spans="1:21">
      <c r="A58" s="2"/>
      <c r="B58" s="43" t="str">
        <f>Begriffe!F270</f>
        <v>Heizung (Raum, Luft)</v>
      </c>
      <c r="C58" s="267">
        <f>P22</f>
        <v>5.5958024013299283</v>
      </c>
      <c r="F58" s="4"/>
      <c r="G58" s="4"/>
      <c r="H58" s="4"/>
      <c r="I58" s="4"/>
      <c r="J58" s="43"/>
      <c r="K58" s="4"/>
      <c r="L58" s="4"/>
      <c r="M58" s="4"/>
      <c r="N58" s="4"/>
      <c r="O58" s="4"/>
      <c r="P58" s="4"/>
      <c r="Q58" s="4"/>
      <c r="R58" s="4"/>
      <c r="S58" s="4"/>
      <c r="T58" s="4"/>
      <c r="U58" s="4"/>
    </row>
    <row r="59" spans="1:21">
      <c r="A59" s="2"/>
      <c r="B59" s="4" t="str">
        <f>Begriffe!F75</f>
        <v>Warmwasser</v>
      </c>
      <c r="C59" s="267">
        <f>R22</f>
        <v>1.2177969287469288</v>
      </c>
      <c r="F59" s="4"/>
      <c r="G59" s="4"/>
      <c r="H59" s="4"/>
      <c r="I59" s="4"/>
      <c r="J59" s="43"/>
      <c r="K59" s="4"/>
      <c r="L59" s="4"/>
      <c r="M59" s="4"/>
      <c r="N59" s="4"/>
      <c r="O59" s="4"/>
      <c r="P59" s="4"/>
      <c r="Q59" s="4"/>
      <c r="R59" s="4"/>
      <c r="S59" s="4"/>
      <c r="T59" s="4"/>
      <c r="U59" s="4"/>
    </row>
    <row r="60" spans="1:21">
      <c r="A60" s="2"/>
      <c r="F60" s="4"/>
      <c r="G60" s="4"/>
      <c r="H60" s="4"/>
      <c r="I60" s="4"/>
      <c r="J60" s="43"/>
      <c r="K60" s="4"/>
      <c r="L60" s="4"/>
      <c r="M60" s="4"/>
      <c r="N60" s="4"/>
      <c r="O60" s="4"/>
      <c r="P60" s="4"/>
      <c r="Q60" s="4"/>
      <c r="R60" s="4"/>
      <c r="S60" s="4"/>
      <c r="T60" s="4"/>
      <c r="U60" s="4"/>
    </row>
    <row r="61" spans="1:21">
      <c r="A61" s="2"/>
      <c r="F61" s="4"/>
      <c r="G61" s="4"/>
      <c r="H61" s="4"/>
      <c r="I61" s="4"/>
      <c r="J61" s="43"/>
      <c r="K61" s="4"/>
      <c r="L61" s="4"/>
      <c r="M61" s="4"/>
      <c r="N61" s="4"/>
      <c r="O61" s="4"/>
      <c r="P61" s="4"/>
      <c r="Q61" s="4"/>
      <c r="R61" s="4"/>
      <c r="S61" s="4"/>
      <c r="T61" s="4"/>
      <c r="U61" s="4"/>
    </row>
    <row r="62" spans="1:21">
      <c r="A62" s="2"/>
      <c r="B62" s="152" t="s">
        <v>78</v>
      </c>
      <c r="C62" s="320"/>
      <c r="F62" s="4"/>
      <c r="G62" s="4"/>
      <c r="H62" s="4"/>
      <c r="I62" s="4"/>
      <c r="J62" s="43"/>
      <c r="K62" s="4"/>
      <c r="L62" s="4"/>
      <c r="M62" s="4"/>
      <c r="N62" s="4"/>
      <c r="O62" s="4"/>
      <c r="P62" s="4"/>
      <c r="Q62" s="4"/>
      <c r="R62" s="4"/>
      <c r="S62" s="4"/>
      <c r="T62" s="4"/>
      <c r="U62" s="4"/>
    </row>
    <row r="63" spans="1:21" ht="14.15">
      <c r="A63" s="2"/>
      <c r="B63" s="19" t="str">
        <f>Begriffe!F232</f>
        <v>Treibhausgasemissionen</v>
      </c>
      <c r="C63" s="41" t="s">
        <v>221</v>
      </c>
      <c r="F63" s="4"/>
      <c r="G63" s="4"/>
      <c r="H63" s="4"/>
      <c r="I63" s="4"/>
      <c r="J63" s="43"/>
      <c r="K63" s="4"/>
      <c r="L63" s="4"/>
      <c r="M63" s="4"/>
      <c r="N63" s="4"/>
      <c r="O63" s="4"/>
      <c r="P63" s="4"/>
      <c r="Q63" s="4"/>
      <c r="R63" s="4"/>
      <c r="S63" s="4"/>
      <c r="T63" s="4"/>
      <c r="U63" s="4"/>
    </row>
    <row r="64" spans="1:21">
      <c r="A64" s="2"/>
      <c r="B64" s="43" t="str">
        <f>B52</f>
        <v>Allg. Gebäudetechnik</v>
      </c>
      <c r="C64" s="397">
        <f>D25</f>
        <v>1.1663918611793611</v>
      </c>
      <c r="F64" s="4"/>
      <c r="G64" s="4"/>
      <c r="H64" s="4"/>
      <c r="I64" s="4"/>
      <c r="J64" s="43"/>
      <c r="K64" s="4"/>
      <c r="L64" s="4"/>
      <c r="M64" s="4"/>
      <c r="N64" s="4"/>
      <c r="O64" s="4"/>
      <c r="P64" s="4"/>
      <c r="Q64" s="4"/>
      <c r="R64" s="4"/>
      <c r="S64" s="4"/>
      <c r="T64" s="4"/>
      <c r="U64" s="4"/>
    </row>
    <row r="65" spans="1:21">
      <c r="A65" s="2"/>
      <c r="B65" s="43" t="str">
        <f t="shared" ref="B65:B71" si="3">B53</f>
        <v>Geräte</v>
      </c>
      <c r="C65" s="267">
        <f>F25</f>
        <v>2.7681768888206393</v>
      </c>
      <c r="F65" s="4"/>
      <c r="G65" s="4"/>
      <c r="H65" s="4"/>
      <c r="I65" s="4"/>
      <c r="J65" s="43"/>
      <c r="K65" s="4"/>
      <c r="L65" s="4"/>
      <c r="M65" s="4"/>
      <c r="N65" s="4"/>
      <c r="O65" s="4"/>
      <c r="P65" s="4"/>
      <c r="Q65" s="4"/>
      <c r="R65" s="4"/>
      <c r="S65" s="4"/>
      <c r="T65" s="4"/>
      <c r="U65" s="4"/>
    </row>
    <row r="66" spans="1:21">
      <c r="A66" s="2"/>
      <c r="B66" s="43" t="str">
        <f t="shared" si="3"/>
        <v>Prozessanlagen</v>
      </c>
      <c r="C66" s="267">
        <f>H25</f>
        <v>0.44888974201474197</v>
      </c>
      <c r="F66" s="4"/>
      <c r="G66" s="4"/>
      <c r="H66" s="4"/>
      <c r="I66" s="4"/>
      <c r="J66" s="43"/>
      <c r="K66" s="4"/>
      <c r="L66" s="4"/>
      <c r="M66" s="4"/>
      <c r="N66" s="4"/>
      <c r="O66" s="4"/>
      <c r="P66" s="4"/>
      <c r="Q66" s="4"/>
      <c r="R66" s="4"/>
      <c r="S66" s="4"/>
      <c r="T66" s="4"/>
      <c r="U66" s="4"/>
    </row>
    <row r="67" spans="1:21">
      <c r="A67" s="2"/>
      <c r="B67" s="43" t="str">
        <f t="shared" si="3"/>
        <v>Beleuchtung</v>
      </c>
      <c r="C67" s="267">
        <f>J25</f>
        <v>1.2786206951830543</v>
      </c>
      <c r="F67" s="4"/>
      <c r="G67" s="4"/>
      <c r="H67" s="4"/>
      <c r="I67" s="4"/>
      <c r="J67" s="43"/>
      <c r="K67" s="4"/>
      <c r="L67" s="4"/>
      <c r="M67" s="4"/>
      <c r="N67" s="4"/>
      <c r="O67" s="4"/>
      <c r="P67" s="4"/>
      <c r="Q67" s="4"/>
      <c r="R67" s="4"/>
      <c r="S67" s="4"/>
      <c r="T67" s="4"/>
      <c r="U67" s="4"/>
    </row>
    <row r="68" spans="1:21">
      <c r="A68" s="2"/>
      <c r="B68" s="43" t="str">
        <f t="shared" si="3"/>
        <v>Lüftung</v>
      </c>
      <c r="C68" s="267">
        <f>L25</f>
        <v>0.69336473338598359</v>
      </c>
      <c r="F68" s="4"/>
      <c r="G68" s="4"/>
      <c r="H68" s="4"/>
      <c r="I68" s="4"/>
      <c r="J68" s="43"/>
      <c r="K68" s="4"/>
      <c r="L68" s="4"/>
      <c r="M68" s="4"/>
      <c r="N68" s="4"/>
      <c r="O68" s="4"/>
      <c r="P68" s="4"/>
      <c r="Q68" s="4"/>
      <c r="R68" s="4"/>
      <c r="S68" s="4"/>
      <c r="T68" s="4"/>
      <c r="U68" s="4"/>
    </row>
    <row r="69" spans="1:21">
      <c r="A69" s="2"/>
      <c r="B69" s="43" t="str">
        <f t="shared" si="3"/>
        <v>Kühlung (Raum, Luft)</v>
      </c>
      <c r="C69" s="267">
        <f>N25</f>
        <v>0.17345481993166256</v>
      </c>
      <c r="F69" s="4"/>
      <c r="G69" s="4"/>
      <c r="H69" s="4"/>
      <c r="I69" s="4"/>
      <c r="J69" s="43"/>
      <c r="K69" s="4"/>
      <c r="L69" s="4"/>
      <c r="M69" s="4"/>
      <c r="N69" s="4"/>
      <c r="O69" s="4"/>
      <c r="P69" s="4"/>
      <c r="Q69" s="4"/>
      <c r="R69" s="4"/>
      <c r="S69" s="4"/>
      <c r="T69" s="4"/>
      <c r="U69" s="4"/>
    </row>
    <row r="70" spans="1:21">
      <c r="A70" s="2"/>
      <c r="B70" s="43" t="str">
        <f t="shared" si="3"/>
        <v>Heizung (Raum, Luft)</v>
      </c>
      <c r="C70" s="267">
        <f>P25</f>
        <v>0.373528885964586</v>
      </c>
      <c r="F70" s="4"/>
      <c r="G70" s="4"/>
      <c r="H70" s="4"/>
      <c r="I70" s="4"/>
      <c r="J70" s="43"/>
      <c r="K70" s="4"/>
      <c r="L70" s="4"/>
      <c r="M70" s="4"/>
      <c r="N70" s="4"/>
      <c r="O70" s="4"/>
      <c r="P70" s="4"/>
      <c r="Q70" s="4"/>
      <c r="R70" s="4"/>
      <c r="S70" s="4"/>
      <c r="T70" s="4"/>
      <c r="U70" s="4"/>
    </row>
    <row r="71" spans="1:21">
      <c r="A71" s="2"/>
      <c r="B71" s="43" t="str">
        <f t="shared" si="3"/>
        <v>Warmwasser</v>
      </c>
      <c r="C71" s="267">
        <f>R25</f>
        <v>7.8770911547911562E-2</v>
      </c>
      <c r="F71" s="4"/>
      <c r="G71" s="4"/>
      <c r="H71" s="4"/>
      <c r="I71" s="4"/>
      <c r="J71" s="43"/>
      <c r="K71" s="4"/>
      <c r="L71" s="4"/>
      <c r="M71" s="4"/>
      <c r="N71" s="4"/>
      <c r="O71" s="4"/>
      <c r="P71" s="4"/>
      <c r="Q71" s="4"/>
      <c r="R71" s="4"/>
      <c r="S71" s="4"/>
      <c r="T71" s="4"/>
      <c r="U71" s="4"/>
    </row>
    <row r="72" spans="1:21">
      <c r="A72" s="2"/>
      <c r="F72" s="4"/>
      <c r="G72" s="4"/>
      <c r="H72" s="4"/>
      <c r="I72" s="4"/>
      <c r="J72" s="43"/>
      <c r="K72" s="4"/>
      <c r="L72" s="4"/>
      <c r="M72" s="4"/>
      <c r="N72" s="4"/>
      <c r="O72" s="4"/>
      <c r="P72" s="4"/>
      <c r="Q72" s="4"/>
      <c r="R72" s="4"/>
      <c r="S72" s="4"/>
      <c r="T72" s="4"/>
      <c r="U72" s="4"/>
    </row>
  </sheetData>
  <sheetProtection algorithmName="SHA-512" hashValue="aSqUVBCD/Mt4Azv4ZqCTRXHZvp7gkEDplu+FJeSJHckTCY77Hz72nlxSUdjrMzWuLYJy0QKSjn0xuvQuOWZT8g==" saltValue="7AOq80ETIIIDht5cmTmZJQ==" spinCount="100000" sheet="1" objects="1" scenarios="1"/>
  <mergeCells count="18">
    <mergeCell ref="N18:O18"/>
    <mergeCell ref="P18:Q18"/>
    <mergeCell ref="D4:E4"/>
    <mergeCell ref="F4:G4"/>
    <mergeCell ref="H4:I4"/>
    <mergeCell ref="J4:K4"/>
    <mergeCell ref="L4:M4"/>
    <mergeCell ref="N4:O4"/>
    <mergeCell ref="D18:E18"/>
    <mergeCell ref="F18:G18"/>
    <mergeCell ref="H18:I18"/>
    <mergeCell ref="J18:K18"/>
    <mergeCell ref="L18:M18"/>
    <mergeCell ref="R18:S18"/>
    <mergeCell ref="T18:U18"/>
    <mergeCell ref="P4:Q4"/>
    <mergeCell ref="R4:S4"/>
    <mergeCell ref="T4:U4"/>
  </mergeCells>
  <pageMargins left="0.7" right="0.7" top="0.78740157499999996" bottom="0.78740157499999996" header="0.3" footer="0.3"/>
  <pageSetup paperSize="9" scale="52" orientation="landscape" horizontalDpi="4294967293" verticalDpi="180" r:id="rId1"/>
  <headerFooter>
    <oddHeader>&amp;LWärmepumpe Erdsonden 35°C&amp;CVersion 1.3&amp;R4/20/2025</oddHeader>
    <oddFooter>&amp;CSIA 2024, Copyright © 2017 by SIA Zurich</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blNutzungsgrad">
    <pageSetUpPr fitToPage="1"/>
  </sheetPr>
  <dimension ref="A2:G97"/>
  <sheetViews>
    <sheetView showGridLines="0" zoomScale="80" zoomScaleNormal="80" zoomScaleSheetLayoutView="75" workbookViewId="0">
      <selection activeCell="F98" sqref="F98"/>
    </sheetView>
  </sheetViews>
  <sheetFormatPr baseColWidth="10" defaultColWidth="11.4609375" defaultRowHeight="12.45"/>
  <cols>
    <col min="1" max="1" width="3.765625" style="41" customWidth="1"/>
    <col min="2" max="2" width="10.69140625" style="41" customWidth="1"/>
    <col min="3" max="3" width="34.53515625" style="33" customWidth="1"/>
    <col min="4" max="4" width="9" style="33" customWidth="1"/>
    <col min="5" max="5" width="19.4609375" style="33" customWidth="1"/>
    <col min="6" max="6" width="19.23046875" style="261" customWidth="1"/>
    <col min="7" max="7" width="19.4609375" style="43" customWidth="1"/>
    <col min="8" max="10" width="11.4609375" style="33"/>
    <col min="11" max="17" width="11.4609375" style="33" customWidth="1"/>
    <col min="18" max="16384" width="11.4609375" style="33"/>
  </cols>
  <sheetData>
    <row r="2" spans="2:7">
      <c r="B2" s="51" t="str">
        <f>Begriffe!F164</f>
        <v>Abkürzung</v>
      </c>
      <c r="C2" s="51" t="str">
        <f>Begriffe!F165</f>
        <v>Kälteerzeugung</v>
      </c>
      <c r="D2" s="42"/>
      <c r="E2" s="268" t="str">
        <f>Begriffe!$F$244</f>
        <v>Nutzungsgrad</v>
      </c>
      <c r="F2" s="269" t="str">
        <f>Begriffe!$F$251</f>
        <v>Energieträger</v>
      </c>
      <c r="G2" s="52" t="str">
        <f>Begriffe!$F$242</f>
        <v>Hilfsenergie (%)</v>
      </c>
    </row>
    <row r="3" spans="2:7">
      <c r="B3" s="45" t="s">
        <v>155</v>
      </c>
      <c r="C3" s="45" t="str">
        <f>Begriffe!F166</f>
        <v>Kompaktkältemaschine 7°C</v>
      </c>
      <c r="D3" s="46"/>
      <c r="E3" s="54">
        <v>3</v>
      </c>
      <c r="F3" s="262" t="str">
        <f>Begriffe!$F$257</f>
        <v>Elektrizität</v>
      </c>
      <c r="G3" s="53">
        <v>2</v>
      </c>
    </row>
    <row r="4" spans="2:7">
      <c r="B4" s="45" t="s">
        <v>156</v>
      </c>
      <c r="C4" s="45" t="str">
        <f>Begriffe!F167</f>
        <v>Kompaktkältemaschine 14°C</v>
      </c>
      <c r="D4" s="46"/>
      <c r="E4" s="54">
        <v>4</v>
      </c>
      <c r="F4" s="48" t="str">
        <f>Begriffe!$F$257</f>
        <v>Elektrizität</v>
      </c>
      <c r="G4" s="47">
        <v>2</v>
      </c>
    </row>
    <row r="5" spans="2:7">
      <c r="B5" s="45" t="s">
        <v>157</v>
      </c>
      <c r="C5" s="45" t="str">
        <f>Begriffe!F168</f>
        <v>Kältemaschine 7°C</v>
      </c>
      <c r="D5" s="46"/>
      <c r="E5" s="54">
        <v>4</v>
      </c>
      <c r="F5" s="48" t="str">
        <f>Begriffe!$F$257</f>
        <v>Elektrizität</v>
      </c>
      <c r="G5" s="47">
        <v>2</v>
      </c>
    </row>
    <row r="6" spans="2:7">
      <c r="B6" s="45" t="s">
        <v>487</v>
      </c>
      <c r="C6" s="45" t="str">
        <f>Begriffe!F169</f>
        <v>Kältemaschine 14°C</v>
      </c>
      <c r="D6" s="46"/>
      <c r="E6" s="8">
        <v>7.5</v>
      </c>
      <c r="F6" s="48" t="str">
        <f>Begriffe!$F$257</f>
        <v>Elektrizität</v>
      </c>
      <c r="G6" s="47">
        <v>2</v>
      </c>
    </row>
    <row r="7" spans="2:7">
      <c r="B7" s="45" t="s">
        <v>488</v>
      </c>
      <c r="C7" s="45" t="str">
        <f>Begriffe!F170</f>
        <v>Direktkühlung Erdreich</v>
      </c>
      <c r="D7" s="46"/>
      <c r="E7" s="8">
        <v>15</v>
      </c>
      <c r="F7" s="263" t="str">
        <f>Begriffe!$F$257</f>
        <v>Elektrizität</v>
      </c>
      <c r="G7" s="47">
        <v>2</v>
      </c>
    </row>
    <row r="8" spans="2:7">
      <c r="B8" s="45" t="s">
        <v>489</v>
      </c>
      <c r="C8" s="45" t="str">
        <f>Begriffe!F171</f>
        <v>Direktkühlung Grundwasser</v>
      </c>
      <c r="D8" s="46"/>
      <c r="E8" s="8">
        <v>15</v>
      </c>
      <c r="F8" s="263" t="str">
        <f>Begriffe!$F$257</f>
        <v>Elektrizität</v>
      </c>
      <c r="G8" s="47">
        <v>2</v>
      </c>
    </row>
    <row r="9" spans="2:7">
      <c r="B9" s="45"/>
      <c r="C9" s="45"/>
      <c r="D9" s="46"/>
      <c r="E9" s="8"/>
      <c r="F9" s="264"/>
      <c r="G9" s="47"/>
    </row>
    <row r="10" spans="2:7">
      <c r="B10" s="51" t="str">
        <f>Begriffe!F164</f>
        <v>Abkürzung</v>
      </c>
      <c r="C10" s="51" t="str">
        <f>Begriffe!F173</f>
        <v>Wärmeerzeugung</v>
      </c>
      <c r="D10" s="42"/>
      <c r="E10" s="268" t="str">
        <f>Begriffe!$F$244</f>
        <v>Nutzungsgrad</v>
      </c>
      <c r="F10" s="269" t="str">
        <f>Begriffe!$F$251</f>
        <v>Energieträger</v>
      </c>
      <c r="G10" s="52" t="str">
        <f>Begriffe!$F$242</f>
        <v>Hilfsenergie (%)</v>
      </c>
    </row>
    <row r="11" spans="2:7">
      <c r="B11" s="45" t="s">
        <v>158</v>
      </c>
      <c r="C11" s="45" t="str">
        <f>Begriffe!F174</f>
        <v xml:space="preserve">Ölfeuerung kondensierend </v>
      </c>
      <c r="D11" s="46"/>
      <c r="E11" s="55">
        <v>0.8</v>
      </c>
      <c r="F11" s="263" t="str">
        <f>Begriffe!$F$258</f>
        <v>Heizöl EL</v>
      </c>
      <c r="G11" s="53">
        <v>2</v>
      </c>
    </row>
    <row r="12" spans="2:7">
      <c r="B12" s="45" t="s">
        <v>159</v>
      </c>
      <c r="C12" s="45" t="str">
        <f>Begriffe!F175</f>
        <v xml:space="preserve">Gasfeuerung kondensierend </v>
      </c>
      <c r="D12" s="46"/>
      <c r="E12" s="55">
        <v>0.8</v>
      </c>
      <c r="F12" s="263" t="str">
        <f>Begriffe!F259</f>
        <v>Erdgas</v>
      </c>
      <c r="G12" s="47">
        <v>2</v>
      </c>
    </row>
    <row r="13" spans="2:7">
      <c r="B13" s="45" t="s">
        <v>160</v>
      </c>
      <c r="C13" s="45" t="str">
        <f>Begriffe!F176</f>
        <v>Stückholzfeuerung</v>
      </c>
      <c r="D13" s="46"/>
      <c r="E13" s="55">
        <v>0.6</v>
      </c>
      <c r="F13" s="48" t="str">
        <f>Begriffe!$F$261</f>
        <v>Holz</v>
      </c>
      <c r="G13" s="47">
        <v>2</v>
      </c>
    </row>
    <row r="14" spans="2:7">
      <c r="B14" s="45" t="s">
        <v>490</v>
      </c>
      <c r="C14" s="45" t="str">
        <f>Begriffe!F177</f>
        <v xml:space="preserve">Hackschnitzelfeuerung </v>
      </c>
      <c r="D14" s="46"/>
      <c r="E14" s="55">
        <v>0.7</v>
      </c>
      <c r="F14" s="263" t="str">
        <f>Begriffe!$F$262</f>
        <v>Holzschnitzel</v>
      </c>
      <c r="G14" s="47">
        <v>2</v>
      </c>
    </row>
    <row r="15" spans="2:7">
      <c r="B15" s="45" t="s">
        <v>491</v>
      </c>
      <c r="C15" s="45" t="str">
        <f>Begriffe!F178</f>
        <v xml:space="preserve">Pelletfeuerung </v>
      </c>
      <c r="D15" s="46"/>
      <c r="E15" s="55">
        <v>0.7</v>
      </c>
      <c r="F15" s="263" t="str">
        <f>Begriffe!$F$260</f>
        <v>Pellets</v>
      </c>
      <c r="G15" s="47">
        <v>2</v>
      </c>
    </row>
    <row r="16" spans="2:7">
      <c r="B16" s="45" t="s">
        <v>492</v>
      </c>
      <c r="C16" s="45" t="str">
        <f>Begriffe!F179</f>
        <v xml:space="preserve">Fernwärme (CH-Durchschnitt) </v>
      </c>
      <c r="D16" s="46"/>
      <c r="E16" s="55">
        <v>0.98</v>
      </c>
      <c r="F16" s="263" t="str">
        <f>Begriffe!$F$265</f>
        <v>Fernwärme</v>
      </c>
      <c r="G16" s="47">
        <v>2</v>
      </c>
    </row>
    <row r="17" spans="2:7">
      <c r="B17" s="45" t="s">
        <v>493</v>
      </c>
      <c r="C17" s="45" t="str">
        <f>Begriffe!F180</f>
        <v xml:space="preserve">Elektrospeicher-Zentralheizung </v>
      </c>
      <c r="D17" s="46"/>
      <c r="E17" s="55">
        <v>0.93</v>
      </c>
      <c r="F17" s="48" t="str">
        <f>Begriffe!$F$257</f>
        <v>Elektrizität</v>
      </c>
      <c r="G17" s="47">
        <v>2</v>
      </c>
    </row>
    <row r="18" spans="2:7">
      <c r="B18" s="45" t="s">
        <v>494</v>
      </c>
      <c r="C18" s="45" t="str">
        <f>Begriffe!F181</f>
        <v xml:space="preserve">Elektro direkt </v>
      </c>
      <c r="D18" s="46"/>
      <c r="E18" s="55">
        <v>1</v>
      </c>
      <c r="F18" s="48" t="str">
        <f>Begriffe!$F$257</f>
        <v>Elektrizität</v>
      </c>
      <c r="G18" s="47">
        <v>2</v>
      </c>
    </row>
    <row r="19" spans="2:7">
      <c r="B19" s="45" t="s">
        <v>495</v>
      </c>
      <c r="C19" s="45" t="str">
        <f>Begriffe!F182</f>
        <v xml:space="preserve">WKK, thermischer Nutzungsgrad </v>
      </c>
      <c r="D19" s="46"/>
      <c r="E19" s="55">
        <v>0.5</v>
      </c>
      <c r="F19" s="263" t="str">
        <f>Begriffe!$F$259</f>
        <v>Erdgas</v>
      </c>
      <c r="G19" s="47">
        <v>2</v>
      </c>
    </row>
    <row r="20" spans="2:7">
      <c r="B20" s="45" t="s">
        <v>496</v>
      </c>
      <c r="C20" s="45" t="str">
        <f>Begriffe!F183</f>
        <v>Solarenergie thermisch</v>
      </c>
      <c r="D20" s="46"/>
      <c r="E20" s="8"/>
      <c r="F20" s="48" t="str">
        <f>Begriffe!$F$266</f>
        <v>Sonne</v>
      </c>
      <c r="G20" s="47">
        <v>2</v>
      </c>
    </row>
    <row r="21" spans="2:7">
      <c r="B21" s="45" t="s">
        <v>497</v>
      </c>
      <c r="C21" s="45" t="str">
        <f>Begriffe!F184</f>
        <v>Wärmepumpe Aussenluft 35°C</v>
      </c>
      <c r="D21" s="46"/>
      <c r="E21" s="54">
        <v>3</v>
      </c>
      <c r="F21" s="48" t="str">
        <f>Begriffe!$F$257</f>
        <v>Elektrizität</v>
      </c>
      <c r="G21" s="47">
        <v>2</v>
      </c>
    </row>
    <row r="22" spans="2:7">
      <c r="B22" s="45" t="s">
        <v>498</v>
      </c>
      <c r="C22" s="45" t="str">
        <f>Begriffe!F185</f>
        <v>Wärmepumpe Aussenluft 50°C</v>
      </c>
      <c r="D22" s="46"/>
      <c r="E22" s="54">
        <v>2.2000000000000002</v>
      </c>
      <c r="F22" s="48" t="str">
        <f>Begriffe!$F$257</f>
        <v>Elektrizität</v>
      </c>
      <c r="G22" s="47">
        <v>2</v>
      </c>
    </row>
    <row r="23" spans="2:7">
      <c r="B23" s="45" t="s">
        <v>499</v>
      </c>
      <c r="C23" s="45" t="str">
        <f>Begriffe!F186</f>
        <v>Wärmepumpe Erdsonden 35°C</v>
      </c>
      <c r="D23" s="46"/>
      <c r="E23" s="54">
        <v>4.3</v>
      </c>
      <c r="F23" s="48" t="str">
        <f>Begriffe!$F$257</f>
        <v>Elektrizität</v>
      </c>
      <c r="G23" s="47">
        <v>2</v>
      </c>
    </row>
    <row r="24" spans="2:7">
      <c r="B24" s="45" t="s">
        <v>500</v>
      </c>
      <c r="C24" s="45" t="str">
        <f>Begriffe!F187</f>
        <v>Wärmepumpe Erdsonden 50°C</v>
      </c>
      <c r="D24" s="46"/>
      <c r="E24" s="54">
        <v>3.1</v>
      </c>
      <c r="F24" s="48" t="str">
        <f>Begriffe!$F$257</f>
        <v>Elektrizität</v>
      </c>
      <c r="G24" s="47">
        <v>2</v>
      </c>
    </row>
    <row r="25" spans="2:7">
      <c r="B25" s="45" t="s">
        <v>501</v>
      </c>
      <c r="C25" s="45" t="str">
        <f>Begriffe!F188</f>
        <v>Wärmepumpe Grundwasser 35°C</v>
      </c>
      <c r="D25" s="46"/>
      <c r="E25" s="54">
        <v>4.3</v>
      </c>
      <c r="F25" s="48" t="str">
        <f>Begriffe!$F$257</f>
        <v>Elektrizität</v>
      </c>
      <c r="G25" s="47">
        <v>2</v>
      </c>
    </row>
    <row r="26" spans="2:7">
      <c r="B26" s="45" t="s">
        <v>502</v>
      </c>
      <c r="C26" s="45" t="str">
        <f>Begriffe!F189</f>
        <v>Wärmepumpe Grundwasser 50°C</v>
      </c>
      <c r="D26" s="46"/>
      <c r="E26" s="54">
        <v>3.1</v>
      </c>
      <c r="F26" s="48" t="str">
        <f>Begriffe!$F$257</f>
        <v>Elektrizität</v>
      </c>
      <c r="G26" s="47">
        <v>2</v>
      </c>
    </row>
    <row r="27" spans="2:7">
      <c r="B27" s="45"/>
      <c r="C27" s="45"/>
      <c r="D27" s="46"/>
      <c r="E27" s="55"/>
      <c r="F27" s="265"/>
      <c r="G27" s="47"/>
    </row>
    <row r="28" spans="2:7">
      <c r="B28" s="51" t="str">
        <f>Begriffe!F164</f>
        <v>Abkürzung</v>
      </c>
      <c r="C28" s="51" t="str">
        <f>Begriffe!F191</f>
        <v>Warmwassererzeugung</v>
      </c>
      <c r="D28" s="3"/>
      <c r="E28" s="268" t="str">
        <f>Begriffe!$F$244</f>
        <v>Nutzungsgrad</v>
      </c>
      <c r="F28" s="269" t="str">
        <f>Begriffe!$F$251</f>
        <v>Energieträger</v>
      </c>
      <c r="G28" s="52" t="str">
        <f>Begriffe!$F$242</f>
        <v>Hilfsenergie (%)</v>
      </c>
    </row>
    <row r="29" spans="2:7">
      <c r="B29" s="45" t="s">
        <v>193</v>
      </c>
      <c r="C29" s="45" t="str">
        <f>Begriffe!F192</f>
        <v xml:space="preserve">Ölfeuerung kondensierend </v>
      </c>
      <c r="D29" s="46"/>
      <c r="E29" s="55">
        <v>0.75</v>
      </c>
      <c r="F29" s="263" t="str">
        <f>Begriffe!$F$258</f>
        <v>Heizöl EL</v>
      </c>
      <c r="G29" s="53">
        <v>2</v>
      </c>
    </row>
    <row r="30" spans="2:7">
      <c r="B30" s="45" t="s">
        <v>194</v>
      </c>
      <c r="C30" s="45" t="str">
        <f>Begriffe!F193</f>
        <v xml:space="preserve">Gasfeuerung kondensierend </v>
      </c>
      <c r="D30" s="46"/>
      <c r="E30" s="55">
        <v>0.75</v>
      </c>
      <c r="F30" s="263" t="str">
        <f>Begriffe!$F$259</f>
        <v>Erdgas</v>
      </c>
      <c r="G30" s="47">
        <v>2</v>
      </c>
    </row>
    <row r="31" spans="2:7">
      <c r="B31" s="45" t="s">
        <v>195</v>
      </c>
      <c r="C31" s="45" t="str">
        <f>Begriffe!F194</f>
        <v>Stückholzfeuerung</v>
      </c>
      <c r="D31" s="46"/>
      <c r="E31" s="55">
        <v>0.55000000000000004</v>
      </c>
      <c r="F31" s="48" t="str">
        <f>Begriffe!$F$261</f>
        <v>Holz</v>
      </c>
      <c r="G31" s="47">
        <v>2</v>
      </c>
    </row>
    <row r="32" spans="2:7">
      <c r="B32" s="45" t="s">
        <v>503</v>
      </c>
      <c r="C32" s="45" t="str">
        <f>Begriffe!F195</f>
        <v xml:space="preserve">Hackschnitzelfeuerung </v>
      </c>
      <c r="D32" s="46"/>
      <c r="E32" s="55">
        <v>0.6</v>
      </c>
      <c r="F32" s="263" t="str">
        <f>Begriffe!$F$262</f>
        <v>Holzschnitzel</v>
      </c>
      <c r="G32" s="47">
        <v>2</v>
      </c>
    </row>
    <row r="33" spans="1:7">
      <c r="B33" s="45" t="s">
        <v>504</v>
      </c>
      <c r="C33" s="45" t="str">
        <f>Begriffe!F196</f>
        <v xml:space="preserve">Pelletfeuerung </v>
      </c>
      <c r="D33" s="46"/>
      <c r="E33" s="55">
        <v>0.65</v>
      </c>
      <c r="F33" s="263" t="str">
        <f>Begriffe!$F$260</f>
        <v>Pellets</v>
      </c>
      <c r="G33" s="47">
        <v>2</v>
      </c>
    </row>
    <row r="34" spans="1:7">
      <c r="B34" s="45" t="s">
        <v>505</v>
      </c>
      <c r="C34" s="45" t="str">
        <f>Begriffe!F197</f>
        <v xml:space="preserve">Fernwärme (CH-Durchschnitt) </v>
      </c>
      <c r="D34" s="46"/>
      <c r="E34" s="55">
        <v>1</v>
      </c>
      <c r="F34" s="263" t="str">
        <f>Begriffe!$F$265</f>
        <v>Fernwärme</v>
      </c>
      <c r="G34" s="47">
        <v>1</v>
      </c>
    </row>
    <row r="35" spans="1:7" s="44" customFormat="1">
      <c r="A35" s="41"/>
      <c r="B35" s="45" t="s">
        <v>506</v>
      </c>
      <c r="C35" s="45" t="str">
        <f>Begriffe!F198</f>
        <v xml:space="preserve">Elekro-Wassererwärmer </v>
      </c>
      <c r="D35" s="46"/>
      <c r="E35" s="55">
        <v>1</v>
      </c>
      <c r="F35" s="48" t="str">
        <f>Begriffe!$F$257</f>
        <v>Elektrizität</v>
      </c>
      <c r="G35" s="47">
        <v>1</v>
      </c>
    </row>
    <row r="36" spans="1:7" s="44" customFormat="1">
      <c r="A36" s="41"/>
      <c r="B36" s="45" t="s">
        <v>507</v>
      </c>
      <c r="C36" s="45" t="str">
        <f>Begriffe!F199</f>
        <v xml:space="preserve">Gas-Wassererwärmer </v>
      </c>
      <c r="D36" s="46"/>
      <c r="E36" s="55">
        <v>0.65</v>
      </c>
      <c r="F36" s="263" t="str">
        <f>Begriffe!$F$259</f>
        <v>Erdgas</v>
      </c>
      <c r="G36" s="47">
        <v>2</v>
      </c>
    </row>
    <row r="37" spans="1:7">
      <c r="B37" s="45" t="s">
        <v>508</v>
      </c>
      <c r="C37" s="45" t="str">
        <f>Begriffe!F200</f>
        <v>Solarenergie thermisch</v>
      </c>
      <c r="D37" s="46"/>
      <c r="E37" s="8"/>
      <c r="F37" s="48" t="str">
        <f>Begriffe!$F$266</f>
        <v>Sonne</v>
      </c>
      <c r="G37" s="47">
        <v>2</v>
      </c>
    </row>
    <row r="38" spans="1:7">
      <c r="B38" s="45" t="s">
        <v>509</v>
      </c>
      <c r="C38" s="45" t="str">
        <f>Begriffe!F201</f>
        <v xml:space="preserve">WKK, thermischer Nutzungsgrad </v>
      </c>
      <c r="D38" s="46"/>
      <c r="E38" s="55">
        <v>0.5</v>
      </c>
      <c r="F38" s="263" t="str">
        <f>Begriffe!$F$259</f>
        <v>Erdgas</v>
      </c>
      <c r="G38" s="47">
        <v>2</v>
      </c>
    </row>
    <row r="39" spans="1:7">
      <c r="B39" s="45" t="s">
        <v>510</v>
      </c>
      <c r="C39" s="45" t="str">
        <f>Begriffe!F202</f>
        <v>Wärmepumpe Aussenluft</v>
      </c>
      <c r="D39" s="46"/>
      <c r="E39" s="8">
        <v>2.2000000000000002</v>
      </c>
      <c r="F39" s="48" t="str">
        <f>Begriffe!$F$257</f>
        <v>Elektrizität</v>
      </c>
      <c r="G39" s="47">
        <v>2</v>
      </c>
    </row>
    <row r="40" spans="1:7">
      <c r="B40" s="45" t="s">
        <v>511</v>
      </c>
      <c r="C40" s="45" t="str">
        <f>Begriffe!F203</f>
        <v>Wärmepumpe Erdsonden</v>
      </c>
      <c r="D40" s="46"/>
      <c r="E40" s="8">
        <v>2.4</v>
      </c>
      <c r="F40" s="48" t="str">
        <f>Begriffe!$F$257</f>
        <v>Elektrizität</v>
      </c>
      <c r="G40" s="47">
        <v>2</v>
      </c>
    </row>
    <row r="41" spans="1:7">
      <c r="B41" s="45" t="s">
        <v>512</v>
      </c>
      <c r="C41" s="45" t="str">
        <f>Begriffe!F204</f>
        <v>Wärmepumpe Grundwasser</v>
      </c>
      <c r="D41" s="46"/>
      <c r="E41" s="8">
        <v>1.9</v>
      </c>
      <c r="F41" s="48" t="str">
        <f>Begriffe!$F$257</f>
        <v>Elektrizität</v>
      </c>
      <c r="G41" s="47">
        <v>2</v>
      </c>
    </row>
    <row r="42" spans="1:7">
      <c r="B42" s="49"/>
      <c r="C42" s="49"/>
      <c r="D42" s="50"/>
      <c r="E42" s="279"/>
      <c r="F42" s="280"/>
      <c r="G42" s="281"/>
    </row>
    <row r="43" spans="1:7">
      <c r="A43" s="33"/>
      <c r="B43" s="33"/>
      <c r="F43" s="33"/>
      <c r="G43" s="33"/>
    </row>
    <row r="44" spans="1:7">
      <c r="A44" s="33"/>
      <c r="B44" s="33"/>
      <c r="F44" s="33"/>
      <c r="G44" s="33"/>
    </row>
    <row r="45" spans="1:7">
      <c r="A45" s="33"/>
      <c r="B45" s="33"/>
      <c r="F45" s="33"/>
      <c r="G45" s="33"/>
    </row>
    <row r="46" spans="1:7">
      <c r="A46" s="33"/>
      <c r="B46" s="33"/>
      <c r="F46" s="33"/>
      <c r="G46" s="33"/>
    </row>
    <row r="47" spans="1:7">
      <c r="A47" s="33"/>
      <c r="B47" s="33"/>
      <c r="F47" s="33"/>
      <c r="G47" s="33"/>
    </row>
    <row r="48" spans="1:7">
      <c r="A48" s="33"/>
      <c r="B48" s="33"/>
      <c r="F48" s="33"/>
      <c r="G48" s="33"/>
    </row>
    <row r="49" s="33" customFormat="1"/>
    <row r="50" s="33" customFormat="1"/>
    <row r="51" s="33" customFormat="1"/>
    <row r="52" s="33" customFormat="1"/>
    <row r="53" s="33" customFormat="1"/>
    <row r="54" s="33" customFormat="1"/>
    <row r="55" s="33" customFormat="1"/>
    <row r="56" s="33" customFormat="1"/>
    <row r="57" s="33" customFormat="1"/>
    <row r="58" s="33" customFormat="1"/>
    <row r="59" s="33" customFormat="1"/>
    <row r="60" s="33" customFormat="1"/>
    <row r="61" s="33" customFormat="1" ht="12.75" customHeight="1"/>
    <row r="62" s="33" customFormat="1" ht="12.75" customHeight="1"/>
    <row r="63" s="33" customFormat="1" ht="12.75" customHeight="1"/>
    <row r="64" s="33" customFormat="1" ht="12.75" customHeight="1"/>
    <row r="65" s="33" customFormat="1" ht="12.75" customHeight="1"/>
    <row r="66" s="33" customFormat="1" ht="12.75" customHeight="1"/>
    <row r="67" s="33" customFormat="1" ht="12.75" customHeight="1"/>
    <row r="68" s="33" customFormat="1" ht="12.75" customHeight="1"/>
    <row r="69" s="33" customFormat="1" ht="12.75" customHeight="1"/>
    <row r="70" s="33" customFormat="1"/>
    <row r="71" s="33" customFormat="1" ht="12.75" customHeight="1"/>
    <row r="72" s="33" customFormat="1" ht="12.75" customHeight="1"/>
    <row r="73" s="33" customFormat="1" ht="12.75" customHeight="1"/>
    <row r="74" s="33" customFormat="1" ht="12.75" customHeight="1"/>
    <row r="75" s="33" customFormat="1"/>
    <row r="76" s="33" customFormat="1"/>
    <row r="77" s="33" customFormat="1" ht="12.75" customHeight="1"/>
    <row r="78" s="33" customFormat="1" ht="12.75" customHeight="1"/>
    <row r="79" s="33" customFormat="1" ht="12.75" customHeight="1"/>
    <row r="80" s="33" customFormat="1" ht="12.75" customHeight="1"/>
    <row r="81" s="33" customFormat="1" ht="12.75" customHeight="1"/>
    <row r="82" s="33" customFormat="1"/>
    <row r="83" s="33" customFormat="1" ht="12.75" customHeight="1"/>
    <row r="84" s="33" customFormat="1" ht="12.75" customHeight="1"/>
    <row r="85" s="33" customFormat="1" ht="12.75" customHeight="1"/>
    <row r="86" s="33" customFormat="1"/>
    <row r="87" s="33" customFormat="1"/>
    <row r="88" s="33" customFormat="1"/>
    <row r="89" s="33" customFormat="1"/>
    <row r="90" s="33" customFormat="1"/>
    <row r="91" s="33" customFormat="1" ht="12.75" customHeight="1"/>
    <row r="92" s="33" customFormat="1" ht="12.75" customHeight="1"/>
    <row r="93" s="33" customFormat="1" ht="12.75" customHeight="1"/>
    <row r="94" s="33" customFormat="1"/>
    <row r="95" s="33" customFormat="1"/>
    <row r="96" s="33" customFormat="1"/>
    <row r="97" s="33" customFormat="1"/>
  </sheetData>
  <sheetProtection algorithmName="SHA-512" hashValue="Mt33j7S+xei+Y41fuMF3wfpjhtB2U3lic5qhH83vyEilF6Ma3Tc+XUqzmoEM7ZElN+eTx2ePfshXIk0o5y5Vpw==" saltValue="u7jpRKYRuzzClkcoa9Y+mA==" spinCount="100000" sheet="1" objects="1" scenarios="1"/>
  <phoneticPr fontId="15" type="noConversion"/>
  <pageMargins left="0.19685039370078741" right="0.2" top="0.16" bottom="0.16" header="0.16" footer="0.15748031496062992"/>
  <pageSetup paperSize="8" orientation="landscape" r:id="rId1"/>
  <headerFooter alignWithMargins="0">
    <oddHeader>&amp;LWärmepumpe Erdsonden 35°C&amp;CVersion 1.3&amp;R4/20/2025</oddHeader>
    <oddFooter>&amp;CSIA 2024, Copyright © 2017 by SIA Zurich</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ABC88-0D0A-4462-8DAF-53C6244806E0}">
  <sheetPr codeName="tblBerechnungLU"/>
  <dimension ref="A1:DD328"/>
  <sheetViews>
    <sheetView topLeftCell="A103" zoomScale="80" zoomScaleNormal="80" workbookViewId="0">
      <selection activeCell="A180" sqref="A180"/>
    </sheetView>
  </sheetViews>
  <sheetFormatPr baseColWidth="10" defaultColWidth="12.23046875" defaultRowHeight="12" customHeight="1" outlineLevelRow="1"/>
  <cols>
    <col min="1" max="25" width="12.23046875" style="654"/>
    <col min="26" max="26" width="22.53515625" style="654" bestFit="1" customWidth="1"/>
    <col min="27" max="32" width="12.23046875" style="654"/>
    <col min="33" max="33" width="23.53515625" style="654" customWidth="1"/>
    <col min="34" max="107" width="12.23046875" style="654"/>
    <col min="108" max="16384" width="12.23046875" style="655"/>
  </cols>
  <sheetData>
    <row r="1" spans="1:108" s="402" customFormat="1" ht="12" customHeight="1">
      <c r="A1" s="402" t="s">
        <v>659</v>
      </c>
      <c r="F1" s="403"/>
      <c r="G1" s="403"/>
      <c r="H1" s="404"/>
      <c r="N1" s="405"/>
    </row>
    <row r="2" spans="1:108" s="410" customFormat="1" ht="12" customHeight="1">
      <c r="A2" s="406"/>
      <c r="B2" s="407"/>
      <c r="C2" s="408"/>
      <c r="D2" s="407"/>
      <c r="E2" s="409"/>
      <c r="H2" s="411"/>
      <c r="I2" s="409"/>
      <c r="J2" s="409"/>
      <c r="U2" s="409"/>
    </row>
    <row r="3" spans="1:108" s="410" customFormat="1" ht="12" customHeight="1">
      <c r="A3" s="659" t="s">
        <v>127</v>
      </c>
      <c r="B3" s="660"/>
      <c r="C3" s="661" t="s">
        <v>114</v>
      </c>
      <c r="D3" s="662"/>
      <c r="E3" s="662"/>
      <c r="F3" s="662" t="s">
        <v>654</v>
      </c>
      <c r="G3" s="662"/>
      <c r="H3" s="662"/>
      <c r="I3" s="662"/>
      <c r="J3" s="663"/>
      <c r="K3" s="664" t="s">
        <v>174</v>
      </c>
      <c r="L3" s="662"/>
      <c r="M3" s="662"/>
      <c r="N3" s="662"/>
      <c r="O3" s="665"/>
      <c r="P3" s="662" t="s">
        <v>153</v>
      </c>
      <c r="Q3" s="662"/>
      <c r="R3" s="664" t="s">
        <v>177</v>
      </c>
      <c r="S3" s="666"/>
      <c r="T3" s="662" t="s">
        <v>1074</v>
      </c>
      <c r="U3" s="665"/>
      <c r="V3" s="662" t="s">
        <v>1073</v>
      </c>
      <c r="W3" s="662"/>
      <c r="X3" s="662" t="s">
        <v>1075</v>
      </c>
      <c r="Y3" s="662"/>
    </row>
    <row r="4" spans="1:108" s="410" customFormat="1" ht="12" customHeight="1">
      <c r="A4" s="667" t="s">
        <v>116</v>
      </c>
      <c r="B4" s="668" t="s">
        <v>93</v>
      </c>
      <c r="C4" s="669" t="s">
        <v>88</v>
      </c>
      <c r="D4" s="866" t="s">
        <v>1091</v>
      </c>
      <c r="E4" s="670" t="s">
        <v>217</v>
      </c>
      <c r="F4" s="671" t="s">
        <v>143</v>
      </c>
      <c r="G4" s="671" t="s">
        <v>110</v>
      </c>
      <c r="H4" s="671" t="s">
        <v>111</v>
      </c>
      <c r="I4" s="671" t="s">
        <v>134</v>
      </c>
      <c r="J4" s="672" t="s">
        <v>1244</v>
      </c>
      <c r="K4" s="673" t="s">
        <v>131</v>
      </c>
      <c r="L4" s="671" t="s">
        <v>141</v>
      </c>
      <c r="M4" s="671" t="s">
        <v>142</v>
      </c>
      <c r="N4" s="671" t="s">
        <v>141</v>
      </c>
      <c r="O4" s="670" t="s">
        <v>142</v>
      </c>
      <c r="P4" s="673" t="s">
        <v>110</v>
      </c>
      <c r="Q4" s="671" t="s">
        <v>111</v>
      </c>
      <c r="R4" s="673" t="s">
        <v>110</v>
      </c>
      <c r="S4" s="670" t="s">
        <v>111</v>
      </c>
      <c r="T4" s="673" t="s">
        <v>110</v>
      </c>
      <c r="U4" s="670" t="s">
        <v>111</v>
      </c>
      <c r="V4" s="671" t="s">
        <v>110</v>
      </c>
      <c r="W4" s="670" t="s">
        <v>111</v>
      </c>
      <c r="X4" s="671" t="s">
        <v>110</v>
      </c>
      <c r="Y4" s="670" t="s">
        <v>111</v>
      </c>
    </row>
    <row r="5" spans="1:108" s="410" customFormat="1" ht="12" customHeight="1">
      <c r="A5" s="674" t="s">
        <v>89</v>
      </c>
      <c r="B5" s="668"/>
      <c r="C5" s="675" t="s">
        <v>113</v>
      </c>
      <c r="D5" s="867" t="s">
        <v>113</v>
      </c>
      <c r="E5" s="676" t="s">
        <v>113</v>
      </c>
      <c r="F5" s="671" t="s">
        <v>133</v>
      </c>
      <c r="G5" s="671" t="s">
        <v>112</v>
      </c>
      <c r="H5" s="671" t="s">
        <v>115</v>
      </c>
      <c r="I5" s="671"/>
      <c r="J5" s="672" t="s">
        <v>145</v>
      </c>
      <c r="K5" s="673" t="s">
        <v>129</v>
      </c>
      <c r="L5" s="671" t="s">
        <v>132</v>
      </c>
      <c r="M5" s="671" t="s">
        <v>132</v>
      </c>
      <c r="N5" s="671" t="s">
        <v>653</v>
      </c>
      <c r="O5" s="677" t="s">
        <v>653</v>
      </c>
      <c r="P5" s="678" t="s">
        <v>112</v>
      </c>
      <c r="Q5" s="671" t="s">
        <v>115</v>
      </c>
      <c r="R5" s="673" t="s">
        <v>112</v>
      </c>
      <c r="S5" s="670" t="s">
        <v>115</v>
      </c>
      <c r="T5" s="678" t="s">
        <v>112</v>
      </c>
      <c r="U5" s="670" t="s">
        <v>115</v>
      </c>
      <c r="V5" s="671" t="s">
        <v>112</v>
      </c>
      <c r="W5" s="677" t="s">
        <v>115</v>
      </c>
      <c r="X5" s="671" t="s">
        <v>112</v>
      </c>
      <c r="Y5" s="677" t="s">
        <v>115</v>
      </c>
    </row>
    <row r="6" spans="1:108" s="415" customFormat="1" ht="12" customHeight="1">
      <c r="A6" s="679" t="str">
        <f>Lüftung!A32</f>
        <v>LA01</v>
      </c>
      <c r="B6" s="680" t="str">
        <f>Lüftung!B32</f>
        <v>Einzel-, Gruppenbüro</v>
      </c>
      <c r="C6" s="681">
        <f>Lüftung!C32</f>
        <v>8578.5714285714294</v>
      </c>
      <c r="D6" s="681">
        <f>Lüftung!D32</f>
        <v>0</v>
      </c>
      <c r="E6" s="682">
        <f>Lüftung!E32</f>
        <v>0</v>
      </c>
      <c r="F6" s="683">
        <f>Lüftung!G32</f>
        <v>0.8</v>
      </c>
      <c r="G6" s="764">
        <f>Lüftung!H32</f>
        <v>6.8628571428571439</v>
      </c>
      <c r="H6" s="681"/>
      <c r="I6" s="684" t="str">
        <f>Lüftung!J32</f>
        <v>einstufig</v>
      </c>
      <c r="J6" s="767">
        <f>K68</f>
        <v>3900</v>
      </c>
      <c r="K6" s="685">
        <f>Lüftung!L32</f>
        <v>80</v>
      </c>
      <c r="L6" s="685">
        <f>Lüftung!M32</f>
        <v>20</v>
      </c>
      <c r="M6" s="685">
        <f>Lüftung!N32</f>
        <v>21</v>
      </c>
      <c r="N6" s="685">
        <f>Lüftung!O32</f>
        <v>0</v>
      </c>
      <c r="O6" s="685">
        <f>Lüftung!P32</f>
        <v>0</v>
      </c>
      <c r="P6" s="681"/>
      <c r="Q6" s="681"/>
      <c r="R6" s="681"/>
      <c r="S6" s="681"/>
      <c r="T6" s="681"/>
      <c r="U6" s="681"/>
      <c r="V6" s="681"/>
      <c r="W6" s="681"/>
      <c r="X6" s="681"/>
      <c r="Y6" s="681"/>
      <c r="AB6" s="416"/>
      <c r="AC6" s="410"/>
      <c r="AD6" s="417"/>
      <c r="AE6" s="410"/>
      <c r="AF6" s="410"/>
      <c r="AG6" s="410"/>
      <c r="AH6" s="410"/>
      <c r="AI6" s="410"/>
      <c r="AJ6" s="410"/>
      <c r="AK6" s="410"/>
      <c r="AL6" s="410"/>
      <c r="AM6" s="410"/>
      <c r="AN6" s="410"/>
      <c r="AO6" s="410"/>
      <c r="AP6" s="410"/>
      <c r="AQ6" s="410"/>
      <c r="AR6" s="410"/>
      <c r="AS6" s="410"/>
      <c r="AT6" s="410"/>
      <c r="AU6" s="410"/>
      <c r="AV6" s="410"/>
      <c r="AW6" s="410"/>
      <c r="AX6" s="410"/>
      <c r="AY6" s="410"/>
      <c r="AZ6" s="410"/>
      <c r="BA6" s="410"/>
      <c r="BB6" s="410"/>
      <c r="BC6" s="410"/>
      <c r="BD6" s="410"/>
      <c r="BE6" s="410"/>
      <c r="BF6" s="410"/>
      <c r="BG6" s="410"/>
      <c r="BH6" s="410"/>
      <c r="BI6" s="410"/>
      <c r="BJ6" s="410"/>
      <c r="BK6" s="410"/>
      <c r="BL6" s="410"/>
      <c r="BM6" s="410"/>
      <c r="BN6" s="410"/>
      <c r="BO6" s="410"/>
      <c r="BP6" s="410"/>
      <c r="BQ6" s="410"/>
      <c r="BR6" s="410"/>
      <c r="BS6" s="410"/>
      <c r="BT6" s="410"/>
      <c r="BU6" s="410"/>
      <c r="BV6" s="410"/>
      <c r="BW6" s="410"/>
      <c r="BX6" s="410"/>
      <c r="BY6" s="410"/>
      <c r="BZ6" s="410"/>
      <c r="CA6" s="410"/>
      <c r="CB6" s="410"/>
      <c r="CC6" s="410"/>
      <c r="CD6" s="410"/>
      <c r="CE6" s="410"/>
      <c r="CF6" s="410"/>
      <c r="CG6" s="410"/>
      <c r="CH6" s="410"/>
      <c r="CI6" s="410"/>
      <c r="CJ6" s="410"/>
      <c r="CK6" s="410"/>
      <c r="CL6" s="410"/>
      <c r="CM6" s="410"/>
      <c r="CN6" s="410"/>
      <c r="CO6" s="410"/>
      <c r="CP6" s="410"/>
      <c r="CQ6" s="410"/>
      <c r="CR6" s="410"/>
      <c r="CS6" s="410"/>
      <c r="CT6" s="410"/>
      <c r="CU6" s="410"/>
      <c r="CV6" s="410"/>
      <c r="CW6" s="410"/>
      <c r="CX6" s="410"/>
      <c r="CY6" s="410"/>
      <c r="CZ6" s="410"/>
      <c r="DA6" s="410"/>
      <c r="DB6" s="410"/>
      <c r="DC6" s="410"/>
      <c r="DD6" s="410"/>
    </row>
    <row r="7" spans="1:108" s="410" customFormat="1" ht="12" customHeight="1">
      <c r="A7" s="686" t="s">
        <v>1072</v>
      </c>
      <c r="B7" s="686"/>
      <c r="C7" s="687"/>
      <c r="D7" s="687"/>
      <c r="E7" s="743">
        <f>IF(OR(E6="",E6=0),C6,E6)</f>
        <v>8578.5714285714294</v>
      </c>
      <c r="F7" s="688"/>
      <c r="G7" s="687"/>
      <c r="H7" s="688">
        <f>C259/1000</f>
        <v>26.76514285714287</v>
      </c>
      <c r="I7" s="687"/>
      <c r="J7" s="743">
        <f>ROUND(IF(G6=0,0,H7*1000/G6),-1)</f>
        <v>3900</v>
      </c>
      <c r="K7" s="687"/>
      <c r="L7" s="687"/>
      <c r="M7" s="687"/>
      <c r="N7" s="687"/>
      <c r="O7" s="687"/>
      <c r="P7" s="687">
        <f>D254</f>
        <v>25.780852141231509</v>
      </c>
      <c r="Q7" s="688">
        <f>C254/1000</f>
        <v>1.7501597036018199</v>
      </c>
      <c r="R7" s="687">
        <f>D255</f>
        <v>16.153470609180598</v>
      </c>
      <c r="S7" s="688">
        <f>C255/1000</f>
        <v>3.7862957285656109</v>
      </c>
      <c r="T7" s="687">
        <f>D256</f>
        <v>3.8943099186312001E-14</v>
      </c>
      <c r="U7" s="688">
        <f>C256/1000</f>
        <v>-3.2534871175269231E-15</v>
      </c>
      <c r="V7" s="687">
        <f>D257</f>
        <v>0</v>
      </c>
      <c r="W7" s="688">
        <f>C257/1000</f>
        <v>0</v>
      </c>
      <c r="X7" s="687">
        <f>D258</f>
        <v>0</v>
      </c>
      <c r="Y7" s="688">
        <f>C258/1000</f>
        <v>0</v>
      </c>
      <c r="AB7" s="416"/>
    </row>
    <row r="8" spans="1:108" s="410" customFormat="1" ht="12" customHeight="1">
      <c r="A8" s="656"/>
      <c r="B8" s="656"/>
      <c r="C8" s="657"/>
      <c r="D8" s="657"/>
      <c r="E8" s="658"/>
      <c r="F8" s="657"/>
      <c r="G8" s="657"/>
      <c r="H8" s="903" t="s">
        <v>1242</v>
      </c>
      <c r="I8" s="916">
        <f>IF(I6=Begriffe!F205,1,IF('Berechnung LU'!I6=Begriffe!F206,2,IF('Berechnung LU'!I6=Begriffe!F207,3,FALSE)))</f>
        <v>1</v>
      </c>
      <c r="J8" s="657"/>
      <c r="K8" s="657"/>
      <c r="L8" s="657"/>
      <c r="M8" s="657"/>
      <c r="N8" s="657"/>
      <c r="O8" s="657"/>
      <c r="P8" s="657"/>
      <c r="Q8" s="657"/>
      <c r="R8" s="657"/>
      <c r="S8" s="657"/>
      <c r="T8" s="657"/>
      <c r="U8" s="657"/>
      <c r="V8" s="657"/>
      <c r="Y8" s="416"/>
      <c r="Z8" s="416"/>
      <c r="AA8" s="416"/>
    </row>
    <row r="9" spans="1:108" s="410" customFormat="1" ht="12" customHeight="1">
      <c r="A9" s="418" t="s">
        <v>660</v>
      </c>
      <c r="B9" s="419"/>
      <c r="C9" s="420"/>
      <c r="D9" s="421"/>
      <c r="E9" s="422"/>
      <c r="F9" s="422"/>
      <c r="G9" s="422"/>
      <c r="H9" s="422"/>
      <c r="I9" s="422"/>
      <c r="J9" s="422"/>
      <c r="K9" s="409"/>
      <c r="M9" s="423" t="s">
        <v>661</v>
      </c>
      <c r="N9" s="424"/>
      <c r="O9" s="424"/>
      <c r="P9" s="424"/>
      <c r="Q9" s="424"/>
      <c r="R9" s="425"/>
      <c r="S9" s="426" t="s">
        <v>662</v>
      </c>
      <c r="T9" s="425"/>
      <c r="X9" s="427"/>
      <c r="Y9" s="428"/>
      <c r="Z9" s="428"/>
      <c r="AA9" s="428"/>
    </row>
    <row r="10" spans="1:108" s="410" customFormat="1" ht="12" customHeight="1">
      <c r="A10" s="429" t="s">
        <v>663</v>
      </c>
      <c r="B10" s="430"/>
      <c r="C10" s="430"/>
      <c r="D10" s="431"/>
      <c r="E10" s="432" t="s">
        <v>664</v>
      </c>
      <c r="F10" s="433" t="s">
        <v>665</v>
      </c>
      <c r="G10" s="434" t="s">
        <v>666</v>
      </c>
      <c r="H10" s="435"/>
      <c r="I10" s="436" t="s">
        <v>667</v>
      </c>
      <c r="J10" s="434" t="s">
        <v>668</v>
      </c>
      <c r="M10" s="437"/>
      <c r="N10" s="438" t="s">
        <v>669</v>
      </c>
      <c r="O10" s="438" t="s">
        <v>670</v>
      </c>
      <c r="P10" s="439" t="s">
        <v>671</v>
      </c>
      <c r="Q10" s="439" t="s">
        <v>672</v>
      </c>
      <c r="R10" s="440" t="s">
        <v>673</v>
      </c>
      <c r="S10" s="410" t="s">
        <v>674</v>
      </c>
      <c r="T10" s="441"/>
      <c r="X10" s="427"/>
      <c r="Y10" s="428"/>
      <c r="Z10" s="428"/>
      <c r="AA10" s="428"/>
      <c r="AD10" s="416"/>
      <c r="AE10" s="416"/>
      <c r="AF10" s="416"/>
      <c r="AG10" s="416"/>
    </row>
    <row r="11" spans="1:108" s="410" customFormat="1" ht="12" customHeight="1">
      <c r="A11" s="442"/>
      <c r="B11" s="443" t="s">
        <v>675</v>
      </c>
      <c r="C11" s="443" t="s">
        <v>676</v>
      </c>
      <c r="D11" s="444"/>
      <c r="E11" s="689">
        <v>500</v>
      </c>
      <c r="F11" s="690">
        <v>2</v>
      </c>
      <c r="G11" s="441" t="s">
        <v>677</v>
      </c>
      <c r="H11" s="410" t="s">
        <v>515</v>
      </c>
      <c r="I11" s="445">
        <f>IF(OR(E11="",E11=0,E12="",E12=0,E13="",E13=0,E14="",E14=0,E15="",E15=0,E16="",E16=0,E21="",E18="",E18=0,E21=0,E22="",E22=0,E28="",E28=0,E29="",E29=0,E30="",E30=0,E34="",E34=0,E35="",E35=0,E39="",E39=0,E40="",E40=0,E41="",E41=0,E42="",E42=0,E43="",E43=0,E44="",E44=0,E45="",E45=0,E46="",E46=0,E47="",E47=0,E48="",E48=0,E49="",E49=0,E50="",E50=0,E51="",E51=0),IF(OR(E11&gt;0,E12&gt;0,E13&gt;0,E14&gt;0,E15&gt;0,E16&gt;0,E17&gt;0,E18&gt;0,E21&gt;0,E22&gt;0,E28&gt;0,E29&gt;0,E30&gt;0,E34&gt;0,E35&gt;0,E39&gt;0,E40&lt;0,E41&gt;0,E42&gt;0,E43&gt;0,E44&gt;0,E45&gt;0,E46&gt;0,E47&gt;0,E48&gt;0,E49&gt;0,E50&gt;0,E51&gt;0),1,0),2)</f>
        <v>1</v>
      </c>
      <c r="J11" s="446" t="e">
        <f>IF(OR(F11="",F11=0,F12="",F12=0,F13="",F13=0,F14="",F14=0,F15="",F15=0,F16="",F16=0,F21="",F18="",F18=0,F21=0,F22="",F22=0,F28="",F28=0,F29="",F29=0,F30="",F30=0,F34="",F34=0,F35="",F35=0,F39="",F39=0,F40="",F40=0,F41="",F41=0,F42="",F42=0,F43="",F43=0,F44="",F44=0,F45="",F45=0,F46="",F46=0,F47="",F47=0,F48="",F48=0,F49="",F49=0,F50="",F50=0,F51="",F51=0),IF(OR(F11&gt;0,F12&gt;0,F13&gt;0,F14&gt;0,F15&gt;0,F16&gt;0,F17&gt;0,F18&gt;0,F21&gt;0,F22&gt;0,F28&gt;0,F29&gt;0,F30&gt;0,F34&gt;0,F35&gt;0,F39&gt;0,F40&lt;0,F41&gt;0,F42&gt;0,F43&gt;0,F44&gt;0,F45&gt;0,F46&gt;0,F47&gt;0,F48&gt;0,F49&gt;0,F50&gt;0,F51&gt;0),1,0),2)</f>
        <v>#N/A</v>
      </c>
      <c r="M11" s="437" t="s">
        <v>1088</v>
      </c>
      <c r="N11" s="439">
        <v>1</v>
      </c>
      <c r="O11" s="439">
        <v>1</v>
      </c>
      <c r="P11" s="439">
        <v>1</v>
      </c>
      <c r="Q11" s="439">
        <v>1</v>
      </c>
      <c r="R11" s="440">
        <v>1</v>
      </c>
      <c r="S11" s="410" t="s">
        <v>679</v>
      </c>
      <c r="T11" s="441"/>
      <c r="X11" s="427"/>
      <c r="Y11" s="428"/>
      <c r="Z11" s="428"/>
      <c r="AA11" s="428"/>
    </row>
    <row r="12" spans="1:108" s="410" customFormat="1" ht="12" customHeight="1">
      <c r="A12" s="442"/>
      <c r="B12" s="443"/>
      <c r="C12" s="443" t="s">
        <v>680</v>
      </c>
      <c r="D12" s="444"/>
      <c r="E12" s="711">
        <v>3</v>
      </c>
      <c r="F12" s="691">
        <v>3</v>
      </c>
      <c r="G12" s="441" t="s">
        <v>681</v>
      </c>
      <c r="H12" s="410" t="s">
        <v>675</v>
      </c>
      <c r="I12" s="447">
        <f>MAX(E18:E20,E23:E25)/(E11*E12)</f>
        <v>5.7190476190476192</v>
      </c>
      <c r="J12" s="448">
        <f>MAX(F18:F20,F23:F25)/(F11*F12)</f>
        <v>0</v>
      </c>
      <c r="M12" s="437" t="s">
        <v>682</v>
      </c>
      <c r="N12" s="439">
        <v>0.872</v>
      </c>
      <c r="O12" s="439">
        <v>0.89500000000000002</v>
      </c>
      <c r="P12" s="439">
        <v>0.93300000000000005</v>
      </c>
      <c r="Q12" s="439">
        <v>0.96299999999999997</v>
      </c>
      <c r="R12" s="440">
        <v>0.96699999999999997</v>
      </c>
      <c r="T12" s="441"/>
      <c r="X12" s="427"/>
      <c r="Y12" s="428"/>
      <c r="Z12" s="428"/>
      <c r="AA12" s="428"/>
    </row>
    <row r="13" spans="1:108" s="410" customFormat="1" ht="12" customHeight="1">
      <c r="A13" s="449"/>
      <c r="B13" s="450" t="s">
        <v>683</v>
      </c>
      <c r="C13" s="451"/>
      <c r="D13" s="452"/>
      <c r="E13" s="453" t="s">
        <v>679</v>
      </c>
      <c r="F13" s="692" t="s">
        <v>679</v>
      </c>
      <c r="G13" s="441"/>
      <c r="H13" s="410" t="s">
        <v>675</v>
      </c>
      <c r="I13" s="454">
        <f>MAX(E18:E20)/E11</f>
        <v>17.157142857142858</v>
      </c>
      <c r="J13" s="455">
        <f>MAX(F18:F20)/F11</f>
        <v>0</v>
      </c>
      <c r="M13" s="437" t="s">
        <v>684</v>
      </c>
      <c r="N13" s="439">
        <v>0.85</v>
      </c>
      <c r="O13" s="439">
        <v>0.87</v>
      </c>
      <c r="P13" s="439">
        <v>0.9</v>
      </c>
      <c r="Q13" s="439">
        <v>0.94</v>
      </c>
      <c r="R13" s="440">
        <v>0.96</v>
      </c>
      <c r="S13" s="414" t="s">
        <v>685</v>
      </c>
      <c r="T13" s="441"/>
      <c r="X13" s="427"/>
      <c r="Y13" s="428"/>
      <c r="Z13" s="428"/>
      <c r="AA13" s="428"/>
    </row>
    <row r="14" spans="1:108" s="410" customFormat="1" ht="12" customHeight="1">
      <c r="A14" s="449"/>
      <c r="B14" s="443" t="s">
        <v>686</v>
      </c>
      <c r="C14" s="456" t="s">
        <v>687</v>
      </c>
      <c r="D14" s="452"/>
      <c r="E14" s="457" t="s">
        <v>688</v>
      </c>
      <c r="F14" s="693" t="s">
        <v>688</v>
      </c>
      <c r="G14" s="441" t="s">
        <v>677</v>
      </c>
      <c r="H14" s="414" t="s">
        <v>689</v>
      </c>
      <c r="I14" s="458">
        <f>IF(E18&lt;MAX(E19:E20),IF(ISERROR(E16*(E18^2.5)/(E19^2.5)),0,E16*(E18^2.5)/(MAX(E18:E20)^2.5)),E16)</f>
        <v>3.4314285714285719</v>
      </c>
      <c r="J14" s="459">
        <f>IF(F18&lt;MAX(F19:F20),IF(ISERROR(F16*(F18^2.5)/(F19^2.5)),0,F16*(F18^2.5)/(MAX(F18:F20)^2.5)),F16)</f>
        <v>0</v>
      </c>
      <c r="M14" s="437" t="s">
        <v>690</v>
      </c>
      <c r="N14" s="439">
        <v>0.82</v>
      </c>
      <c r="O14" s="439">
        <v>0.84</v>
      </c>
      <c r="P14" s="439">
        <v>0.88</v>
      </c>
      <c r="Q14" s="439">
        <v>0.93</v>
      </c>
      <c r="R14" s="440">
        <v>0.95</v>
      </c>
      <c r="S14" s="427" t="s">
        <v>691</v>
      </c>
      <c r="T14" s="441"/>
      <c r="X14" s="427"/>
      <c r="Y14" s="428"/>
      <c r="Z14" s="428"/>
      <c r="AA14" s="428"/>
    </row>
    <row r="15" spans="1:108" s="410" customFormat="1" ht="12" customHeight="1">
      <c r="A15" s="449"/>
      <c r="B15" s="443"/>
      <c r="C15" s="456" t="s">
        <v>692</v>
      </c>
      <c r="D15" s="452"/>
      <c r="E15" s="457" t="s">
        <v>688</v>
      </c>
      <c r="F15" s="693" t="s">
        <v>688</v>
      </c>
      <c r="G15" s="441" t="s">
        <v>681</v>
      </c>
      <c r="H15" s="414" t="s">
        <v>693</v>
      </c>
      <c r="I15" s="458">
        <f>IF(E19&lt;MAX(E18,E20),IF(ISERROR(E16*(E19^2.5)/(E20^2.5)),0,E16*(E19^2.5)/(MAX(E18:E20)^2.5)),E16)</f>
        <v>3.4314285714285719</v>
      </c>
      <c r="J15" s="459">
        <f>IF(F19&lt;MAX(F18,F20),IF(ISERROR(F16*(F19^2.5)/(F20^2.5)),0,F16*(F19^2.5)/(MAX(F18:F20)^2.5)),F16)</f>
        <v>0</v>
      </c>
      <c r="M15" s="437" t="s">
        <v>694</v>
      </c>
      <c r="N15" s="439">
        <v>0.73</v>
      </c>
      <c r="O15" s="439">
        <v>0.78</v>
      </c>
      <c r="P15" s="439">
        <v>0.84</v>
      </c>
      <c r="Q15" s="439">
        <v>0.91</v>
      </c>
      <c r="R15" s="440">
        <v>0.94</v>
      </c>
      <c r="T15" s="441"/>
      <c r="X15" s="427"/>
      <c r="Y15" s="428"/>
      <c r="Z15" s="428"/>
      <c r="AA15" s="428"/>
    </row>
    <row r="16" spans="1:108" s="410" customFormat="1" ht="12" customHeight="1">
      <c r="A16" s="442" t="s">
        <v>695</v>
      </c>
      <c r="B16" s="450" t="s">
        <v>696</v>
      </c>
      <c r="C16" s="451"/>
      <c r="D16" s="452"/>
      <c r="E16" s="460">
        <f>G6/2</f>
        <v>3.4314285714285719</v>
      </c>
      <c r="F16" s="694">
        <v>0</v>
      </c>
      <c r="G16" s="441"/>
      <c r="H16" s="414" t="s">
        <v>697</v>
      </c>
      <c r="I16" s="458">
        <f>IF(E20&lt;MAX(E18:E19),IF(ISERROR(E16*(E20^2.5)/(E20^2.5)),0,E16*(E20^2.5)/(MAX(E18:E20)^2.5)),E16)</f>
        <v>3.4314285714285719</v>
      </c>
      <c r="J16" s="459">
        <f>IF(F20&lt;MAX(F18:F19),IF(ISERROR(F16*(F20^2.5)/(F20^2.5)),0,F16*(F20^2.5)/(MAX(F18:F20)^2.5)),F16)</f>
        <v>0</v>
      </c>
      <c r="M16" s="437" t="s">
        <v>698</v>
      </c>
      <c r="N16" s="439">
        <v>0.69</v>
      </c>
      <c r="O16" s="439">
        <v>0.74</v>
      </c>
      <c r="P16" s="439">
        <v>0.81</v>
      </c>
      <c r="Q16" s="439">
        <v>0.9</v>
      </c>
      <c r="R16" s="440">
        <v>0.93</v>
      </c>
      <c r="S16" s="427" t="s">
        <v>699</v>
      </c>
      <c r="T16" s="441"/>
      <c r="X16" s="427"/>
      <c r="Y16" s="428"/>
      <c r="Z16" s="428"/>
      <c r="AA16" s="428"/>
    </row>
    <row r="17" spans="1:30" s="410" customFormat="1" ht="12" customHeight="1">
      <c r="A17" s="461"/>
      <c r="B17" s="450" t="s">
        <v>700</v>
      </c>
      <c r="C17" s="451"/>
      <c r="D17" s="452"/>
      <c r="E17" s="462" t="s">
        <v>1089</v>
      </c>
      <c r="F17" s="695" t="s">
        <v>684</v>
      </c>
      <c r="G17" s="441"/>
      <c r="H17" s="414" t="s">
        <v>701</v>
      </c>
      <c r="I17" s="458">
        <f>IF(E23&lt;MAX(E24:E25),IF(ISERROR(E21*(E23^2.5)/(E24^2.5)),0,E21*(E23^2.5)/(MAX(E23:E25)^2.5)),E21)</f>
        <v>3.4314285714285719</v>
      </c>
      <c r="J17" s="459">
        <f>IF(F23&lt;MAX(F24:F25),IF(ISERROR(F21*(F23^2.5)/(F24^2.5)),0,F21*(F23^2.5)/(MAX(F23:F25)^2.5)),F21)</f>
        <v>0</v>
      </c>
      <c r="M17" s="463" t="s">
        <v>702</v>
      </c>
      <c r="R17" s="441"/>
      <c r="S17" s="427" t="s">
        <v>703</v>
      </c>
      <c r="T17" s="441"/>
      <c r="X17" s="427"/>
      <c r="Y17" s="428"/>
      <c r="Z17" s="428"/>
      <c r="AA17" s="428"/>
    </row>
    <row r="18" spans="1:30" s="410" customFormat="1" ht="12" customHeight="1">
      <c r="A18" s="442"/>
      <c r="B18" s="450" t="s">
        <v>704</v>
      </c>
      <c r="C18" s="464"/>
      <c r="D18" s="465"/>
      <c r="E18" s="466">
        <f>E7</f>
        <v>8578.5714285714294</v>
      </c>
      <c r="F18" s="696">
        <v>0</v>
      </c>
      <c r="G18" s="441"/>
      <c r="H18" s="414" t="s">
        <v>705</v>
      </c>
      <c r="I18" s="458">
        <f>IF(E24&lt;MAX(E23,E25),IF(ISERROR(E21*(E24^2.5)/(E25^2.5)),0,E21*(E24^2.5)/(MAX(E23:E25)^2.5)),E21)</f>
        <v>3.4314285714285719</v>
      </c>
      <c r="J18" s="459">
        <f>IF(F24&lt;MAX(F23,F25),IF(ISERROR(F21*(F24^2.5)/(F25^2.5)),0,F21*(F24^2.5)/(MAX(F23:F25)^2.5)),F21)</f>
        <v>0</v>
      </c>
      <c r="M18" s="437" t="s">
        <v>706</v>
      </c>
      <c r="N18" s="410">
        <v>2</v>
      </c>
      <c r="O18" s="410" t="s">
        <v>707</v>
      </c>
      <c r="P18" s="410" t="s">
        <v>708</v>
      </c>
      <c r="R18" s="441"/>
      <c r="S18" s="427" t="s">
        <v>709</v>
      </c>
      <c r="T18" s="441"/>
      <c r="X18" s="427"/>
      <c r="Y18" s="428"/>
      <c r="Z18" s="428"/>
      <c r="AA18" s="428"/>
    </row>
    <row r="19" spans="1:30" s="410" customFormat="1" ht="12" customHeight="1">
      <c r="A19" s="442"/>
      <c r="B19" s="450" t="s">
        <v>710</v>
      </c>
      <c r="C19" s="467"/>
      <c r="D19" s="444"/>
      <c r="E19" s="466">
        <f>IF(OR(I6="einstufig",I6="1 vitesse",I6="1 velocità"),E18,E18*0.67)</f>
        <v>8578.5714285714294</v>
      </c>
      <c r="F19" s="696">
        <v>0</v>
      </c>
      <c r="G19" s="441"/>
      <c r="H19" s="414" t="s">
        <v>711</v>
      </c>
      <c r="I19" s="458">
        <f>IF(E25&lt;MAX(E23:E24),IF(ISERROR(E21*(E25^2.5)/(E25^2.5)),0,E21*(E25^2.5)/(MAX(E23:E25)^2.5)),E21)</f>
        <v>3.4314285714285719</v>
      </c>
      <c r="J19" s="459">
        <f>IF(F25&lt;MAX(F23:F24),IF(ISERROR(F21*(F25^2.5)/(F25^2.5)),0,F21*(F25^2.5)/(MAX(F23:F25)^2.5)),F21)</f>
        <v>0</v>
      </c>
      <c r="M19" s="437" t="s">
        <v>712</v>
      </c>
      <c r="N19" s="768">
        <f>Klimadaten!F44</f>
        <v>948.22596847581406</v>
      </c>
      <c r="O19" s="410" t="s">
        <v>713</v>
      </c>
      <c r="R19" s="441"/>
      <c r="T19" s="441"/>
      <c r="X19" s="427"/>
      <c r="Y19" s="428"/>
      <c r="Z19" s="428"/>
      <c r="AA19" s="428"/>
    </row>
    <row r="20" spans="1:30" s="410" customFormat="1" ht="12" customHeight="1">
      <c r="A20" s="442"/>
      <c r="B20" s="450" t="s">
        <v>714</v>
      </c>
      <c r="C20" s="467"/>
      <c r="D20" s="444"/>
      <c r="E20" s="466">
        <f>IF(OR(I6="einstufig",I6="1 vitesse",I6="1 velocità"),E18,IF(OR(I6="zweistufig",I6="2 vitesses",I6="2 velocità"),E18*0.67,E18*0.33))</f>
        <v>8578.5714285714294</v>
      </c>
      <c r="F20" s="696">
        <v>0</v>
      </c>
      <c r="G20" s="441"/>
      <c r="H20" s="468" t="s">
        <v>715</v>
      </c>
      <c r="I20" s="468">
        <f>IF(E52=0,0,(E52*1000)/(3600*(K70/3600)*N23))</f>
        <v>0</v>
      </c>
      <c r="J20" s="469">
        <f>IF(F52=0,0,(F52*1000)/(3600*(K82/3600)*N23))</f>
        <v>0</v>
      </c>
      <c r="M20" s="437" t="s">
        <v>716</v>
      </c>
      <c r="N20" s="410">
        <v>1.006</v>
      </c>
      <c r="O20" s="410" t="s">
        <v>717</v>
      </c>
      <c r="P20" s="410" t="s">
        <v>718</v>
      </c>
      <c r="R20" s="441"/>
      <c r="S20" s="427" t="s">
        <v>677</v>
      </c>
      <c r="T20" s="470"/>
      <c r="X20" s="427"/>
      <c r="Y20" s="428"/>
      <c r="Z20" s="428"/>
      <c r="AA20" s="428"/>
    </row>
    <row r="21" spans="1:30" s="410" customFormat="1" ht="12" customHeight="1">
      <c r="A21" s="442" t="s">
        <v>719</v>
      </c>
      <c r="B21" s="450" t="s">
        <v>720</v>
      </c>
      <c r="C21" s="451"/>
      <c r="D21" s="452"/>
      <c r="E21" s="460">
        <f>E16</f>
        <v>3.4314285714285719</v>
      </c>
      <c r="F21" s="694">
        <v>0</v>
      </c>
      <c r="G21" s="441"/>
      <c r="H21" s="471" t="s">
        <v>721</v>
      </c>
      <c r="I21" s="471"/>
      <c r="J21" s="472"/>
      <c r="M21" s="437" t="s">
        <v>722</v>
      </c>
      <c r="N21" s="410">
        <v>1.86</v>
      </c>
      <c r="O21" s="473" t="s">
        <v>717</v>
      </c>
      <c r="P21" s="410" t="s">
        <v>723</v>
      </c>
      <c r="R21" s="441"/>
      <c r="S21" s="427" t="s">
        <v>681</v>
      </c>
      <c r="T21" s="441"/>
    </row>
    <row r="22" spans="1:30" s="410" customFormat="1" ht="12" customHeight="1">
      <c r="A22" s="474"/>
      <c r="B22" s="450" t="s">
        <v>700</v>
      </c>
      <c r="C22" s="451"/>
      <c r="D22" s="452"/>
      <c r="E22" s="462" t="str">
        <f>E17</f>
        <v>IE5 - gefaked</v>
      </c>
      <c r="F22" s="695" t="s">
        <v>684</v>
      </c>
      <c r="G22" s="441"/>
      <c r="M22" s="437" t="s">
        <v>724</v>
      </c>
      <c r="N22" s="410">
        <v>4.1900000000000004</v>
      </c>
      <c r="O22" s="473" t="s">
        <v>717</v>
      </c>
      <c r="P22" s="410" t="s">
        <v>725</v>
      </c>
      <c r="R22" s="441"/>
      <c r="S22" s="437"/>
      <c r="T22" s="441"/>
    </row>
    <row r="23" spans="1:30" s="410" customFormat="1" ht="12" customHeight="1">
      <c r="A23" s="449"/>
      <c r="B23" s="450" t="s">
        <v>704</v>
      </c>
      <c r="C23" s="464"/>
      <c r="D23" s="465"/>
      <c r="E23" s="466">
        <f>E18</f>
        <v>8578.5714285714294</v>
      </c>
      <c r="F23" s="696">
        <v>0</v>
      </c>
      <c r="G23" s="441"/>
      <c r="M23" s="437" t="s">
        <v>726</v>
      </c>
      <c r="N23" s="475">
        <v>1.1499999999999999</v>
      </c>
      <c r="O23" s="473" t="s">
        <v>727</v>
      </c>
      <c r="P23" s="473" t="s">
        <v>728</v>
      </c>
      <c r="R23" s="441"/>
      <c r="S23" s="437" t="s">
        <v>729</v>
      </c>
      <c r="T23" s="441"/>
    </row>
    <row r="24" spans="1:30" s="410" customFormat="1" ht="12" customHeight="1">
      <c r="A24" s="449"/>
      <c r="B24" s="450" t="s">
        <v>710</v>
      </c>
      <c r="C24" s="467"/>
      <c r="D24" s="444"/>
      <c r="E24" s="466">
        <f>E19</f>
        <v>8578.5714285714294</v>
      </c>
      <c r="F24" s="696">
        <v>0</v>
      </c>
      <c r="G24" s="476"/>
      <c r="H24" s="477"/>
      <c r="I24" s="478"/>
      <c r="J24" s="478"/>
      <c r="M24" s="479" t="s">
        <v>730</v>
      </c>
      <c r="N24" s="473">
        <v>2501.6</v>
      </c>
      <c r="O24" s="410" t="s">
        <v>731</v>
      </c>
      <c r="P24" s="473" t="s">
        <v>732</v>
      </c>
      <c r="Q24" s="473" t="s">
        <v>733</v>
      </c>
      <c r="R24" s="441"/>
      <c r="S24" s="437" t="s">
        <v>734</v>
      </c>
      <c r="T24" s="441"/>
      <c r="X24" s="480"/>
      <c r="AD24" s="480"/>
    </row>
    <row r="25" spans="1:30" s="410" customFormat="1" ht="12" customHeight="1">
      <c r="A25" s="449"/>
      <c r="B25" s="450" t="s">
        <v>714</v>
      </c>
      <c r="C25" s="467"/>
      <c r="D25" s="444"/>
      <c r="E25" s="466">
        <f>E20</f>
        <v>8578.5714285714294</v>
      </c>
      <c r="F25" s="696">
        <v>0</v>
      </c>
      <c r="G25" s="441"/>
      <c r="H25" s="481" t="s">
        <v>735</v>
      </c>
      <c r="I25" s="482" t="s">
        <v>736</v>
      </c>
      <c r="J25" s="482" t="s">
        <v>737</v>
      </c>
      <c r="K25" s="483"/>
      <c r="M25" s="479" t="s">
        <v>730</v>
      </c>
      <c r="N25" s="473">
        <v>2256</v>
      </c>
      <c r="O25" s="410" t="s">
        <v>731</v>
      </c>
      <c r="P25" s="473" t="s">
        <v>738</v>
      </c>
      <c r="Q25" s="473" t="s">
        <v>739</v>
      </c>
      <c r="R25" s="441"/>
      <c r="S25" s="437"/>
      <c r="T25" s="441"/>
      <c r="X25" s="480"/>
      <c r="AD25" s="480"/>
    </row>
    <row r="26" spans="1:30" s="410" customFormat="1" ht="12" customHeight="1">
      <c r="A26" s="484" t="s">
        <v>740</v>
      </c>
      <c r="B26" s="443" t="s">
        <v>741</v>
      </c>
      <c r="C26" s="467"/>
      <c r="D26" s="444"/>
      <c r="E26" s="485">
        <v>0</v>
      </c>
      <c r="F26" s="697">
        <v>0</v>
      </c>
      <c r="G26" s="441"/>
      <c r="H26" s="486" t="s">
        <v>82</v>
      </c>
      <c r="I26" s="487"/>
      <c r="J26" s="487"/>
      <c r="K26" s="488" t="s">
        <v>742</v>
      </c>
      <c r="M26" s="437"/>
      <c r="R26" s="441"/>
      <c r="S26" s="437"/>
      <c r="T26" s="441"/>
      <c r="X26" s="480"/>
      <c r="AD26" s="480"/>
    </row>
    <row r="27" spans="1:30" s="410" customFormat="1" ht="12" customHeight="1">
      <c r="A27" s="484"/>
      <c r="B27" s="443" t="s">
        <v>743</v>
      </c>
      <c r="C27" s="467"/>
      <c r="D27" s="444"/>
      <c r="E27" s="489">
        <v>0</v>
      </c>
      <c r="F27" s="696">
        <v>0</v>
      </c>
      <c r="G27" s="441"/>
      <c r="H27" s="486" t="s">
        <v>744</v>
      </c>
      <c r="I27" s="490"/>
      <c r="J27" s="490"/>
      <c r="K27" s="488" t="s">
        <v>742</v>
      </c>
      <c r="M27" s="437" t="s">
        <v>745</v>
      </c>
      <c r="N27" s="412" t="s">
        <v>668</v>
      </c>
      <c r="O27" s="412" t="s">
        <v>746</v>
      </c>
      <c r="P27" s="491"/>
      <c r="R27" s="441"/>
      <c r="S27" s="437"/>
      <c r="T27" s="441"/>
      <c r="X27" s="480"/>
      <c r="AD27" s="480"/>
    </row>
    <row r="28" spans="1:30" s="410" customFormat="1" ht="12" customHeight="1">
      <c r="A28" s="442" t="s">
        <v>747</v>
      </c>
      <c r="B28" s="443" t="s">
        <v>748</v>
      </c>
      <c r="C28" s="456" t="s">
        <v>749</v>
      </c>
      <c r="D28" s="492"/>
      <c r="E28" s="493">
        <f>K6%</f>
        <v>0.8</v>
      </c>
      <c r="F28" s="698">
        <v>0.65</v>
      </c>
      <c r="G28" s="441"/>
      <c r="H28" s="486" t="s">
        <v>750</v>
      </c>
      <c r="I28" s="494"/>
      <c r="J28" s="494"/>
      <c r="K28" s="488" t="s">
        <v>742</v>
      </c>
      <c r="M28" s="437" t="s">
        <v>688</v>
      </c>
      <c r="N28" s="410">
        <v>0</v>
      </c>
      <c r="O28" s="410">
        <v>0</v>
      </c>
      <c r="P28" s="491" t="s">
        <v>751</v>
      </c>
      <c r="R28" s="441"/>
      <c r="S28" s="437"/>
      <c r="T28" s="441"/>
      <c r="AD28" s="438"/>
    </row>
    <row r="29" spans="1:30" s="410" customFormat="1" ht="12" customHeight="1">
      <c r="A29" s="442"/>
      <c r="B29" s="443" t="s">
        <v>752</v>
      </c>
      <c r="C29" s="456" t="s">
        <v>753</v>
      </c>
      <c r="D29" s="492"/>
      <c r="E29" s="493">
        <v>0</v>
      </c>
      <c r="F29" s="699">
        <v>0</v>
      </c>
      <c r="G29" s="441"/>
      <c r="H29" s="495" t="s">
        <v>907</v>
      </c>
      <c r="I29" s="496">
        <v>185</v>
      </c>
      <c r="J29" s="496">
        <v>185</v>
      </c>
      <c r="K29" s="497" t="s">
        <v>754</v>
      </c>
      <c r="M29" s="437" t="s">
        <v>755</v>
      </c>
      <c r="N29" s="410">
        <v>95</v>
      </c>
      <c r="O29" s="410">
        <v>95</v>
      </c>
      <c r="R29" s="441"/>
      <c r="S29" s="437"/>
      <c r="T29" s="441"/>
      <c r="AD29" s="438"/>
    </row>
    <row r="30" spans="1:30" s="410" customFormat="1" ht="12" customHeight="1">
      <c r="A30" s="442"/>
      <c r="B30" s="443" t="s">
        <v>756</v>
      </c>
      <c r="C30" s="456"/>
      <c r="D30" s="492"/>
      <c r="E30" s="498" t="s">
        <v>681</v>
      </c>
      <c r="F30" s="692" t="s">
        <v>681</v>
      </c>
      <c r="G30" s="441"/>
      <c r="J30" s="499"/>
      <c r="K30" s="499"/>
      <c r="M30" s="437" t="s">
        <v>757</v>
      </c>
      <c r="N30" s="410">
        <v>105</v>
      </c>
      <c r="O30" s="410">
        <v>105</v>
      </c>
      <c r="R30" s="441"/>
      <c r="S30" s="437"/>
      <c r="T30" s="441"/>
      <c r="AD30" s="438"/>
    </row>
    <row r="31" spans="1:30" s="410" customFormat="1" ht="12" customHeight="1">
      <c r="A31" s="442"/>
      <c r="B31" s="443" t="s">
        <v>758</v>
      </c>
      <c r="C31" s="456"/>
      <c r="D31" s="492"/>
      <c r="E31" s="498" t="s">
        <v>681</v>
      </c>
      <c r="F31" s="692" t="s">
        <v>681</v>
      </c>
      <c r="G31" s="441"/>
      <c r="H31" s="500"/>
      <c r="I31" s="436"/>
      <c r="J31" s="501"/>
      <c r="K31" s="499"/>
      <c r="M31" s="437" t="s">
        <v>759</v>
      </c>
      <c r="N31" s="410">
        <v>125</v>
      </c>
      <c r="O31" s="410">
        <v>125</v>
      </c>
      <c r="R31" s="441"/>
      <c r="S31" s="437"/>
      <c r="T31" s="441"/>
      <c r="AD31" s="438"/>
    </row>
    <row r="32" spans="1:30" s="410" customFormat="1" ht="12" customHeight="1">
      <c r="A32" s="467"/>
      <c r="B32" s="502" t="s">
        <v>760</v>
      </c>
      <c r="C32" s="503"/>
      <c r="D32" s="504"/>
      <c r="E32" s="505">
        <v>0</v>
      </c>
      <c r="F32" s="700">
        <v>0</v>
      </c>
      <c r="G32" s="441"/>
      <c r="H32" s="437"/>
      <c r="I32" s="410" t="s">
        <v>961</v>
      </c>
      <c r="J32" s="506"/>
      <c r="K32" s="499"/>
      <c r="M32" s="437" t="s">
        <v>761</v>
      </c>
      <c r="N32" s="410">
        <v>150</v>
      </c>
      <c r="O32" s="410">
        <v>150</v>
      </c>
      <c r="Q32" s="413"/>
      <c r="R32" s="507"/>
      <c r="S32" s="437"/>
      <c r="T32" s="441"/>
      <c r="U32" s="508"/>
      <c r="AD32" s="438"/>
    </row>
    <row r="33" spans="1:39" s="410" customFormat="1" ht="12" customHeight="1">
      <c r="A33" s="467"/>
      <c r="B33" s="502" t="s">
        <v>762</v>
      </c>
      <c r="C33" s="503"/>
      <c r="D33" s="504"/>
      <c r="E33" s="509">
        <v>0</v>
      </c>
      <c r="F33" s="701">
        <v>0</v>
      </c>
      <c r="G33" s="441"/>
      <c r="H33" s="437"/>
      <c r="I33" s="410" t="s">
        <v>962</v>
      </c>
      <c r="J33" s="506"/>
      <c r="K33" s="499"/>
      <c r="M33" s="437" t="s">
        <v>763</v>
      </c>
      <c r="N33" s="410">
        <v>160</v>
      </c>
      <c r="O33" s="410">
        <v>160</v>
      </c>
      <c r="R33" s="441"/>
      <c r="S33" s="437"/>
      <c r="T33" s="441"/>
      <c r="U33" s="508"/>
      <c r="AD33" s="438"/>
    </row>
    <row r="34" spans="1:39" s="410" customFormat="1" ht="12" customHeight="1">
      <c r="A34" s="442" t="s">
        <v>764</v>
      </c>
      <c r="B34" s="443" t="s">
        <v>765</v>
      </c>
      <c r="C34" s="456" t="s">
        <v>766</v>
      </c>
      <c r="D34" s="492"/>
      <c r="E34" s="510">
        <v>1</v>
      </c>
      <c r="F34" s="698">
        <v>1</v>
      </c>
      <c r="G34" s="441"/>
      <c r="H34" s="437"/>
      <c r="I34" s="410" t="s">
        <v>1094</v>
      </c>
      <c r="J34" s="507"/>
      <c r="K34" s="413"/>
      <c r="M34" s="437" t="s">
        <v>767</v>
      </c>
      <c r="N34" s="410">
        <v>30</v>
      </c>
      <c r="O34" s="410">
        <v>30</v>
      </c>
      <c r="R34" s="441"/>
      <c r="S34" s="437"/>
      <c r="T34" s="441"/>
      <c r="AD34" s="511"/>
    </row>
    <row r="35" spans="1:39" s="410" customFormat="1" ht="12" customHeight="1">
      <c r="A35" s="442"/>
      <c r="B35" s="443"/>
      <c r="C35" s="456" t="s">
        <v>768</v>
      </c>
      <c r="D35" s="492"/>
      <c r="E35" s="510">
        <v>1</v>
      </c>
      <c r="F35" s="698">
        <v>1</v>
      </c>
      <c r="G35" s="441"/>
      <c r="H35" s="437"/>
      <c r="I35" s="410" t="s">
        <v>1095</v>
      </c>
      <c r="J35" s="506"/>
      <c r="K35" s="499"/>
      <c r="M35" s="437" t="s">
        <v>769</v>
      </c>
      <c r="N35" s="410">
        <v>45</v>
      </c>
      <c r="O35" s="410">
        <v>45</v>
      </c>
      <c r="R35" s="441"/>
      <c r="S35" s="437"/>
      <c r="T35" s="441"/>
      <c r="AD35" s="511"/>
    </row>
    <row r="36" spans="1:39" s="410" customFormat="1" ht="12" customHeight="1">
      <c r="A36" s="512"/>
      <c r="B36" s="450" t="s">
        <v>770</v>
      </c>
      <c r="C36" s="456" t="s">
        <v>691</v>
      </c>
      <c r="D36" s="513"/>
      <c r="E36" s="514" t="s">
        <v>691</v>
      </c>
      <c r="F36" s="702" t="s">
        <v>691</v>
      </c>
      <c r="G36" s="441"/>
      <c r="H36" s="437"/>
      <c r="I36" s="410" t="s">
        <v>1096</v>
      </c>
      <c r="J36" s="506"/>
      <c r="K36" s="499"/>
      <c r="M36" s="437" t="s">
        <v>771</v>
      </c>
      <c r="N36" s="410">
        <v>60</v>
      </c>
      <c r="O36" s="410">
        <v>60</v>
      </c>
      <c r="R36" s="441"/>
      <c r="S36" s="437"/>
      <c r="T36" s="441"/>
      <c r="AD36" s="511"/>
    </row>
    <row r="37" spans="1:39" s="410" customFormat="1" ht="12" customHeight="1">
      <c r="A37" s="515" t="s">
        <v>772</v>
      </c>
      <c r="B37" s="516" t="s">
        <v>773</v>
      </c>
      <c r="C37" s="467"/>
      <c r="D37" s="444"/>
      <c r="E37" s="498" t="s">
        <v>646</v>
      </c>
      <c r="F37" s="703" t="s">
        <v>646</v>
      </c>
      <c r="G37" s="441"/>
      <c r="H37" s="517"/>
      <c r="I37" s="518"/>
      <c r="J37" s="519"/>
      <c r="K37" s="499"/>
      <c r="M37" s="437" t="s">
        <v>774</v>
      </c>
      <c r="N37" s="410">
        <v>75</v>
      </c>
      <c r="O37" s="410">
        <v>75</v>
      </c>
      <c r="R37" s="441"/>
      <c r="S37" s="437"/>
      <c r="T37" s="507"/>
      <c r="U37" s="413"/>
      <c r="Z37" s="520"/>
      <c r="AA37" s="520"/>
      <c r="AB37" s="520"/>
      <c r="AD37" s="511"/>
    </row>
    <row r="38" spans="1:39" s="410" customFormat="1" ht="12" customHeight="1">
      <c r="A38" s="515"/>
      <c r="B38" s="516" t="s">
        <v>775</v>
      </c>
      <c r="C38" s="467"/>
      <c r="D38" s="444"/>
      <c r="E38" s="498" t="s">
        <v>646</v>
      </c>
      <c r="F38" s="703" t="s">
        <v>646</v>
      </c>
      <c r="G38" s="441"/>
      <c r="H38" s="414" t="s">
        <v>776</v>
      </c>
      <c r="I38" s="521"/>
      <c r="J38" s="522"/>
      <c r="K38" s="416"/>
      <c r="M38" s="437" t="s">
        <v>777</v>
      </c>
      <c r="N38" s="410">
        <v>180</v>
      </c>
      <c r="O38" s="410">
        <v>180</v>
      </c>
      <c r="Q38" s="410" t="s">
        <v>778</v>
      </c>
      <c r="R38" s="441" t="s">
        <v>133</v>
      </c>
      <c r="S38" s="437"/>
      <c r="T38" s="441"/>
      <c r="Z38" s="520"/>
      <c r="AA38" s="520"/>
      <c r="AB38" s="520"/>
    </row>
    <row r="39" spans="1:39" s="410" customFormat="1" ht="12" customHeight="1">
      <c r="A39" s="442" t="s">
        <v>779</v>
      </c>
      <c r="B39" s="450" t="s">
        <v>780</v>
      </c>
      <c r="C39" s="456"/>
      <c r="D39" s="465"/>
      <c r="E39" s="498" t="s">
        <v>681</v>
      </c>
      <c r="F39" s="692" t="s">
        <v>681</v>
      </c>
      <c r="G39" s="441"/>
      <c r="H39" s="437"/>
      <c r="I39" s="406" t="s">
        <v>1097</v>
      </c>
      <c r="J39" s="523">
        <v>1</v>
      </c>
      <c r="K39" s="407"/>
      <c r="M39" s="437" t="s">
        <v>781</v>
      </c>
      <c r="N39" s="410">
        <v>198</v>
      </c>
      <c r="O39" s="410">
        <v>198</v>
      </c>
      <c r="Q39" s="410" t="s">
        <v>782</v>
      </c>
      <c r="R39" s="524" t="s">
        <v>783</v>
      </c>
      <c r="S39" s="437"/>
      <c r="T39" s="441"/>
      <c r="Z39" s="520"/>
      <c r="AA39" s="520"/>
      <c r="AB39" s="520"/>
    </row>
    <row r="40" spans="1:39" s="410" customFormat="1" ht="12" customHeight="1">
      <c r="A40" s="442"/>
      <c r="B40" s="443" t="s">
        <v>784</v>
      </c>
      <c r="C40" s="456"/>
      <c r="D40" s="465"/>
      <c r="E40" s="712">
        <v>-13</v>
      </c>
      <c r="F40" s="704" t="e">
        <v>#N/A</v>
      </c>
      <c r="G40" s="441"/>
      <c r="H40" s="437"/>
      <c r="I40" s="406" t="s">
        <v>1098</v>
      </c>
      <c r="J40" s="523">
        <v>1</v>
      </c>
      <c r="K40" s="413"/>
      <c r="M40" s="437" t="s">
        <v>785</v>
      </c>
      <c r="N40" s="410">
        <v>215</v>
      </c>
      <c r="O40" s="410">
        <v>215</v>
      </c>
      <c r="Q40" s="410" t="s">
        <v>786</v>
      </c>
      <c r="R40" s="524" t="s">
        <v>787</v>
      </c>
      <c r="S40" s="437"/>
      <c r="T40" s="441"/>
      <c r="X40" s="511"/>
      <c r="Y40" s="511"/>
      <c r="Z40" s="520"/>
      <c r="AA40" s="520"/>
      <c r="AB40" s="520"/>
      <c r="AD40" s="511"/>
    </row>
    <row r="41" spans="1:39" s="410" customFormat="1" ht="12" customHeight="1">
      <c r="A41" s="442"/>
      <c r="B41" s="443" t="s">
        <v>788</v>
      </c>
      <c r="C41" s="456"/>
      <c r="D41" s="525"/>
      <c r="E41" s="526"/>
      <c r="F41" s="694"/>
      <c r="G41" s="441"/>
      <c r="H41" s="437"/>
      <c r="I41" s="406" t="s">
        <v>1099</v>
      </c>
      <c r="J41" s="523">
        <v>1</v>
      </c>
      <c r="K41" s="413"/>
      <c r="M41" s="437" t="s">
        <v>789</v>
      </c>
      <c r="N41" s="410">
        <v>233</v>
      </c>
      <c r="O41" s="410">
        <v>233</v>
      </c>
      <c r="Q41" s="410" t="s">
        <v>790</v>
      </c>
      <c r="R41" s="524" t="s">
        <v>791</v>
      </c>
      <c r="S41" s="437"/>
      <c r="T41" s="441"/>
      <c r="X41" s="511"/>
      <c r="Y41" s="511"/>
      <c r="Z41" s="511"/>
      <c r="AA41" s="511"/>
      <c r="AB41" s="511"/>
      <c r="AD41" s="511"/>
    </row>
    <row r="42" spans="1:39" s="410" customFormat="1" ht="12" customHeight="1">
      <c r="A42" s="442" t="s">
        <v>792</v>
      </c>
      <c r="B42" s="450" t="s">
        <v>793</v>
      </c>
      <c r="C42" s="456"/>
      <c r="D42" s="465"/>
      <c r="E42" s="498" t="s">
        <v>681</v>
      </c>
      <c r="F42" s="692" t="s">
        <v>681</v>
      </c>
      <c r="G42" s="441"/>
      <c r="H42" s="437"/>
      <c r="I42" s="406" t="s">
        <v>1100</v>
      </c>
      <c r="J42" s="523">
        <v>0.75</v>
      </c>
      <c r="K42" s="414"/>
      <c r="M42" s="437" t="s">
        <v>794</v>
      </c>
      <c r="N42" s="410">
        <v>250</v>
      </c>
      <c r="O42" s="410">
        <v>250</v>
      </c>
      <c r="Q42" s="410" t="s">
        <v>795</v>
      </c>
      <c r="R42" s="524" t="s">
        <v>796</v>
      </c>
      <c r="S42" s="437"/>
      <c r="T42" s="441"/>
      <c r="W42" s="527"/>
      <c r="X42" s="528"/>
      <c r="Y42" s="438"/>
      <c r="Z42" s="528"/>
      <c r="AA42" s="528"/>
      <c r="AB42" s="528"/>
      <c r="AD42" s="528"/>
      <c r="AE42" s="528"/>
      <c r="AF42" s="528"/>
      <c r="AG42" s="438"/>
      <c r="AH42" s="438"/>
      <c r="AI42" s="438"/>
      <c r="AJ42" s="438"/>
      <c r="AK42" s="438"/>
      <c r="AL42" s="438"/>
      <c r="AM42" s="438"/>
    </row>
    <row r="43" spans="1:39" s="410" customFormat="1" ht="12" customHeight="1">
      <c r="A43" s="442"/>
      <c r="B43" s="450" t="s">
        <v>784</v>
      </c>
      <c r="C43" s="467"/>
      <c r="D43" s="444"/>
      <c r="E43" s="712">
        <v>35</v>
      </c>
      <c r="F43" s="704">
        <v>30</v>
      </c>
      <c r="G43" s="441"/>
      <c r="H43" s="437"/>
      <c r="I43" s="406" t="s">
        <v>1101</v>
      </c>
      <c r="J43" s="523">
        <v>0.7</v>
      </c>
      <c r="M43" s="437" t="s">
        <v>797</v>
      </c>
      <c r="N43" s="410">
        <v>268</v>
      </c>
      <c r="O43" s="410">
        <v>268</v>
      </c>
      <c r="Q43" s="410" t="s">
        <v>798</v>
      </c>
      <c r="R43" s="524" t="s">
        <v>799</v>
      </c>
      <c r="S43" s="437"/>
      <c r="T43" s="441"/>
      <c r="W43" s="529"/>
      <c r="X43" s="529"/>
      <c r="Y43" s="529"/>
      <c r="Z43" s="529"/>
      <c r="AA43" s="529"/>
      <c r="AB43" s="529"/>
      <c r="AD43" s="529"/>
      <c r="AE43" s="529"/>
      <c r="AF43" s="529"/>
      <c r="AG43" s="529"/>
      <c r="AH43" s="529"/>
      <c r="AI43" s="529"/>
      <c r="AJ43" s="529"/>
      <c r="AK43" s="529"/>
      <c r="AL43" s="529"/>
      <c r="AM43" s="529"/>
    </row>
    <row r="44" spans="1:39" s="410" customFormat="1" ht="12" customHeight="1">
      <c r="A44" s="442"/>
      <c r="B44" s="443" t="s">
        <v>788</v>
      </c>
      <c r="C44" s="456"/>
      <c r="D44" s="444"/>
      <c r="E44" s="526"/>
      <c r="F44" s="694"/>
      <c r="G44" s="441"/>
      <c r="H44" s="437"/>
      <c r="I44" s="406" t="s">
        <v>1102</v>
      </c>
      <c r="J44" s="523">
        <v>0.65</v>
      </c>
      <c r="M44" s="517" t="s">
        <v>800</v>
      </c>
      <c r="N44" s="518">
        <v>285</v>
      </c>
      <c r="O44" s="518">
        <v>285</v>
      </c>
      <c r="P44" s="518"/>
      <c r="Q44" s="518" t="s">
        <v>801</v>
      </c>
      <c r="R44" s="530" t="s">
        <v>802</v>
      </c>
      <c r="S44" s="517"/>
      <c r="T44" s="531"/>
      <c r="W44" s="529"/>
      <c r="X44" s="529"/>
      <c r="Y44" s="529"/>
      <c r="Z44" s="529"/>
      <c r="AA44" s="529"/>
      <c r="AB44" s="529"/>
      <c r="AD44" s="529"/>
      <c r="AE44" s="529"/>
      <c r="AF44" s="529"/>
      <c r="AG44" s="529"/>
      <c r="AH44" s="529"/>
      <c r="AI44" s="529"/>
      <c r="AJ44" s="529"/>
      <c r="AK44" s="529"/>
      <c r="AL44" s="529"/>
      <c r="AM44" s="529"/>
    </row>
    <row r="45" spans="1:39" s="410" customFormat="1" ht="12" customHeight="1">
      <c r="A45" s="442"/>
      <c r="B45" s="443" t="s">
        <v>803</v>
      </c>
      <c r="C45" s="456" t="s">
        <v>804</v>
      </c>
      <c r="D45" s="465"/>
      <c r="E45" s="742">
        <v>6</v>
      </c>
      <c r="F45" s="705">
        <v>6</v>
      </c>
      <c r="G45" s="441"/>
      <c r="H45" s="437"/>
      <c r="I45" s="406" t="s">
        <v>1103</v>
      </c>
      <c r="J45" s="523">
        <v>0.6</v>
      </c>
      <c r="K45" s="416"/>
      <c r="X45" s="511"/>
      <c r="Y45" s="511"/>
      <c r="Z45" s="511"/>
      <c r="AA45" s="511"/>
      <c r="AB45" s="511"/>
      <c r="AD45" s="511"/>
    </row>
    <row r="46" spans="1:39" s="410" customFormat="1" ht="12" customHeight="1">
      <c r="A46" s="442"/>
      <c r="B46" s="443"/>
      <c r="C46" s="456" t="s">
        <v>805</v>
      </c>
      <c r="D46" s="465"/>
      <c r="E46" s="742">
        <v>12</v>
      </c>
      <c r="F46" s="705">
        <v>12</v>
      </c>
      <c r="G46" s="441"/>
      <c r="H46" s="437"/>
      <c r="I46" s="406" t="s">
        <v>1104</v>
      </c>
      <c r="J46" s="523">
        <v>0.55000000000000004</v>
      </c>
      <c r="K46" s="416"/>
      <c r="N46" s="532"/>
      <c r="X46" s="511"/>
      <c r="Y46" s="511"/>
      <c r="Z46" s="511"/>
      <c r="AA46" s="511"/>
      <c r="AB46" s="511"/>
      <c r="AD46" s="511"/>
    </row>
    <row r="47" spans="1:39" s="410" customFormat="1" ht="12" customHeight="1">
      <c r="A47" s="442" t="s">
        <v>149</v>
      </c>
      <c r="B47" s="450" t="s">
        <v>806</v>
      </c>
      <c r="C47" s="456"/>
      <c r="D47" s="465"/>
      <c r="E47" s="498" t="s">
        <v>681</v>
      </c>
      <c r="F47" s="692" t="s">
        <v>677</v>
      </c>
      <c r="G47" s="441"/>
      <c r="H47" s="517"/>
      <c r="I47" s="533" t="s">
        <v>814</v>
      </c>
      <c r="J47" s="534">
        <v>1</v>
      </c>
      <c r="K47" s="535"/>
      <c r="X47" s="511"/>
      <c r="Y47" s="511"/>
      <c r="Z47" s="511"/>
      <c r="AA47" s="511"/>
      <c r="AB47" s="511"/>
      <c r="AD47" s="511"/>
    </row>
    <row r="48" spans="1:39" s="410" customFormat="1" ht="12" customHeight="1">
      <c r="A48" s="449"/>
      <c r="B48" s="450" t="s">
        <v>807</v>
      </c>
      <c r="C48" s="456"/>
      <c r="D48" s="465"/>
      <c r="E48" s="493">
        <f>IF(OR(N6="",N6=0),1,N6%)</f>
        <v>1</v>
      </c>
      <c r="F48" s="698">
        <v>0.99</v>
      </c>
      <c r="G48" s="441"/>
      <c r="I48" s="536"/>
      <c r="J48" s="416"/>
      <c r="K48" s="416"/>
      <c r="X48" s="511"/>
      <c r="Y48" s="511"/>
      <c r="Z48" s="511"/>
      <c r="AA48" s="511"/>
      <c r="AB48" s="511"/>
      <c r="AD48" s="511"/>
    </row>
    <row r="49" spans="1:41" s="410" customFormat="1" ht="12" customHeight="1">
      <c r="A49" s="442" t="s">
        <v>3</v>
      </c>
      <c r="B49" s="443" t="s">
        <v>808</v>
      </c>
      <c r="C49" s="456"/>
      <c r="D49" s="492"/>
      <c r="E49" s="498" t="s">
        <v>703</v>
      </c>
      <c r="F49" s="692" t="s">
        <v>699</v>
      </c>
      <c r="G49" s="441"/>
      <c r="J49" s="416"/>
      <c r="W49" s="416"/>
      <c r="X49" s="416"/>
      <c r="Y49" s="416"/>
      <c r="Z49" s="416"/>
      <c r="AA49" s="416"/>
      <c r="AB49" s="416"/>
      <c r="AD49" s="416"/>
      <c r="AE49" s="416"/>
      <c r="AF49" s="416"/>
      <c r="AG49" s="416"/>
    </row>
    <row r="50" spans="1:41" s="410" customFormat="1" ht="12" customHeight="1">
      <c r="A50" s="442"/>
      <c r="B50" s="450" t="s">
        <v>809</v>
      </c>
      <c r="C50" s="456"/>
      <c r="D50" s="465"/>
      <c r="E50" s="493">
        <f>IF(O6="",0,O6%)</f>
        <v>0</v>
      </c>
      <c r="F50" s="698">
        <v>0.01</v>
      </c>
      <c r="G50" s="441"/>
      <c r="I50" s="537"/>
      <c r="J50" s="416"/>
      <c r="X50" s="416"/>
      <c r="Y50" s="416"/>
      <c r="Z50" s="416"/>
      <c r="AA50" s="416"/>
      <c r="AB50" s="416"/>
      <c r="AD50" s="416"/>
      <c r="AE50" s="416"/>
      <c r="AF50" s="416"/>
      <c r="AG50" s="416"/>
    </row>
    <row r="51" spans="1:41" s="410" customFormat="1" ht="12" customHeight="1">
      <c r="A51" s="442"/>
      <c r="B51" s="450" t="s">
        <v>810</v>
      </c>
      <c r="C51" s="456"/>
      <c r="D51" s="465"/>
      <c r="E51" s="538">
        <v>10</v>
      </c>
      <c r="F51" s="706">
        <v>10</v>
      </c>
      <c r="G51" s="441"/>
      <c r="I51" s="407"/>
      <c r="J51" s="413"/>
      <c r="K51" s="416"/>
      <c r="X51" s="511"/>
      <c r="Y51" s="511"/>
      <c r="Z51" s="511"/>
      <c r="AA51" s="511"/>
      <c r="AB51" s="511"/>
      <c r="AD51" s="511"/>
      <c r="AE51" s="416"/>
      <c r="AF51" s="416"/>
      <c r="AG51" s="416"/>
    </row>
    <row r="52" spans="1:41" s="410" customFormat="1" ht="12" customHeight="1">
      <c r="A52" s="539" t="s">
        <v>811</v>
      </c>
      <c r="B52" s="540" t="s">
        <v>812</v>
      </c>
      <c r="C52" s="541"/>
      <c r="D52" s="542"/>
      <c r="E52" s="543">
        <v>0</v>
      </c>
      <c r="F52" s="707">
        <v>0</v>
      </c>
      <c r="G52" s="441"/>
    </row>
    <row r="53" spans="1:41" s="410" customFormat="1" ht="12" customHeight="1">
      <c r="A53" s="544" t="s">
        <v>813</v>
      </c>
      <c r="B53" s="545"/>
      <c r="C53" s="546"/>
      <c r="D53" s="546"/>
      <c r="E53" s="547"/>
      <c r="F53" s="708"/>
      <c r="G53" s="441"/>
      <c r="AA53" s="511"/>
      <c r="AB53" s="511"/>
      <c r="AD53" s="511"/>
    </row>
    <row r="54" spans="1:41" s="410" customFormat="1" ht="12" customHeight="1">
      <c r="A54" s="544"/>
      <c r="B54" s="450" t="s">
        <v>776</v>
      </c>
      <c r="C54" s="548"/>
      <c r="D54" s="548"/>
      <c r="E54" s="549" t="s">
        <v>814</v>
      </c>
      <c r="F54" s="709" t="s">
        <v>814</v>
      </c>
      <c r="G54" s="441"/>
      <c r="AA54" s="511"/>
      <c r="AB54" s="511"/>
      <c r="AD54" s="511"/>
    </row>
    <row r="55" spans="1:41" s="410" customFormat="1" ht="12" customHeight="1">
      <c r="A55" s="550"/>
      <c r="B55" s="540" t="s">
        <v>237</v>
      </c>
      <c r="C55" s="551"/>
      <c r="D55" s="551"/>
      <c r="E55" s="552">
        <v>0</v>
      </c>
      <c r="F55" s="710">
        <v>0</v>
      </c>
      <c r="G55" s="531"/>
      <c r="AA55" s="511"/>
      <c r="AB55" s="511"/>
      <c r="AD55" s="511"/>
    </row>
    <row r="56" spans="1:41" s="410" customFormat="1" ht="12" customHeight="1">
      <c r="A56" s="553" t="s">
        <v>815</v>
      </c>
      <c r="B56" s="554" t="s">
        <v>816</v>
      </c>
      <c r="C56" s="554"/>
      <c r="D56" s="554" t="s">
        <v>817</v>
      </c>
      <c r="E56" s="554"/>
      <c r="F56" s="554" t="s">
        <v>818</v>
      </c>
      <c r="G56" s="555"/>
      <c r="H56" s="556" t="s">
        <v>819</v>
      </c>
      <c r="I56" s="436"/>
      <c r="J56" s="436"/>
      <c r="K56" s="436"/>
      <c r="L56" s="436"/>
      <c r="M56" s="434"/>
      <c r="AA56" s="557"/>
    </row>
    <row r="57" spans="1:41" s="410" customFormat="1" ht="12" customHeight="1">
      <c r="A57" s="558" t="s">
        <v>663</v>
      </c>
      <c r="B57" s="559" t="s">
        <v>820</v>
      </c>
      <c r="C57" s="559" t="s">
        <v>821</v>
      </c>
      <c r="D57" s="559" t="s">
        <v>820</v>
      </c>
      <c r="E57" s="559" t="s">
        <v>821</v>
      </c>
      <c r="F57" s="559" t="s">
        <v>820</v>
      </c>
      <c r="G57" s="560" t="s">
        <v>821</v>
      </c>
      <c r="H57" s="410" t="s">
        <v>822</v>
      </c>
      <c r="I57" s="561" t="s">
        <v>823</v>
      </c>
      <c r="J57" s="410" t="s">
        <v>824</v>
      </c>
      <c r="K57" s="410" t="s">
        <v>825</v>
      </c>
      <c r="L57" s="410" t="s">
        <v>826</v>
      </c>
      <c r="M57" s="441"/>
    </row>
    <row r="58" spans="1:41" s="410" customFormat="1" ht="12" customHeight="1">
      <c r="A58" s="484" t="s">
        <v>827</v>
      </c>
      <c r="B58" s="562">
        <v>0.33333333333333331</v>
      </c>
      <c r="C58" s="562">
        <v>0.75</v>
      </c>
      <c r="D58" s="563">
        <v>0</v>
      </c>
      <c r="E58" s="563">
        <v>0</v>
      </c>
      <c r="F58" s="563">
        <v>0</v>
      </c>
      <c r="G58" s="564">
        <v>0</v>
      </c>
      <c r="H58" s="410" t="s">
        <v>828</v>
      </c>
      <c r="I58" s="473">
        <f>5*MIN(24,HOUR(C58-B58)+MINUTE(C58-B58)/60+HOUR(C59-B59)+MINUTE(C59-B59)/60+HOUR(C60-B60)+MINUTE(C60-B60)/60+HOUR(C61-B61)+MINUTE(C61-B61)/60)</f>
        <v>50</v>
      </c>
      <c r="J58" s="473">
        <f>MIN(24,HOUR(E58-D58)+MINUTE(E58-D58)/60+HOUR(E59-D59)+MINUTE(E59-D59)/60+HOUR(E60-D60)+MINUTE(E60-D60)/60+HOUR(E61-D61)+MINUTE(E61-D61)/60)</f>
        <v>0</v>
      </c>
      <c r="K58" s="473">
        <f>MIN(24,HOUR(G58-F58)+MINUTE(G58-F58)/60+HOUR(G59-F59)+MINUTE(G59-F59)/60+HOUR(G60-F60)+MINUTE(G60-F60)/60+HOUR(G61-F61)+MINUTE(G61-F61)/60)</f>
        <v>0</v>
      </c>
      <c r="L58" s="473">
        <f>SUM(I58:K58)*VLOOKUP($E$54,$I$39:$J$47,2,FALSE)</f>
        <v>50</v>
      </c>
      <c r="M58" s="565">
        <f>L58/L$61</f>
        <v>0.625</v>
      </c>
    </row>
    <row r="59" spans="1:41" s="410" customFormat="1" ht="12" customHeight="1">
      <c r="A59" s="484"/>
      <c r="B59" s="563">
        <v>0</v>
      </c>
      <c r="C59" s="563">
        <v>0</v>
      </c>
      <c r="D59" s="563">
        <v>0</v>
      </c>
      <c r="E59" s="563">
        <v>0</v>
      </c>
      <c r="F59" s="563">
        <v>0</v>
      </c>
      <c r="G59" s="564">
        <v>0</v>
      </c>
      <c r="H59" s="410" t="s">
        <v>829</v>
      </c>
      <c r="I59" s="473">
        <f>5*MIN(24,HOUR(C62-B62)+MINUTE(C62-B62)/60+HOUR(C63-B63)+MINUTE(C63-B63)/60+HOUR(C64-B64)+MINUTE(C64-B64)/60+HOUR(C65-B65)+MINUTE(C65-B65)/60)</f>
        <v>15</v>
      </c>
      <c r="J59" s="473">
        <f>MIN(24,HOUR(E62-D62)+MINUTE(E62-D62)/60+HOUR(E63-D63)+MINUTE(E63-D63)/60+HOUR(E64-D64)+MINUTE(E64-D64)/60+HOUR(E65-D65)+MINUTE(E65-D65)/60)</f>
        <v>0</v>
      </c>
      <c r="K59" s="473">
        <f>MIN(24,HOUR(G62-F62)+MINUTE(G62-F62)/60+HOUR(G63-F63)+MINUTE(G63-F63)/60+HOUR(G64-F64)+MINUTE(G64-F64)/60+HOUR(G65-F65)+MINUTE(G65-F65)/60)</f>
        <v>0</v>
      </c>
      <c r="L59" s="473">
        <f>SUM(I59:K59)*VLOOKUP($E$54,$I$39:$J$47,2,FALSE)</f>
        <v>15</v>
      </c>
      <c r="M59" s="565">
        <f>L59/L$61</f>
        <v>0.1875</v>
      </c>
    </row>
    <row r="60" spans="1:41" s="410" customFormat="1" ht="12" customHeight="1">
      <c r="A60" s="484"/>
      <c r="B60" s="563"/>
      <c r="C60" s="563"/>
      <c r="D60" s="563"/>
      <c r="E60" s="563"/>
      <c r="F60" s="563"/>
      <c r="G60" s="564"/>
      <c r="H60" s="410" t="s">
        <v>830</v>
      </c>
      <c r="I60" s="473">
        <f>5*MIN(24,HOUR(C66-B66)+MINUTE(C66-B66)/60+HOUR(C67-B67)+MINUTE(C67-B67)/60+HOUR(C68-B68)+MINUTE(C68-B68)/60+HOUR(C69-B69)+MINUTE(C69-B69)/60)</f>
        <v>15</v>
      </c>
      <c r="J60" s="473">
        <f>MIN(24,HOUR(E66-D66)+MINUTE(E66-D66)/60+HOUR(E67-D67)+MINUTE(E67-D67)/60+HOUR(E68-D68)+MINUTE(E68-D68)/60+HOUR(E69-D69)+MINUTE(E69-D69)/60)</f>
        <v>0</v>
      </c>
      <c r="K60" s="473">
        <f>MIN(24,HOUR(G66-F66)+MINUTE(G66-F66)/60+HOUR(G67-F67)+MINUTE(G67-F67)/60+HOUR(G68-F68)+MINUTE(G68-F68)/60+HOUR(G69-F69)+MINUTE(G69-F69)/60)</f>
        <v>0</v>
      </c>
      <c r="L60" s="473">
        <f>SUM(I60:K60)*VLOOKUP($E$54,$I$39:$J$47,2,FALSE)</f>
        <v>15</v>
      </c>
      <c r="M60" s="565">
        <f>L60/L$61</f>
        <v>0.1875</v>
      </c>
    </row>
    <row r="61" spans="1:41" s="410" customFormat="1" ht="12" customHeight="1">
      <c r="A61" s="484"/>
      <c r="B61" s="563"/>
      <c r="C61" s="563"/>
      <c r="D61" s="563"/>
      <c r="E61" s="563"/>
      <c r="F61" s="563"/>
      <c r="G61" s="564"/>
      <c r="H61" s="566" t="s">
        <v>146</v>
      </c>
      <c r="I61" s="567">
        <f>SUM(I58:I60)</f>
        <v>80</v>
      </c>
      <c r="J61" s="567">
        <f>SUM(J58:J60)</f>
        <v>0</v>
      </c>
      <c r="K61" s="567">
        <f>SUM(K58:K60)</f>
        <v>0</v>
      </c>
      <c r="L61" s="568">
        <f>SUM(L58:L60)</f>
        <v>80</v>
      </c>
      <c r="M61" s="569">
        <f>L61/L$61</f>
        <v>1</v>
      </c>
      <c r="N61" s="570" t="s">
        <v>831</v>
      </c>
      <c r="O61" s="436"/>
      <c r="P61" s="436"/>
      <c r="Q61" s="436"/>
      <c r="R61" s="434"/>
    </row>
    <row r="62" spans="1:41" s="410" customFormat="1" ht="12" customHeight="1">
      <c r="A62" s="484" t="s">
        <v>829</v>
      </c>
      <c r="B62" s="562">
        <v>0.45833333333333331</v>
      </c>
      <c r="C62" s="562">
        <v>0.58333333333333337</v>
      </c>
      <c r="D62" s="563">
        <v>0</v>
      </c>
      <c r="E62" s="563">
        <v>0</v>
      </c>
      <c r="F62" s="563">
        <v>0</v>
      </c>
      <c r="G62" s="564">
        <v>0</v>
      </c>
      <c r="H62" s="556" t="s">
        <v>822</v>
      </c>
      <c r="I62" s="571"/>
      <c r="J62" s="571" t="s">
        <v>114</v>
      </c>
      <c r="K62" s="571"/>
      <c r="L62" s="436"/>
      <c r="M62" s="434"/>
      <c r="N62" s="572" t="s">
        <v>822</v>
      </c>
      <c r="R62" s="441"/>
      <c r="AD62" s="511"/>
      <c r="AI62" s="508"/>
      <c r="AM62" s="508"/>
      <c r="AO62" s="508"/>
    </row>
    <row r="63" spans="1:41" s="410" customFormat="1" ht="12" customHeight="1">
      <c r="A63" s="484"/>
      <c r="B63" s="563">
        <v>0</v>
      </c>
      <c r="C63" s="563">
        <v>0</v>
      </c>
      <c r="D63" s="563">
        <v>0</v>
      </c>
      <c r="E63" s="563">
        <v>0</v>
      </c>
      <c r="F63" s="563">
        <v>0</v>
      </c>
      <c r="G63" s="564">
        <v>0</v>
      </c>
      <c r="I63" s="573"/>
      <c r="J63" s="574" t="s">
        <v>113</v>
      </c>
      <c r="K63" s="574" t="s">
        <v>832</v>
      </c>
      <c r="L63" s="438" t="s">
        <v>112</v>
      </c>
      <c r="M63" s="575" t="s">
        <v>833</v>
      </c>
      <c r="N63" s="437"/>
      <c r="O63" s="574" t="s">
        <v>113</v>
      </c>
      <c r="P63" s="574" t="s">
        <v>832</v>
      </c>
      <c r="Q63" s="438" t="s">
        <v>112</v>
      </c>
      <c r="R63" s="575" t="s">
        <v>833</v>
      </c>
      <c r="AD63" s="511"/>
    </row>
    <row r="64" spans="1:41" s="410" customFormat="1" ht="12" customHeight="1">
      <c r="A64" s="484"/>
      <c r="B64" s="563"/>
      <c r="C64" s="563"/>
      <c r="D64" s="563"/>
      <c r="E64" s="563"/>
      <c r="F64" s="563"/>
      <c r="G64" s="564"/>
      <c r="H64" s="410" t="s">
        <v>827</v>
      </c>
      <c r="I64" s="491"/>
      <c r="J64" s="573">
        <f>E18</f>
        <v>8578.5714285714294</v>
      </c>
      <c r="K64" s="573">
        <f>J64*M58</f>
        <v>5361.6071428571431</v>
      </c>
      <c r="L64" s="576">
        <f>(I14/C108+I17/E108)</f>
        <v>6.8628571428571439</v>
      </c>
      <c r="M64" s="577">
        <f>L64*M58</f>
        <v>4.2892857142857146</v>
      </c>
      <c r="N64" s="437" t="s">
        <v>834</v>
      </c>
      <c r="O64" s="578">
        <f>E18+$E$27</f>
        <v>8578.5714285714294</v>
      </c>
      <c r="P64" s="410">
        <f>M58*O64</f>
        <v>5361.6071428571431</v>
      </c>
      <c r="Q64" s="475">
        <f>IF(P64=0,0,(I14*(E27+E18)^2.5/E18^2.5)/C108+(I17*(E27+E23)^2.5/E23^2.5)/E108)</f>
        <v>6.8628571428571439</v>
      </c>
      <c r="R64" s="579">
        <f>Q64*M58</f>
        <v>4.2892857142857146</v>
      </c>
      <c r="Y64" s="473"/>
      <c r="Z64" s="473"/>
      <c r="AA64" s="473"/>
      <c r="AB64" s="473"/>
      <c r="AD64" s="511"/>
    </row>
    <row r="65" spans="1:30" s="410" customFormat="1" ht="12" customHeight="1">
      <c r="A65" s="484"/>
      <c r="B65" s="563"/>
      <c r="C65" s="563"/>
      <c r="D65" s="563"/>
      <c r="E65" s="563"/>
      <c r="F65" s="563"/>
      <c r="G65" s="564"/>
      <c r="H65" s="410" t="s">
        <v>829</v>
      </c>
      <c r="I65" s="491"/>
      <c r="J65" s="573">
        <f>E19</f>
        <v>8578.5714285714294</v>
      </c>
      <c r="K65" s="573">
        <f>J65*M59</f>
        <v>1608.4821428571431</v>
      </c>
      <c r="L65" s="576">
        <f>(I15/C108+I18/E108)</f>
        <v>6.8628571428571439</v>
      </c>
      <c r="M65" s="577">
        <f>L65*M59</f>
        <v>1.2867857142857144</v>
      </c>
      <c r="N65" s="437" t="s">
        <v>829</v>
      </c>
      <c r="O65" s="578">
        <f>E19+$E$27</f>
        <v>8578.5714285714294</v>
      </c>
      <c r="P65" s="410">
        <f>M59*O65</f>
        <v>1608.4821428571431</v>
      </c>
      <c r="Q65" s="475">
        <f>IF(P65=0,0,(I15*(E27+E19)^2.5/E19^2.5)/C108+(I18*(E27+E24)^2.5/E24^2.5)/E108)</f>
        <v>6.8628571428571439</v>
      </c>
      <c r="R65" s="579">
        <f>Q65*M59</f>
        <v>1.2867857142857144</v>
      </c>
      <c r="AD65" s="511"/>
    </row>
    <row r="66" spans="1:30" s="410" customFormat="1" ht="12" customHeight="1">
      <c r="A66" s="484" t="s">
        <v>830</v>
      </c>
      <c r="B66" s="562">
        <v>0.58333333333333337</v>
      </c>
      <c r="C66" s="562">
        <v>0.70833333333333337</v>
      </c>
      <c r="D66" s="563">
        <v>0</v>
      </c>
      <c r="E66" s="563">
        <v>0</v>
      </c>
      <c r="F66" s="563">
        <v>0</v>
      </c>
      <c r="G66" s="564">
        <v>0</v>
      </c>
      <c r="H66" s="410" t="s">
        <v>830</v>
      </c>
      <c r="I66" s="491"/>
      <c r="J66" s="573">
        <f>E20</f>
        <v>8578.5714285714294</v>
      </c>
      <c r="K66" s="573">
        <f>J66*M60</f>
        <v>1608.4821428571431</v>
      </c>
      <c r="L66" s="576">
        <f>(I16/C108+I19/E108)</f>
        <v>6.8628571428571439</v>
      </c>
      <c r="M66" s="577">
        <f>L66*M60</f>
        <v>1.2867857142857144</v>
      </c>
      <c r="N66" s="437" t="s">
        <v>830</v>
      </c>
      <c r="O66" s="578">
        <f>E20+$E$27</f>
        <v>8578.5714285714294</v>
      </c>
      <c r="P66" s="410">
        <f>M60*O66</f>
        <v>1608.4821428571431</v>
      </c>
      <c r="Q66" s="475">
        <f>IF(P66=0,0,(I16*(E27+E20)^2.5/E20^2.5)/C108+(I19*(E27+E25)^2.5/E25^2.5)/E108)</f>
        <v>6.8628571428571439</v>
      </c>
      <c r="R66" s="579">
        <f>Q66*M60</f>
        <v>1.2867857142857144</v>
      </c>
      <c r="AD66" s="511"/>
    </row>
    <row r="67" spans="1:30" s="410" customFormat="1" ht="12" customHeight="1">
      <c r="A67" s="484"/>
      <c r="B67" s="563">
        <v>0</v>
      </c>
      <c r="C67" s="563">
        <v>0</v>
      </c>
      <c r="D67" s="563">
        <v>0</v>
      </c>
      <c r="E67" s="563">
        <v>0</v>
      </c>
      <c r="F67" s="563">
        <v>0</v>
      </c>
      <c r="G67" s="564">
        <v>0</v>
      </c>
      <c r="H67" s="508" t="s">
        <v>835</v>
      </c>
      <c r="I67" s="491"/>
      <c r="J67" s="649"/>
      <c r="K67" s="573">
        <f>SUM(K64:K66)</f>
        <v>8578.5714285714294</v>
      </c>
      <c r="M67" s="621">
        <f>SUM(M64:M66)</f>
        <v>6.862857142857143</v>
      </c>
      <c r="N67" s="572" t="s">
        <v>835</v>
      </c>
      <c r="P67" s="573">
        <f>SUM(P64:P66)</f>
        <v>8578.5714285714294</v>
      </c>
      <c r="Q67" s="726"/>
      <c r="R67" s="915">
        <f>SUM(R64:R66)</f>
        <v>6.862857142857143</v>
      </c>
      <c r="AD67" s="511"/>
    </row>
    <row r="68" spans="1:30" s="410" customFormat="1" ht="12" customHeight="1">
      <c r="A68" s="484"/>
      <c r="B68" s="563"/>
      <c r="C68" s="563"/>
      <c r="D68" s="563"/>
      <c r="E68" s="563"/>
      <c r="F68" s="563"/>
      <c r="G68" s="564"/>
      <c r="H68" s="905" t="s">
        <v>1241</v>
      </c>
      <c r="I68" s="906"/>
      <c r="J68" s="906"/>
      <c r="K68" s="906">
        <f>IF($I$8=1,INDEX(Std!$Q$6:$V$50,MATCH('Berechnung LU'!$B$6,Std!$B$6:$B$50,0),1),IF($I$8=2,INDEX(Std!$Q$6:$V$50,MATCH('Berechnung LU'!$B$6,Std!$B$6:$B$50,0),3),IF($I$8=3,INDEX(Std!$Q$6:$V$50,MATCH('Berechnung LU'!$B$6,Std!$B$6:$B$50,0),5),FALSE)))</f>
        <v>3900</v>
      </c>
      <c r="L68" s="907"/>
      <c r="M68" s="819"/>
      <c r="N68" s="818"/>
      <c r="O68" s="907"/>
      <c r="P68" s="907"/>
      <c r="Q68" s="907"/>
      <c r="R68" s="819"/>
      <c r="AD68" s="511"/>
    </row>
    <row r="69" spans="1:30" s="410" customFormat="1" ht="12" customHeight="1">
      <c r="A69" s="484"/>
      <c r="B69" s="563"/>
      <c r="C69" s="563"/>
      <c r="D69" s="563"/>
      <c r="E69" s="563"/>
      <c r="F69" s="563"/>
      <c r="G69" s="564"/>
      <c r="H69" s="908" t="s">
        <v>1243</v>
      </c>
      <c r="K69" s="909">
        <f>IF($I$8=1,INDEX(Std!$Q$6:$V$50,MATCH('Berechnung LU'!$B$6,Std!$B$6:$B$50,0),2),IF($I$8=2,INDEX(Std!$Q$6:$V$50,MATCH('Berechnung LU'!$B$6,Std!$B$6:$B$50,0),4),IF($I$8=3,INDEX(Std!$Q$6:$V$50,MATCH('Berechnung LU'!$B$6,Std!$B$6:$B$50,0),6),FALSE)))</f>
        <v>3900</v>
      </c>
      <c r="M69" s="441"/>
      <c r="N69" s="437"/>
      <c r="R69" s="441"/>
      <c r="AD69" s="511"/>
    </row>
    <row r="70" spans="1:30" s="410" customFormat="1" ht="12" customHeight="1">
      <c r="A70" s="584" t="s">
        <v>836</v>
      </c>
      <c r="B70" s="518" t="s">
        <v>515</v>
      </c>
      <c r="C70" s="585">
        <v>1</v>
      </c>
      <c r="D70" s="518" t="s">
        <v>515</v>
      </c>
      <c r="E70" s="585">
        <v>1</v>
      </c>
      <c r="F70" s="518" t="s">
        <v>515</v>
      </c>
      <c r="G70" s="586">
        <v>1</v>
      </c>
      <c r="H70" s="517"/>
      <c r="I70" s="518"/>
      <c r="J70" s="518"/>
      <c r="K70" s="910">
        <f>E7*K68/8760</f>
        <v>3819.2270058708418</v>
      </c>
      <c r="L70" s="911"/>
      <c r="M70" s="904">
        <f>G6*K69/K68</f>
        <v>6.8628571428571439</v>
      </c>
      <c r="N70" s="912"/>
      <c r="O70" s="911"/>
      <c r="P70" s="913">
        <f>K70</f>
        <v>3819.2270058708418</v>
      </c>
      <c r="Q70" s="911"/>
      <c r="R70" s="914">
        <f>M70</f>
        <v>6.8628571428571439</v>
      </c>
      <c r="AD70" s="511"/>
    </row>
    <row r="71" spans="1:30" s="410" customFormat="1" ht="12" hidden="1" customHeight="1" outlineLevel="1">
      <c r="A71" s="553" t="s">
        <v>815</v>
      </c>
      <c r="B71" s="554" t="s">
        <v>816</v>
      </c>
      <c r="C71" s="554"/>
      <c r="D71" s="554" t="s">
        <v>817</v>
      </c>
      <c r="E71" s="554"/>
      <c r="F71" s="554" t="s">
        <v>818</v>
      </c>
      <c r="G71" s="555"/>
      <c r="H71" s="556" t="s">
        <v>819</v>
      </c>
      <c r="I71" s="436"/>
      <c r="J71" s="436"/>
      <c r="K71" s="436"/>
      <c r="L71" s="436"/>
      <c r="M71" s="434"/>
      <c r="Y71" s="511"/>
      <c r="Z71" s="511"/>
      <c r="AA71" s="511"/>
      <c r="AB71" s="511"/>
      <c r="AD71" s="511"/>
    </row>
    <row r="72" spans="1:30" s="410" customFormat="1" ht="12" hidden="1" customHeight="1" outlineLevel="1">
      <c r="A72" s="558" t="s">
        <v>837</v>
      </c>
      <c r="B72" s="559" t="s">
        <v>820</v>
      </c>
      <c r="C72" s="559" t="s">
        <v>821</v>
      </c>
      <c r="D72" s="559" t="s">
        <v>820</v>
      </c>
      <c r="E72" s="559" t="s">
        <v>821</v>
      </c>
      <c r="F72" s="559" t="s">
        <v>820</v>
      </c>
      <c r="G72" s="560" t="s">
        <v>821</v>
      </c>
      <c r="H72" s="410" t="s">
        <v>838</v>
      </c>
      <c r="I72" s="561" t="s">
        <v>823</v>
      </c>
      <c r="J72" s="410" t="s">
        <v>824</v>
      </c>
      <c r="K72" s="410" t="s">
        <v>825</v>
      </c>
      <c r="L72" s="410" t="s">
        <v>826</v>
      </c>
      <c r="M72" s="441"/>
      <c r="Z72" s="491"/>
      <c r="AA72" s="587"/>
      <c r="AD72" s="511"/>
    </row>
    <row r="73" spans="1:30" s="410" customFormat="1" ht="12" hidden="1" customHeight="1" outlineLevel="1">
      <c r="A73" s="484" t="s">
        <v>827</v>
      </c>
      <c r="B73" s="562">
        <v>0.33333333333333331</v>
      </c>
      <c r="C73" s="562">
        <v>0.75</v>
      </c>
      <c r="D73" s="563">
        <v>0</v>
      </c>
      <c r="E73" s="563">
        <v>0</v>
      </c>
      <c r="F73" s="563">
        <v>0</v>
      </c>
      <c r="G73" s="564">
        <v>0</v>
      </c>
      <c r="H73" s="410" t="s">
        <v>828</v>
      </c>
      <c r="I73" s="473">
        <f>5*MIN(24,HOUR(C73-B73)+MINUTE(C73-B73)/60+HOUR(C74-B74)+MINUTE(C74-B74)/60+HOUR(C75-B75)+MINUTE(C75-B75)/60+HOUR(C76-B76)+MINUTE(C76-B76)/60)</f>
        <v>50</v>
      </c>
      <c r="J73" s="473">
        <f>MIN(24,HOUR(E73-D73)+MINUTE(E73-D73)/60+HOUR(E74-D74)+MINUTE(E74-D74)/60+HOUR(E75-D75)+MINUTE(E75-D75)/60+HOUR(E76-D76)+MINUTE(E76-D76)/60)</f>
        <v>0</v>
      </c>
      <c r="K73" s="473">
        <f>MIN(24,HOUR(G73-F73)+MINUTE(G73-F73)/60+HOUR(G74-F74)+MINUTE(G74-F74)/60+HOUR(G75-F75)+MINUTE(G75-F75)/60+HOUR(G76-F76)+MINUTE(G76-F76)/60)</f>
        <v>0</v>
      </c>
      <c r="L73" s="473">
        <f>SUM(I73:K73)*VLOOKUP($F$54,$I$39:$J$47,2,FALSE)</f>
        <v>50</v>
      </c>
      <c r="M73" s="565">
        <f>L73/L$76</f>
        <v>1</v>
      </c>
      <c r="O73" s="532"/>
      <c r="Z73" s="491"/>
      <c r="AA73" s="587"/>
      <c r="AD73" s="511"/>
    </row>
    <row r="74" spans="1:30" s="410" customFormat="1" ht="12" hidden="1" customHeight="1" outlineLevel="1">
      <c r="A74" s="484"/>
      <c r="B74" s="563">
        <v>0</v>
      </c>
      <c r="C74" s="563">
        <v>0</v>
      </c>
      <c r="D74" s="563">
        <v>0</v>
      </c>
      <c r="E74" s="563">
        <v>0</v>
      </c>
      <c r="F74" s="563">
        <v>0</v>
      </c>
      <c r="G74" s="564">
        <v>0</v>
      </c>
      <c r="H74" s="410" t="s">
        <v>829</v>
      </c>
      <c r="I74" s="473">
        <f>5*MIN(24,HOUR(C77-B77)+MINUTE(C77-B77)/60+HOUR(C78-B78)+MINUTE(C78-B78)/60+HOUR(C79-B79)+MINUTE(C79-B79)/60+HOUR(C80-B80)+MINUTE(C80-B80)/60)</f>
        <v>0</v>
      </c>
      <c r="J74" s="473">
        <f>MIN(24,HOUR(E77-D77)+MINUTE(E77-D77)/60+HOUR(E78-D78)+MINUTE(E78-D78)/60+HOUR(E79-D79)+MINUTE(E79-D79)/60+HOUR(E80-D80)+MINUTE(E80-D80)/60)</f>
        <v>0</v>
      </c>
      <c r="K74" s="473">
        <f>MIN(24,HOUR(G77-F77)+MINUTE(G77-F77)/60+HOUR(G78-F78)+MINUTE(G78-F78)/60+HOUR(G79-F79)+MINUTE(G79-F79)/60+HOUR(G80-F80)+MINUTE(G80-F80)/60)</f>
        <v>0</v>
      </c>
      <c r="L74" s="473">
        <f>SUM(I74:K74)*VLOOKUP($F$54,$I$39:$J$47,2,FALSE)</f>
        <v>0</v>
      </c>
      <c r="M74" s="565">
        <f>L74/L$76</f>
        <v>0</v>
      </c>
      <c r="O74" s="532"/>
      <c r="Y74" s="511"/>
      <c r="Z74" s="511"/>
      <c r="AA74" s="511"/>
      <c r="AB74" s="511"/>
    </row>
    <row r="75" spans="1:30" s="410" customFormat="1" ht="12" hidden="1" customHeight="1" outlineLevel="1">
      <c r="A75" s="484"/>
      <c r="B75" s="563"/>
      <c r="C75" s="563"/>
      <c r="D75" s="563"/>
      <c r="E75" s="563"/>
      <c r="F75" s="563"/>
      <c r="G75" s="564"/>
      <c r="H75" s="410" t="s">
        <v>830</v>
      </c>
      <c r="I75" s="473">
        <f>5*MIN(24,HOUR(C81-B81)+MINUTE(C81-B81)/60+HOUR(C82-B82)+MINUTE(C82-B82)/60+HOUR(C83-B83)+MINUTE(C83-B83)/60+HOUR(C84-B84)+MINUTE(C84-B84)/60)</f>
        <v>0</v>
      </c>
      <c r="J75" s="473">
        <f>MIN(24,HOUR(E81-D81)+MINUTE(E81-D81)/60+HOUR(E82-D82)+MINUTE(E82-D82)/60+HOUR(E83-D83)+MINUTE(E83-D83)/60+HOUR(E84-D84)+MINUTE(E84-D84)/60)</f>
        <v>0</v>
      </c>
      <c r="K75" s="473">
        <f>MIN(24,HOUR(G81-F81)+MINUTE(G81-F81)/60+HOUR(G82-F82)+MINUTE(G82-F82)/60+HOUR(G83-F83)+MINUTE(G83-F83)/60+HOUR(G84-F84)+MINUTE(G84-F84)/60)</f>
        <v>0</v>
      </c>
      <c r="L75" s="473">
        <f>SUM(I75:K75)*VLOOKUP($F$54,$I$39:$J$47,2,FALSE)</f>
        <v>0</v>
      </c>
      <c r="M75" s="565">
        <f>L75/L$76</f>
        <v>0</v>
      </c>
      <c r="AD75" s="511"/>
    </row>
    <row r="76" spans="1:30" s="410" customFormat="1" ht="12" hidden="1" customHeight="1" outlineLevel="1">
      <c r="A76" s="484"/>
      <c r="B76" s="563"/>
      <c r="C76" s="563"/>
      <c r="D76" s="563"/>
      <c r="E76" s="563"/>
      <c r="F76" s="563"/>
      <c r="G76" s="564"/>
      <c r="H76" s="566" t="s">
        <v>146</v>
      </c>
      <c r="I76" s="567">
        <f>SUM(I73:I75)</f>
        <v>50</v>
      </c>
      <c r="J76" s="567">
        <f>SUM(J73:J75)</f>
        <v>0</v>
      </c>
      <c r="K76" s="567">
        <f>SUM(K73:K75)</f>
        <v>0</v>
      </c>
      <c r="L76" s="567">
        <f>SUM(L73:L75)</f>
        <v>50</v>
      </c>
      <c r="M76" s="569">
        <f>L76/L$76</f>
        <v>1</v>
      </c>
      <c r="N76" s="570" t="s">
        <v>831</v>
      </c>
      <c r="O76" s="588"/>
      <c r="P76" s="436"/>
      <c r="Q76" s="436"/>
      <c r="R76" s="434"/>
    </row>
    <row r="77" spans="1:30" s="410" customFormat="1" ht="12" hidden="1" customHeight="1" outlineLevel="1">
      <c r="A77" s="484" t="s">
        <v>829</v>
      </c>
      <c r="B77" s="563">
        <v>0</v>
      </c>
      <c r="C77" s="563">
        <v>0</v>
      </c>
      <c r="D77" s="563">
        <v>0</v>
      </c>
      <c r="E77" s="563">
        <v>0</v>
      </c>
      <c r="F77" s="563">
        <v>0</v>
      </c>
      <c r="G77" s="564">
        <v>0</v>
      </c>
      <c r="H77" s="556" t="s">
        <v>838</v>
      </c>
      <c r="I77" s="571"/>
      <c r="J77" s="589" t="s">
        <v>114</v>
      </c>
      <c r="K77" s="589"/>
      <c r="L77" s="436"/>
      <c r="M77" s="434"/>
      <c r="N77" s="572" t="s">
        <v>838</v>
      </c>
      <c r="R77" s="441"/>
      <c r="Y77" s="491"/>
      <c r="Z77" s="491"/>
      <c r="AA77" s="491"/>
      <c r="AB77" s="491"/>
    </row>
    <row r="78" spans="1:30" s="410" customFormat="1" ht="12" hidden="1" customHeight="1" outlineLevel="1">
      <c r="A78" s="484"/>
      <c r="B78" s="563">
        <v>0</v>
      </c>
      <c r="C78" s="563">
        <v>0</v>
      </c>
      <c r="D78" s="563">
        <v>0</v>
      </c>
      <c r="E78" s="563">
        <v>0</v>
      </c>
      <c r="F78" s="563">
        <v>0</v>
      </c>
      <c r="G78" s="564">
        <v>0</v>
      </c>
      <c r="I78" s="573"/>
      <c r="J78" s="574" t="s">
        <v>113</v>
      </c>
      <c r="K78" s="574" t="s">
        <v>832</v>
      </c>
      <c r="L78" s="438" t="s">
        <v>112</v>
      </c>
      <c r="M78" s="575" t="s">
        <v>833</v>
      </c>
      <c r="N78" s="437"/>
      <c r="O78" s="574" t="s">
        <v>113</v>
      </c>
      <c r="P78" s="574" t="s">
        <v>832</v>
      </c>
      <c r="Q78" s="438" t="s">
        <v>112</v>
      </c>
      <c r="R78" s="575" t="s">
        <v>833</v>
      </c>
      <c r="Y78" s="491"/>
      <c r="Z78" s="491"/>
      <c r="AA78" s="491"/>
      <c r="AB78" s="491"/>
    </row>
    <row r="79" spans="1:30" s="410" customFormat="1" ht="12" hidden="1" customHeight="1" outlineLevel="1">
      <c r="A79" s="484"/>
      <c r="B79" s="563"/>
      <c r="C79" s="563"/>
      <c r="D79" s="563"/>
      <c r="E79" s="563"/>
      <c r="F79" s="563"/>
      <c r="G79" s="564"/>
      <c r="H79" s="410" t="s">
        <v>827</v>
      </c>
      <c r="I79" s="491"/>
      <c r="J79" s="573">
        <f>F18</f>
        <v>0</v>
      </c>
      <c r="K79" s="573">
        <f>J79*M73</f>
        <v>0</v>
      </c>
      <c r="L79" s="576">
        <f>(J14/H$108+J17/J$108)</f>
        <v>0</v>
      </c>
      <c r="M79" s="577">
        <f>L79*M73</f>
        <v>0</v>
      </c>
      <c r="N79" s="437" t="s">
        <v>834</v>
      </c>
      <c r="O79" s="578">
        <f>F18+$F$27</f>
        <v>0</v>
      </c>
      <c r="P79" s="410">
        <f>M73*O79</f>
        <v>0</v>
      </c>
      <c r="Q79" s="475">
        <f>IF(P79=0,0,(J14*(F27+F18)^2.5/F18^2.5)/C108+(J17*(F27+F23)^2.5/F23^2.5)/E108)</f>
        <v>0</v>
      </c>
      <c r="R79" s="579">
        <f>Q79*M73</f>
        <v>0</v>
      </c>
      <c r="Y79" s="491"/>
      <c r="Z79" s="491"/>
      <c r="AA79" s="491"/>
      <c r="AB79" s="491"/>
    </row>
    <row r="80" spans="1:30" s="410" customFormat="1" ht="12" hidden="1" customHeight="1" outlineLevel="1">
      <c r="A80" s="484"/>
      <c r="B80" s="563"/>
      <c r="C80" s="563"/>
      <c r="D80" s="563"/>
      <c r="E80" s="563"/>
      <c r="F80" s="563"/>
      <c r="G80" s="564"/>
      <c r="H80" s="410" t="s">
        <v>829</v>
      </c>
      <c r="I80" s="491"/>
      <c r="J80" s="573">
        <f>F19</f>
        <v>0</v>
      </c>
      <c r="K80" s="573">
        <f>J80*M74</f>
        <v>0</v>
      </c>
      <c r="L80" s="576">
        <f>(J15/H$108+J18/J$108)</f>
        <v>0</v>
      </c>
      <c r="M80" s="577">
        <f>L80*M74</f>
        <v>0</v>
      </c>
      <c r="N80" s="437" t="s">
        <v>829</v>
      </c>
      <c r="O80" s="578">
        <f>F19+$F$27</f>
        <v>0</v>
      </c>
      <c r="P80" s="410">
        <f>M74*O80</f>
        <v>0</v>
      </c>
      <c r="Q80" s="475">
        <f>IF(P80=0,0,(J15*(F27+F19)^2.5/F19^2.5)/C108+(J18*(F27+F24)^2.5/F24^2.5)/E108)</f>
        <v>0</v>
      </c>
      <c r="R80" s="579">
        <f>Q80*M74</f>
        <v>0</v>
      </c>
      <c r="Z80" s="491"/>
      <c r="AA80" s="491"/>
      <c r="AB80" s="491"/>
    </row>
    <row r="81" spans="1:28" s="410" customFormat="1" ht="12" hidden="1" customHeight="1" outlineLevel="1">
      <c r="A81" s="484" t="s">
        <v>830</v>
      </c>
      <c r="B81" s="563">
        <v>0</v>
      </c>
      <c r="C81" s="563">
        <v>0</v>
      </c>
      <c r="D81" s="563">
        <v>0</v>
      </c>
      <c r="E81" s="563">
        <v>0</v>
      </c>
      <c r="F81" s="563">
        <v>0</v>
      </c>
      <c r="G81" s="564">
        <v>0</v>
      </c>
      <c r="H81" s="410" t="s">
        <v>830</v>
      </c>
      <c r="I81" s="491"/>
      <c r="J81" s="573">
        <f>F20</f>
        <v>0</v>
      </c>
      <c r="K81" s="573">
        <f>J81*M75</f>
        <v>0</v>
      </c>
      <c r="L81" s="576">
        <f>(J16/H$108+J19/J$108)</f>
        <v>0</v>
      </c>
      <c r="M81" s="577">
        <f>L81*M75</f>
        <v>0</v>
      </c>
      <c r="N81" s="437" t="s">
        <v>830</v>
      </c>
      <c r="O81" s="578">
        <f>F20+$F$27</f>
        <v>0</v>
      </c>
      <c r="P81" s="410">
        <f>M75*O81</f>
        <v>0</v>
      </c>
      <c r="Q81" s="475">
        <f>IF(P81=0,0,(J16*(F27+F20)^2.5/F20^2.5)/C108+(J19*(F27+F25)^2.5/F25^2.5)/E108)</f>
        <v>0</v>
      </c>
      <c r="R81" s="579">
        <f>Q81*M75</f>
        <v>0</v>
      </c>
      <c r="AA81" s="491"/>
      <c r="AB81" s="491"/>
    </row>
    <row r="82" spans="1:28" s="410" customFormat="1" ht="12" hidden="1" customHeight="1" outlineLevel="1">
      <c r="A82" s="484"/>
      <c r="B82" s="563">
        <v>0</v>
      </c>
      <c r="C82" s="563">
        <v>0</v>
      </c>
      <c r="D82" s="563">
        <v>0</v>
      </c>
      <c r="E82" s="563">
        <v>0</v>
      </c>
      <c r="F82" s="563">
        <v>0</v>
      </c>
      <c r="G82" s="564">
        <v>0</v>
      </c>
      <c r="H82" s="566" t="s">
        <v>835</v>
      </c>
      <c r="I82" s="580"/>
      <c r="J82" s="581"/>
      <c r="K82" s="582">
        <f>SUM(K79:K81)</f>
        <v>0</v>
      </c>
      <c r="L82" s="518"/>
      <c r="M82" s="590">
        <f>SUM(M79:M81)-B114</f>
        <v>0</v>
      </c>
      <c r="N82" s="583" t="s">
        <v>835</v>
      </c>
      <c r="O82" s="518"/>
      <c r="P82" s="566">
        <f>SUM(P79:P81)</f>
        <v>0</v>
      </c>
      <c r="Q82" s="566"/>
      <c r="R82" s="591">
        <f>SUM(R79:R81)</f>
        <v>0</v>
      </c>
      <c r="AA82" s="491"/>
      <c r="AB82" s="491"/>
    </row>
    <row r="83" spans="1:28" s="410" customFormat="1" ht="12" hidden="1" customHeight="1" outlineLevel="1">
      <c r="A83" s="484"/>
      <c r="B83" s="563"/>
      <c r="C83" s="563"/>
      <c r="D83" s="563"/>
      <c r="E83" s="563"/>
      <c r="F83" s="563"/>
      <c r="G83" s="564"/>
      <c r="AB83" s="491"/>
    </row>
    <row r="84" spans="1:28" s="410" customFormat="1" ht="12" hidden="1" customHeight="1" outlineLevel="1">
      <c r="A84" s="484"/>
      <c r="B84" s="563"/>
      <c r="C84" s="563"/>
      <c r="D84" s="563"/>
      <c r="E84" s="563"/>
      <c r="F84" s="563"/>
      <c r="G84" s="564"/>
      <c r="AA84" s="491"/>
    </row>
    <row r="85" spans="1:28" s="410" customFormat="1" ht="12" hidden="1" customHeight="1" outlineLevel="1">
      <c r="A85" s="584" t="s">
        <v>836</v>
      </c>
      <c r="B85" s="518" t="s">
        <v>515</v>
      </c>
      <c r="C85" s="585">
        <v>1</v>
      </c>
      <c r="D85" s="518" t="s">
        <v>515</v>
      </c>
      <c r="E85" s="585">
        <v>1</v>
      </c>
      <c r="F85" s="518" t="s">
        <v>515</v>
      </c>
      <c r="G85" s="586">
        <v>1</v>
      </c>
      <c r="AA85" s="491"/>
    </row>
    <row r="86" spans="1:28" s="410" customFormat="1" ht="12" customHeight="1" collapsed="1">
      <c r="A86" s="429" t="s">
        <v>839</v>
      </c>
      <c r="B86" s="592" t="s">
        <v>646</v>
      </c>
      <c r="C86" s="592" t="s">
        <v>840</v>
      </c>
      <c r="D86" s="433" t="s">
        <v>841</v>
      </c>
      <c r="G86" s="441"/>
      <c r="H86" s="556" t="s">
        <v>842</v>
      </c>
      <c r="I86" s="436"/>
      <c r="J86" s="434"/>
      <c r="O86" s="532"/>
      <c r="AA86" s="491"/>
    </row>
    <row r="87" spans="1:28" s="410" customFormat="1" ht="12" customHeight="1">
      <c r="A87" s="558" t="s">
        <v>663</v>
      </c>
      <c r="B87" s="593" t="s">
        <v>843</v>
      </c>
      <c r="C87" s="593" t="s">
        <v>844</v>
      </c>
      <c r="D87" s="594" t="s">
        <v>845</v>
      </c>
      <c r="G87" s="441"/>
      <c r="J87" s="441"/>
      <c r="O87" s="532"/>
      <c r="AA87" s="491"/>
    </row>
    <row r="88" spans="1:28" s="410" customFormat="1" ht="12" customHeight="1">
      <c r="A88" s="442"/>
      <c r="B88" s="744">
        <v>-15</v>
      </c>
      <c r="C88" s="746">
        <f>IF(M6=0,B88,M6)</f>
        <v>21</v>
      </c>
      <c r="D88" s="745">
        <v>22</v>
      </c>
      <c r="E88" s="410">
        <v>-15</v>
      </c>
      <c r="F88" s="410">
        <v>22</v>
      </c>
      <c r="G88" s="441">
        <v>24</v>
      </c>
      <c r="H88" s="410" t="s">
        <v>846</v>
      </c>
      <c r="I88" s="475">
        <f>IFERROR((C89-C88)/(B89-B88),0)</f>
        <v>-2.7027027027027029E-2</v>
      </c>
      <c r="J88" s="579">
        <f>IFERROR((D89-D88)/(B89-B88),0)</f>
        <v>5.4054054054054057E-2</v>
      </c>
      <c r="O88" s="532"/>
      <c r="AA88" s="491"/>
    </row>
    <row r="89" spans="1:28" s="410" customFormat="1" ht="12" customHeight="1">
      <c r="A89" s="597"/>
      <c r="B89" s="744">
        <v>22</v>
      </c>
      <c r="C89" s="746">
        <f>IF(L6=0,B89,L6)</f>
        <v>20</v>
      </c>
      <c r="D89" s="745">
        <v>24</v>
      </c>
      <c r="E89" s="410">
        <v>22</v>
      </c>
      <c r="F89" s="410">
        <v>22</v>
      </c>
      <c r="G89" s="441">
        <v>24</v>
      </c>
      <c r="H89" s="410" t="s">
        <v>847</v>
      </c>
      <c r="I89" s="475">
        <f>IFERROR((C90-C89)/(B90-B89),0)</f>
        <v>0</v>
      </c>
      <c r="J89" s="579">
        <f>IFERROR((D90-D89)/(B90-B89),0)</f>
        <v>0.5</v>
      </c>
      <c r="O89" s="532"/>
      <c r="AA89" s="491"/>
    </row>
    <row r="90" spans="1:28" s="410" customFormat="1" ht="12" customHeight="1">
      <c r="A90" s="597"/>
      <c r="B90" s="744">
        <v>24</v>
      </c>
      <c r="C90" s="746">
        <f>IF(L6=0,B90,L6)</f>
        <v>20</v>
      </c>
      <c r="D90" s="745">
        <v>25</v>
      </c>
      <c r="E90" s="410">
        <v>24</v>
      </c>
      <c r="F90" s="410">
        <v>22</v>
      </c>
      <c r="G90" s="441">
        <v>26</v>
      </c>
      <c r="H90" s="410" t="s">
        <v>848</v>
      </c>
      <c r="I90" s="475">
        <f>IFERROR((C91-C90)/(B91-B90),0)</f>
        <v>0</v>
      </c>
      <c r="J90" s="579">
        <f>IFERROR((D91-D90)/(B91-B90),0)</f>
        <v>0</v>
      </c>
      <c r="O90" s="532"/>
    </row>
    <row r="91" spans="1:28" s="410" customFormat="1" ht="12" customHeight="1">
      <c r="A91" s="598"/>
      <c r="B91" s="747">
        <v>30</v>
      </c>
      <c r="C91" s="748">
        <f>IF(L6=0,B91,L6)</f>
        <v>20</v>
      </c>
      <c r="D91" s="749">
        <v>25</v>
      </c>
      <c r="E91" s="410">
        <v>30</v>
      </c>
      <c r="F91" s="410">
        <v>22</v>
      </c>
      <c r="G91" s="441">
        <v>26</v>
      </c>
      <c r="H91" s="601"/>
      <c r="I91" s="518"/>
      <c r="J91" s="531"/>
      <c r="O91" s="532"/>
    </row>
    <row r="92" spans="1:28" s="410" customFormat="1" ht="12" hidden="1" customHeight="1" outlineLevel="1">
      <c r="A92" s="429" t="s">
        <v>839</v>
      </c>
      <c r="B92" s="592" t="s">
        <v>646</v>
      </c>
      <c r="C92" s="592" t="s">
        <v>840</v>
      </c>
      <c r="D92" s="433" t="s">
        <v>841</v>
      </c>
      <c r="G92" s="441"/>
      <c r="H92" s="508" t="s">
        <v>842</v>
      </c>
      <c r="I92" s="436"/>
      <c r="J92" s="434"/>
      <c r="O92" s="532"/>
    </row>
    <row r="93" spans="1:28" s="410" customFormat="1" ht="12" hidden="1" customHeight="1" outlineLevel="1">
      <c r="A93" s="558" t="s">
        <v>837</v>
      </c>
      <c r="B93" s="593" t="s">
        <v>843</v>
      </c>
      <c r="C93" s="593" t="s">
        <v>844</v>
      </c>
      <c r="D93" s="594" t="s">
        <v>845</v>
      </c>
      <c r="G93" s="441"/>
      <c r="J93" s="441"/>
      <c r="O93" s="532"/>
    </row>
    <row r="94" spans="1:28" s="410" customFormat="1" ht="12" hidden="1" customHeight="1" outlineLevel="1">
      <c r="A94" s="442"/>
      <c r="B94" s="595">
        <v>-15</v>
      </c>
      <c r="C94" s="595">
        <v>22</v>
      </c>
      <c r="D94" s="596">
        <v>24</v>
      </c>
      <c r="G94" s="441"/>
      <c r="H94" s="410" t="s">
        <v>846</v>
      </c>
      <c r="I94" s="475">
        <f>IFERROR((C95-C94)/(B95-B94),0)</f>
        <v>0</v>
      </c>
      <c r="J94" s="579">
        <f>IFERROR((D95-D94)/(B95-B94),0)</f>
        <v>0</v>
      </c>
      <c r="O94" s="532"/>
    </row>
    <row r="95" spans="1:28" s="410" customFormat="1" ht="12" hidden="1" customHeight="1" outlineLevel="1">
      <c r="A95" s="597"/>
      <c r="B95" s="595">
        <v>22</v>
      </c>
      <c r="C95" s="595">
        <v>22</v>
      </c>
      <c r="D95" s="596">
        <v>24</v>
      </c>
      <c r="G95" s="441"/>
      <c r="H95" s="410" t="s">
        <v>847</v>
      </c>
      <c r="I95" s="475">
        <f>IFERROR((C96-C95)/(B96-B95),0)</f>
        <v>0</v>
      </c>
      <c r="J95" s="579">
        <f>IFERROR((D96-D95)/(B96-B95),0)</f>
        <v>1</v>
      </c>
      <c r="O95" s="532"/>
    </row>
    <row r="96" spans="1:28" s="410" customFormat="1" ht="12" hidden="1" customHeight="1" outlineLevel="1">
      <c r="A96" s="597"/>
      <c r="B96" s="595">
        <v>24</v>
      </c>
      <c r="C96" s="595">
        <v>22</v>
      </c>
      <c r="D96" s="596">
        <v>26</v>
      </c>
      <c r="G96" s="441"/>
      <c r="H96" s="410" t="s">
        <v>848</v>
      </c>
      <c r="I96" s="475">
        <f>IFERROR((C97-C96)/(B97-B96),0)</f>
        <v>0</v>
      </c>
      <c r="J96" s="579">
        <f>IFERROR((D97-D96)/(B97-B96),0)</f>
        <v>0</v>
      </c>
      <c r="O96" s="532"/>
    </row>
    <row r="97" spans="1:32" s="410" customFormat="1" ht="12" hidden="1" customHeight="1" outlineLevel="1">
      <c r="A97" s="598"/>
      <c r="B97" s="599">
        <v>30</v>
      </c>
      <c r="C97" s="599">
        <v>22</v>
      </c>
      <c r="D97" s="600">
        <v>26</v>
      </c>
      <c r="E97" s="518"/>
      <c r="F97" s="518"/>
      <c r="G97" s="531"/>
      <c r="H97" s="601"/>
      <c r="I97" s="518"/>
      <c r="J97" s="531"/>
      <c r="O97" s="532"/>
    </row>
    <row r="98" spans="1:32" s="410" customFormat="1" ht="12" hidden="1" customHeight="1" outlineLevel="1"/>
    <row r="99" spans="1:32" s="410" customFormat="1" ht="12" customHeight="1" collapsed="1">
      <c r="H99" s="602"/>
      <c r="W99" s="416"/>
      <c r="X99" s="416"/>
      <c r="Y99" s="416"/>
      <c r="Z99" s="414"/>
      <c r="AA99" s="414"/>
      <c r="AB99" s="603"/>
      <c r="AD99" s="603"/>
      <c r="AE99" s="527"/>
      <c r="AF99" s="527"/>
    </row>
    <row r="100" spans="1:32" s="410" customFormat="1" ht="12" customHeight="1">
      <c r="A100" s="604" t="s">
        <v>849</v>
      </c>
      <c r="B100" s="436"/>
      <c r="C100" s="436"/>
      <c r="D100" s="436"/>
      <c r="E100" s="436"/>
      <c r="F100" s="500"/>
      <c r="G100" s="436"/>
      <c r="H100" s="436"/>
      <c r="I100" s="436"/>
      <c r="J100" s="434"/>
      <c r="K100" s="605"/>
      <c r="L100" s="605"/>
      <c r="M100" s="605"/>
      <c r="N100" s="605"/>
      <c r="T100" s="406"/>
      <c r="U100" s="406"/>
      <c r="Y100" s="416"/>
      <c r="AA100" s="414"/>
      <c r="AB100" s="603"/>
      <c r="AD100" s="527"/>
      <c r="AE100" s="527"/>
      <c r="AF100" s="527"/>
    </row>
    <row r="101" spans="1:32" s="410" customFormat="1" ht="12" customHeight="1">
      <c r="A101" s="463" t="s">
        <v>822</v>
      </c>
      <c r="B101" s="416"/>
      <c r="C101" s="416" t="s">
        <v>850</v>
      </c>
      <c r="D101" s="416"/>
      <c r="E101" s="416" t="s">
        <v>851</v>
      </c>
      <c r="F101" s="572" t="s">
        <v>838</v>
      </c>
      <c r="G101" s="416"/>
      <c r="H101" s="416" t="s">
        <v>850</v>
      </c>
      <c r="I101" s="416"/>
      <c r="J101" s="606" t="s">
        <v>851</v>
      </c>
      <c r="AB101" s="527"/>
      <c r="AD101" s="527"/>
      <c r="AE101" s="527"/>
      <c r="AF101" s="527"/>
    </row>
    <row r="102" spans="1:32" s="410" customFormat="1" ht="12" customHeight="1">
      <c r="A102" s="437" t="str">
        <f t="shared" ref="A102:A107" si="0">M11</f>
        <v>IE5 - gefaked</v>
      </c>
      <c r="B102" s="607">
        <f t="shared" ref="B102:B107" si="1">IF(E$16&lt;1.1,N11,IF(E$16&lt;2.2,O11,IF(E$16&lt;11,P11,IF(E$16&lt;110,Q11,R11))))</f>
        <v>1</v>
      </c>
      <c r="C102" s="607">
        <f t="shared" ref="C102:C107" si="2">IF(E$17=A102,B102,0)</f>
        <v>1</v>
      </c>
      <c r="D102" s="607">
        <f t="shared" ref="D102:D107" si="3">IF(E$21&lt;1.1,$N11,IF(E$21&lt;2.2,$O11,IF(E$21&lt;11,P11,IF(E$21&lt;110,$Q11,$R11))))</f>
        <v>1</v>
      </c>
      <c r="E102" s="607">
        <f t="shared" ref="E102:E107" si="4">IF(E$22=A102,D102,0)</f>
        <v>1</v>
      </c>
      <c r="F102" s="437" t="s">
        <v>678</v>
      </c>
      <c r="G102" s="607">
        <f t="shared" ref="G102:G107" si="5">IF(F$16&lt;1.1,N11,IF(F$16&lt;2.2,O11,IF(F$16&lt;11,P11,IF(F$16&lt;110,Q11,R11))))</f>
        <v>1</v>
      </c>
      <c r="H102" s="607">
        <f t="shared" ref="H102:H107" si="6">IF(F$17=F102,G102,0)</f>
        <v>0</v>
      </c>
      <c r="I102" s="607">
        <f t="shared" ref="I102:I107" si="7">IF(F$21&lt;1.1,$N11,IF(F$21&lt;2.2,$O11,IF(F$21&lt;11,$P11,IF(F$21&lt;110,$Q11,$R11))))</f>
        <v>1</v>
      </c>
      <c r="J102" s="608">
        <f t="shared" ref="J102:J107" si="8">IF(F$22=F102,I102,0)</f>
        <v>0</v>
      </c>
      <c r="Y102" s="416"/>
      <c r="AB102" s="527"/>
      <c r="AD102" s="527"/>
      <c r="AE102" s="527"/>
      <c r="AF102" s="527"/>
    </row>
    <row r="103" spans="1:32" s="410" customFormat="1" ht="12" customHeight="1">
      <c r="A103" s="437" t="str">
        <f t="shared" si="0"/>
        <v>IE4 (&gt; 2016)</v>
      </c>
      <c r="B103" s="607">
        <f t="shared" si="1"/>
        <v>0.93300000000000005</v>
      </c>
      <c r="C103" s="607">
        <f t="shared" si="2"/>
        <v>0</v>
      </c>
      <c r="D103" s="607">
        <f t="shared" si="3"/>
        <v>0.93300000000000005</v>
      </c>
      <c r="E103" s="607">
        <f t="shared" si="4"/>
        <v>0</v>
      </c>
      <c r="F103" s="463" t="str">
        <f>A103</f>
        <v>IE4 (&gt; 2016)</v>
      </c>
      <c r="G103" s="607">
        <f t="shared" si="5"/>
        <v>0.872</v>
      </c>
      <c r="H103" s="607">
        <f t="shared" si="6"/>
        <v>0</v>
      </c>
      <c r="I103" s="607">
        <f t="shared" si="7"/>
        <v>0.872</v>
      </c>
      <c r="J103" s="608">
        <f t="shared" si="8"/>
        <v>0</v>
      </c>
      <c r="Y103" s="416"/>
      <c r="AB103" s="438"/>
      <c r="AD103" s="438"/>
      <c r="AE103" s="438"/>
      <c r="AF103" s="438"/>
    </row>
    <row r="104" spans="1:32" s="410" customFormat="1" ht="12" customHeight="1">
      <c r="A104" s="463" t="str">
        <f t="shared" si="0"/>
        <v>IE3 (&lt; 2016)</v>
      </c>
      <c r="B104" s="607">
        <f t="shared" si="1"/>
        <v>0.9</v>
      </c>
      <c r="C104" s="607">
        <f>IF(E$17=A104,B104,0)</f>
        <v>0</v>
      </c>
      <c r="D104" s="607">
        <f t="shared" si="3"/>
        <v>0.9</v>
      </c>
      <c r="E104" s="607">
        <f t="shared" si="4"/>
        <v>0</v>
      </c>
      <c r="F104" s="463" t="str">
        <f>A104</f>
        <v>IE3 (&lt; 2016)</v>
      </c>
      <c r="G104" s="607">
        <f t="shared" si="5"/>
        <v>0.85</v>
      </c>
      <c r="H104" s="607">
        <f t="shared" si="6"/>
        <v>0.85</v>
      </c>
      <c r="I104" s="607">
        <f t="shared" si="7"/>
        <v>0.85</v>
      </c>
      <c r="J104" s="608">
        <f t="shared" si="8"/>
        <v>0.85</v>
      </c>
      <c r="Y104" s="416"/>
      <c r="AB104" s="438"/>
      <c r="AD104" s="438"/>
      <c r="AE104" s="438"/>
      <c r="AF104" s="438"/>
    </row>
    <row r="105" spans="1:32" s="410" customFormat="1" ht="12" customHeight="1">
      <c r="A105" s="463" t="str">
        <f t="shared" si="0"/>
        <v>IE2 (&lt; 2012)</v>
      </c>
      <c r="B105" s="607">
        <f t="shared" si="1"/>
        <v>0.88</v>
      </c>
      <c r="C105" s="607">
        <f t="shared" si="2"/>
        <v>0</v>
      </c>
      <c r="D105" s="607">
        <f t="shared" si="3"/>
        <v>0.88</v>
      </c>
      <c r="E105" s="607">
        <f t="shared" si="4"/>
        <v>0</v>
      </c>
      <c r="F105" s="463" t="str">
        <f>A105</f>
        <v>IE2 (&lt; 2012)</v>
      </c>
      <c r="G105" s="607">
        <f t="shared" si="5"/>
        <v>0.82</v>
      </c>
      <c r="H105" s="607">
        <f t="shared" si="6"/>
        <v>0</v>
      </c>
      <c r="I105" s="607">
        <f t="shared" si="7"/>
        <v>0.82</v>
      </c>
      <c r="J105" s="608">
        <f t="shared" si="8"/>
        <v>0</v>
      </c>
      <c r="O105" s="532"/>
      <c r="Y105" s="416"/>
      <c r="AB105" s="438"/>
      <c r="AD105" s="438"/>
      <c r="AE105" s="438"/>
      <c r="AF105" s="438"/>
    </row>
    <row r="106" spans="1:32" s="410" customFormat="1" ht="12" customHeight="1">
      <c r="A106" s="463" t="str">
        <f t="shared" si="0"/>
        <v>IE1 (&lt; 2008)</v>
      </c>
      <c r="B106" s="607">
        <f t="shared" si="1"/>
        <v>0.84</v>
      </c>
      <c r="C106" s="607">
        <f t="shared" si="2"/>
        <v>0</v>
      </c>
      <c r="D106" s="607">
        <f t="shared" si="3"/>
        <v>0.84</v>
      </c>
      <c r="E106" s="607">
        <f t="shared" si="4"/>
        <v>0</v>
      </c>
      <c r="F106" s="463" t="str">
        <f>A106</f>
        <v>IE1 (&lt; 2008)</v>
      </c>
      <c r="G106" s="607">
        <f t="shared" si="5"/>
        <v>0.73</v>
      </c>
      <c r="H106" s="607">
        <f t="shared" si="6"/>
        <v>0</v>
      </c>
      <c r="I106" s="607">
        <f t="shared" si="7"/>
        <v>0.73</v>
      </c>
      <c r="J106" s="608">
        <f t="shared" si="8"/>
        <v>0</v>
      </c>
      <c r="O106" s="532"/>
      <c r="Y106" s="416"/>
      <c r="AB106" s="438"/>
      <c r="AD106" s="438"/>
      <c r="AE106" s="438"/>
      <c r="AF106" s="438"/>
    </row>
    <row r="107" spans="1:32" s="410" customFormat="1" ht="12" customHeight="1">
      <c r="A107" s="463" t="str">
        <f t="shared" si="0"/>
        <v>Eff3 (&lt;1999)</v>
      </c>
      <c r="B107" s="607">
        <f t="shared" si="1"/>
        <v>0.81</v>
      </c>
      <c r="C107" s="607">
        <f t="shared" si="2"/>
        <v>0</v>
      </c>
      <c r="D107" s="607">
        <f t="shared" si="3"/>
        <v>0.81</v>
      </c>
      <c r="E107" s="607">
        <f t="shared" si="4"/>
        <v>0</v>
      </c>
      <c r="F107" s="463" t="str">
        <f>A107</f>
        <v>Eff3 (&lt;1999)</v>
      </c>
      <c r="G107" s="607">
        <f t="shared" si="5"/>
        <v>0.69</v>
      </c>
      <c r="H107" s="607">
        <f t="shared" si="6"/>
        <v>0</v>
      </c>
      <c r="I107" s="607">
        <f t="shared" si="7"/>
        <v>0.69</v>
      </c>
      <c r="J107" s="608">
        <f t="shared" si="8"/>
        <v>0</v>
      </c>
      <c r="O107" s="532"/>
      <c r="X107" s="416"/>
      <c r="Y107" s="416"/>
      <c r="Z107" s="414"/>
      <c r="AA107" s="414"/>
      <c r="AB107" s="603"/>
      <c r="AD107" s="603"/>
      <c r="AE107" s="527"/>
      <c r="AF107" s="527"/>
    </row>
    <row r="108" spans="1:32" s="410" customFormat="1" ht="12" customHeight="1">
      <c r="A108" s="609"/>
      <c r="B108" s="610"/>
      <c r="C108" s="611">
        <f>MAX(C102:C107)</f>
        <v>1</v>
      </c>
      <c r="D108" s="610"/>
      <c r="E108" s="611">
        <f>MAX(E102:E107)</f>
        <v>1</v>
      </c>
      <c r="F108" s="609"/>
      <c r="G108" s="610"/>
      <c r="H108" s="611">
        <f>MAX(H102:H107)</f>
        <v>0.85</v>
      </c>
      <c r="I108" s="610"/>
      <c r="J108" s="612">
        <f>MAX(J102:J107)</f>
        <v>0.85</v>
      </c>
      <c r="O108" s="532"/>
      <c r="AA108" s="414"/>
      <c r="AB108" s="603"/>
      <c r="AD108" s="527"/>
      <c r="AE108" s="527"/>
      <c r="AF108" s="527"/>
    </row>
    <row r="109" spans="1:32" s="410" customFormat="1" ht="12" customHeight="1">
      <c r="A109" s="570" t="s">
        <v>852</v>
      </c>
      <c r="B109" s="613"/>
      <c r="C109" s="614"/>
      <c r="O109" s="532"/>
      <c r="Z109" s="414"/>
      <c r="AA109" s="414"/>
      <c r="AB109" s="603"/>
      <c r="AD109" s="527"/>
      <c r="AE109" s="603"/>
      <c r="AF109" s="527"/>
    </row>
    <row r="110" spans="1:32" s="410" customFormat="1" ht="12" customHeight="1">
      <c r="A110" s="463" t="s">
        <v>822</v>
      </c>
      <c r="B110" s="473">
        <f>LOOKUP(E14,M28:M44,N28:N44)+LOOKUP(E15,M28:M44,N28:N44)</f>
        <v>0</v>
      </c>
      <c r="C110" s="615" t="s">
        <v>853</v>
      </c>
      <c r="F110" s="616" t="s">
        <v>854</v>
      </c>
      <c r="AA110" s="414"/>
      <c r="AB110" s="603"/>
      <c r="AD110" s="527"/>
      <c r="AE110" s="603"/>
      <c r="AF110" s="527"/>
    </row>
    <row r="111" spans="1:32" s="410" customFormat="1" ht="12" customHeight="1">
      <c r="A111" s="572" t="s">
        <v>838</v>
      </c>
      <c r="B111" s="473">
        <f>LOOKUP(F14,M28:M44,O28:O44)+LOOKUP(F15,M28:M44,O28:O44)</f>
        <v>0</v>
      </c>
      <c r="C111" s="441" t="s">
        <v>853</v>
      </c>
      <c r="F111" s="617" t="s">
        <v>112</v>
      </c>
      <c r="O111" s="532"/>
      <c r="AA111" s="414"/>
      <c r="AB111" s="603"/>
      <c r="AD111" s="527"/>
      <c r="AE111" s="527"/>
      <c r="AF111" s="527"/>
    </row>
    <row r="112" spans="1:32" s="410" customFormat="1" ht="12" customHeight="1">
      <c r="A112" s="437" t="s">
        <v>855</v>
      </c>
      <c r="B112" s="473">
        <f>B110-B111</f>
        <v>0</v>
      </c>
      <c r="C112" s="441" t="s">
        <v>853</v>
      </c>
      <c r="F112" s="617"/>
      <c r="P112" s="532"/>
      <c r="AA112" s="414"/>
      <c r="AB112" s="414"/>
      <c r="AC112" s="603"/>
      <c r="AD112" s="527"/>
      <c r="AE112" s="527"/>
      <c r="AF112" s="527"/>
    </row>
    <row r="113" spans="1:107" s="410" customFormat="1" ht="12" customHeight="1">
      <c r="A113" s="437" t="s">
        <v>856</v>
      </c>
      <c r="B113" s="511">
        <f>K82/3600*B112/(1000*0.75)</f>
        <v>0</v>
      </c>
      <c r="C113" s="441" t="s">
        <v>112</v>
      </c>
      <c r="F113" s="617">
        <f>ABS(K70*N20*N23*(E40-E33)/3600)</f>
        <v>15.955563444498802</v>
      </c>
    </row>
    <row r="114" spans="1:107" s="410" customFormat="1" ht="12" customHeight="1">
      <c r="A114" s="517" t="s">
        <v>857</v>
      </c>
      <c r="B114" s="618">
        <f>B113/(0.98*H108)</f>
        <v>0</v>
      </c>
      <c r="C114" s="531" t="s">
        <v>112</v>
      </c>
    </row>
    <row r="115" spans="1:107" s="410" customFormat="1" ht="12" customHeight="1"/>
    <row r="116" spans="1:107" s="410" customFormat="1" ht="12" customHeight="1">
      <c r="A116" s="508"/>
      <c r="B116" s="410" t="s">
        <v>858</v>
      </c>
      <c r="D116" s="508"/>
      <c r="E116" s="410" t="s">
        <v>858</v>
      </c>
    </row>
    <row r="117" spans="1:107" s="619" customFormat="1" ht="12" customHeight="1">
      <c r="A117" s="429" t="s">
        <v>859</v>
      </c>
      <c r="B117" s="713"/>
      <c r="C117" s="713"/>
      <c r="D117" s="713"/>
      <c r="E117" s="713"/>
      <c r="F117" s="713" t="s">
        <v>860</v>
      </c>
      <c r="G117" s="714"/>
      <c r="H117" s="715"/>
      <c r="I117" s="714"/>
      <c r="J117" s="713"/>
      <c r="K117" s="713"/>
      <c r="L117" s="713"/>
      <c r="M117" s="713"/>
      <c r="N117" s="556" t="s">
        <v>861</v>
      </c>
      <c r="O117" s="556"/>
      <c r="P117" s="556"/>
      <c r="Q117" s="556"/>
      <c r="R117" s="556"/>
      <c r="S117" s="556"/>
      <c r="T117" s="716" t="s">
        <v>862</v>
      </c>
      <c r="U117" s="716"/>
      <c r="V117" s="716"/>
      <c r="W117" s="716"/>
      <c r="X117" s="716"/>
      <c r="Y117" s="716"/>
      <c r="Z117" s="715" t="s">
        <v>863</v>
      </c>
      <c r="AA117" s="715"/>
      <c r="AB117" s="715"/>
      <c r="AC117" s="715" t="s">
        <v>864</v>
      </c>
      <c r="AD117" s="715"/>
      <c r="AE117" s="715"/>
      <c r="AF117" s="715" t="s">
        <v>865</v>
      </c>
      <c r="AG117" s="715"/>
      <c r="AH117" s="715" t="s">
        <v>866</v>
      </c>
      <c r="AI117" s="715"/>
      <c r="AJ117" s="715"/>
      <c r="AK117" s="715" t="s">
        <v>867</v>
      </c>
      <c r="AL117" s="715"/>
      <c r="AM117" s="715"/>
      <c r="AN117" s="715" t="s">
        <v>868</v>
      </c>
      <c r="AO117" s="715"/>
      <c r="AP117" s="715"/>
      <c r="AQ117" s="715" t="s">
        <v>869</v>
      </c>
      <c r="AR117" s="715"/>
      <c r="AS117" s="715"/>
      <c r="AT117" s="715" t="s">
        <v>870</v>
      </c>
      <c r="AU117" s="715"/>
      <c r="AV117" s="715"/>
      <c r="AW117" s="715" t="s">
        <v>871</v>
      </c>
      <c r="AX117" s="715" t="s">
        <v>872</v>
      </c>
      <c r="AY117" s="715"/>
      <c r="AZ117" s="715"/>
      <c r="BA117" s="715"/>
      <c r="BB117" s="715" t="s">
        <v>873</v>
      </c>
      <c r="BC117" s="715"/>
      <c r="BD117" s="715" t="s">
        <v>874</v>
      </c>
      <c r="BE117" s="715"/>
      <c r="BF117" s="715" t="s">
        <v>875</v>
      </c>
      <c r="BG117" s="715"/>
      <c r="BH117" s="715" t="s">
        <v>876</v>
      </c>
      <c r="BI117" s="715"/>
      <c r="BJ117" s="521"/>
      <c r="BK117" s="521"/>
      <c r="BL117" s="521"/>
      <c r="BM117" s="521"/>
      <c r="BN117" s="521"/>
      <c r="BO117" s="521"/>
      <c r="BP117" s="521"/>
      <c r="BQ117" s="521"/>
      <c r="BR117" s="521"/>
      <c r="BS117" s="521"/>
      <c r="BT117" s="521"/>
      <c r="BU117" s="521"/>
      <c r="BV117" s="521"/>
      <c r="BW117" s="521"/>
      <c r="BX117" s="521"/>
      <c r="BY117" s="521"/>
      <c r="BZ117" s="521" t="s">
        <v>877</v>
      </c>
      <c r="CA117" s="521" t="s">
        <v>878</v>
      </c>
      <c r="CB117" s="521" t="s">
        <v>878</v>
      </c>
      <c r="CC117" s="521" t="s">
        <v>879</v>
      </c>
      <c r="CD117" s="521" t="s">
        <v>879</v>
      </c>
      <c r="CE117" s="521"/>
      <c r="CF117" s="521"/>
      <c r="CG117" s="521"/>
      <c r="CH117" s="521"/>
      <c r="CI117" s="521"/>
      <c r="CJ117" s="521"/>
      <c r="CK117" s="521"/>
      <c r="CL117" s="521"/>
      <c r="CM117" s="521"/>
      <c r="CN117" s="521"/>
      <c r="CO117" s="521"/>
      <c r="CP117" s="521"/>
      <c r="CQ117" s="521"/>
      <c r="CR117" s="521"/>
      <c r="CS117" s="521"/>
      <c r="CT117" s="521"/>
      <c r="CU117" s="521"/>
      <c r="CV117" s="521"/>
      <c r="CW117" s="521"/>
      <c r="CX117" s="521"/>
      <c r="CY117" s="521"/>
      <c r="CZ117" s="521"/>
      <c r="DA117" s="521"/>
      <c r="DB117" s="717"/>
      <c r="DC117" s="718"/>
    </row>
    <row r="118" spans="1:107" s="619" customFormat="1" ht="12" customHeight="1">
      <c r="A118" s="572" t="s">
        <v>880</v>
      </c>
      <c r="B118" s="508"/>
      <c r="C118" s="508"/>
      <c r="D118" s="480" t="s">
        <v>881</v>
      </c>
      <c r="E118" s="480" t="s">
        <v>882</v>
      </c>
      <c r="F118" s="480" t="s">
        <v>883</v>
      </c>
      <c r="G118" s="719" t="s">
        <v>854</v>
      </c>
      <c r="H118" s="480" t="s">
        <v>884</v>
      </c>
      <c r="I118" s="720" t="s">
        <v>885</v>
      </c>
      <c r="J118" s="480" t="s">
        <v>885</v>
      </c>
      <c r="K118" s="480" t="s">
        <v>886</v>
      </c>
      <c r="L118" s="508" t="s">
        <v>885</v>
      </c>
      <c r="M118" s="508"/>
      <c r="N118" s="480" t="s">
        <v>887</v>
      </c>
      <c r="O118" s="480" t="s">
        <v>888</v>
      </c>
      <c r="P118" s="480" t="s">
        <v>886</v>
      </c>
      <c r="Q118" s="508" t="s">
        <v>889</v>
      </c>
      <c r="R118" s="508"/>
      <c r="S118" s="508"/>
      <c r="T118" s="480" t="s">
        <v>887</v>
      </c>
      <c r="U118" s="480" t="s">
        <v>888</v>
      </c>
      <c r="V118" s="480" t="s">
        <v>886</v>
      </c>
      <c r="W118" s="480" t="s">
        <v>889</v>
      </c>
      <c r="X118" s="480"/>
      <c r="Y118" s="480"/>
      <c r="Z118" s="480" t="s">
        <v>890</v>
      </c>
      <c r="AA118" s="480"/>
      <c r="AB118" s="480"/>
      <c r="AC118" s="480" t="s">
        <v>890</v>
      </c>
      <c r="AD118" s="480"/>
      <c r="AE118" s="480"/>
      <c r="AF118" s="480"/>
      <c r="AG118" s="480"/>
      <c r="AH118" s="480" t="s">
        <v>891</v>
      </c>
      <c r="AI118" s="480"/>
      <c r="AJ118" s="480"/>
      <c r="AK118" s="480" t="s">
        <v>892</v>
      </c>
      <c r="AL118" s="480"/>
      <c r="AM118" s="480"/>
      <c r="AN118" s="480" t="s">
        <v>890</v>
      </c>
      <c r="AO118" s="480"/>
      <c r="AP118" s="480"/>
      <c r="AQ118" s="480" t="s">
        <v>890</v>
      </c>
      <c r="AR118" s="480"/>
      <c r="AS118" s="480"/>
      <c r="AT118" s="480" t="s">
        <v>890</v>
      </c>
      <c r="AU118" s="480"/>
      <c r="AV118" s="480"/>
      <c r="AW118" s="480" t="s">
        <v>893</v>
      </c>
      <c r="AX118" s="480" t="s">
        <v>894</v>
      </c>
      <c r="AY118" s="480"/>
      <c r="AZ118" s="480"/>
      <c r="BA118" s="480"/>
      <c r="BB118" s="480" t="s">
        <v>895</v>
      </c>
      <c r="BC118" s="480"/>
      <c r="BD118" s="480" t="s">
        <v>896</v>
      </c>
      <c r="BE118" s="480"/>
      <c r="BF118" s="480" t="s">
        <v>897</v>
      </c>
      <c r="BG118" s="480"/>
      <c r="BH118" s="480" t="s">
        <v>898</v>
      </c>
      <c r="BI118" s="480"/>
      <c r="BJ118" s="480" t="s">
        <v>899</v>
      </c>
      <c r="BK118" s="480"/>
      <c r="BL118" s="480"/>
      <c r="BM118" s="480"/>
      <c r="BN118" s="480" t="s">
        <v>900</v>
      </c>
      <c r="BO118" s="480"/>
      <c r="BP118" s="480"/>
      <c r="BQ118" s="480"/>
      <c r="BR118" s="480" t="s">
        <v>238</v>
      </c>
      <c r="BS118" s="480"/>
      <c r="BT118" s="480"/>
      <c r="BU118" s="480" t="s">
        <v>647</v>
      </c>
      <c r="BV118" s="480"/>
      <c r="BW118" s="480"/>
      <c r="BX118" s="480" t="s">
        <v>901</v>
      </c>
      <c r="BY118" s="480" t="s">
        <v>902</v>
      </c>
      <c r="BZ118" s="480" t="s">
        <v>901</v>
      </c>
      <c r="CA118" s="480" t="s">
        <v>903</v>
      </c>
      <c r="CB118" s="480" t="s">
        <v>904</v>
      </c>
      <c r="CC118" s="480" t="s">
        <v>902</v>
      </c>
      <c r="CD118" s="480" t="s">
        <v>905</v>
      </c>
      <c r="CE118" s="480" t="s">
        <v>149</v>
      </c>
      <c r="CF118" s="480"/>
      <c r="CG118" s="480" t="s">
        <v>906</v>
      </c>
      <c r="CH118" s="480"/>
      <c r="CI118" s="480" t="s">
        <v>907</v>
      </c>
      <c r="CJ118" s="508" t="s">
        <v>908</v>
      </c>
      <c r="CK118" s="508"/>
      <c r="CL118" s="480" t="s">
        <v>907</v>
      </c>
      <c r="CM118" s="480" t="s">
        <v>909</v>
      </c>
      <c r="CN118" s="480" t="s">
        <v>910</v>
      </c>
      <c r="CO118" s="480" t="s">
        <v>910</v>
      </c>
      <c r="CP118" s="480" t="s">
        <v>911</v>
      </c>
      <c r="CQ118" s="480" t="s">
        <v>911</v>
      </c>
      <c r="CR118" s="480" t="s">
        <v>912</v>
      </c>
      <c r="CS118" s="480" t="s">
        <v>913</v>
      </c>
      <c r="CT118" s="480" t="s">
        <v>914</v>
      </c>
      <c r="CU118" s="480" t="s">
        <v>915</v>
      </c>
      <c r="CV118" s="480" t="s">
        <v>915</v>
      </c>
      <c r="CW118" s="480" t="s">
        <v>916</v>
      </c>
      <c r="CX118" s="508" t="s">
        <v>917</v>
      </c>
      <c r="CY118" s="475"/>
      <c r="CZ118" s="475"/>
      <c r="DA118" s="508" t="s">
        <v>918</v>
      </c>
      <c r="DB118" s="723" t="s">
        <v>854</v>
      </c>
      <c r="DC118" s="724"/>
    </row>
    <row r="119" spans="1:107" s="619" customFormat="1" ht="12" customHeight="1">
      <c r="A119" s="725" t="s">
        <v>919</v>
      </c>
      <c r="B119" s="480" t="s">
        <v>920</v>
      </c>
      <c r="C119" s="480" t="s">
        <v>921</v>
      </c>
      <c r="D119" s="480" t="s">
        <v>922</v>
      </c>
      <c r="E119" s="480" t="s">
        <v>922</v>
      </c>
      <c r="F119" s="480" t="s">
        <v>923</v>
      </c>
      <c r="G119" s="720" t="s">
        <v>919</v>
      </c>
      <c r="H119" s="480" t="s">
        <v>924</v>
      </c>
      <c r="I119" s="720" t="s">
        <v>925</v>
      </c>
      <c r="J119" s="480" t="s">
        <v>926</v>
      </c>
      <c r="K119" s="480" t="s">
        <v>645</v>
      </c>
      <c r="L119" s="480" t="s">
        <v>927</v>
      </c>
      <c r="M119" s="480" t="s">
        <v>921</v>
      </c>
      <c r="N119" s="480" t="s">
        <v>928</v>
      </c>
      <c r="O119" s="480" t="s">
        <v>929</v>
      </c>
      <c r="P119" s="480" t="s">
        <v>930</v>
      </c>
      <c r="Q119" s="480" t="s">
        <v>927</v>
      </c>
      <c r="R119" s="480" t="s">
        <v>921</v>
      </c>
      <c r="S119" s="480" t="s">
        <v>685</v>
      </c>
      <c r="T119" s="480" t="s">
        <v>931</v>
      </c>
      <c r="U119" s="480" t="s">
        <v>932</v>
      </c>
      <c r="V119" s="480" t="s">
        <v>930</v>
      </c>
      <c r="W119" s="480" t="s">
        <v>927</v>
      </c>
      <c r="X119" s="480" t="s">
        <v>921</v>
      </c>
      <c r="Y119" s="480" t="s">
        <v>685</v>
      </c>
      <c r="Z119" s="480" t="s">
        <v>927</v>
      </c>
      <c r="AA119" s="480" t="s">
        <v>921</v>
      </c>
      <c r="AB119" s="480" t="s">
        <v>685</v>
      </c>
      <c r="AC119" s="480" t="s">
        <v>927</v>
      </c>
      <c r="AD119" s="480" t="s">
        <v>921</v>
      </c>
      <c r="AE119" s="480" t="s">
        <v>685</v>
      </c>
      <c r="AF119" s="480" t="s">
        <v>933</v>
      </c>
      <c r="AG119" s="480" t="s">
        <v>934</v>
      </c>
      <c r="AH119" s="480" t="s">
        <v>927</v>
      </c>
      <c r="AI119" s="480" t="s">
        <v>921</v>
      </c>
      <c r="AJ119" s="480" t="s">
        <v>685</v>
      </c>
      <c r="AK119" s="480" t="s">
        <v>927</v>
      </c>
      <c r="AL119" s="480" t="s">
        <v>921</v>
      </c>
      <c r="AM119" s="480" t="s">
        <v>685</v>
      </c>
      <c r="AN119" s="480" t="s">
        <v>927</v>
      </c>
      <c r="AO119" s="480" t="s">
        <v>921</v>
      </c>
      <c r="AP119" s="480" t="s">
        <v>685</v>
      </c>
      <c r="AQ119" s="480" t="s">
        <v>927</v>
      </c>
      <c r="AR119" s="480" t="s">
        <v>921</v>
      </c>
      <c r="AS119" s="480" t="s">
        <v>685</v>
      </c>
      <c r="AT119" s="480" t="s">
        <v>927</v>
      </c>
      <c r="AU119" s="480" t="s">
        <v>921</v>
      </c>
      <c r="AV119" s="480" t="s">
        <v>685</v>
      </c>
      <c r="AW119" s="480" t="s">
        <v>935</v>
      </c>
      <c r="AX119" s="480" t="s">
        <v>936</v>
      </c>
      <c r="AY119" s="480" t="s">
        <v>937</v>
      </c>
      <c r="AZ119" s="480" t="s">
        <v>938</v>
      </c>
      <c r="BA119" s="480" t="s">
        <v>939</v>
      </c>
      <c r="BB119" s="480" t="s">
        <v>919</v>
      </c>
      <c r="BC119" s="480" t="s">
        <v>940</v>
      </c>
      <c r="BD119" s="480" t="s">
        <v>919</v>
      </c>
      <c r="BE119" s="480" t="s">
        <v>940</v>
      </c>
      <c r="BF119" s="480" t="s">
        <v>919</v>
      </c>
      <c r="BG119" s="480" t="s">
        <v>940</v>
      </c>
      <c r="BH119" s="480" t="s">
        <v>919</v>
      </c>
      <c r="BI119" s="480" t="s">
        <v>940</v>
      </c>
      <c r="BJ119" s="480" t="s">
        <v>927</v>
      </c>
      <c r="BK119" s="480" t="s">
        <v>922</v>
      </c>
      <c r="BL119" s="480" t="s">
        <v>921</v>
      </c>
      <c r="BM119" s="480" t="s">
        <v>685</v>
      </c>
      <c r="BN119" s="480" t="s">
        <v>927</v>
      </c>
      <c r="BO119" s="480" t="s">
        <v>922</v>
      </c>
      <c r="BP119" s="480" t="s">
        <v>921</v>
      </c>
      <c r="BQ119" s="480" t="s">
        <v>685</v>
      </c>
      <c r="BR119" s="480" t="s">
        <v>941</v>
      </c>
      <c r="BS119" s="480" t="s">
        <v>922</v>
      </c>
      <c r="BT119" s="480" t="s">
        <v>921</v>
      </c>
      <c r="BU119" s="480" t="s">
        <v>942</v>
      </c>
      <c r="BV119" s="480" t="s">
        <v>922</v>
      </c>
      <c r="BW119" s="480" t="s">
        <v>921</v>
      </c>
      <c r="BX119" s="480" t="s">
        <v>943</v>
      </c>
      <c r="BY119" s="480" t="s">
        <v>944</v>
      </c>
      <c r="BZ119" s="480" t="s">
        <v>945</v>
      </c>
      <c r="CA119" s="480" t="s">
        <v>946</v>
      </c>
      <c r="CB119" s="480" t="s">
        <v>947</v>
      </c>
      <c r="CC119" s="480" t="s">
        <v>948</v>
      </c>
      <c r="CD119" s="480" t="s">
        <v>949</v>
      </c>
      <c r="CE119" s="480" t="s">
        <v>950</v>
      </c>
      <c r="CF119" s="480" t="s">
        <v>951</v>
      </c>
      <c r="CG119" s="480" t="s">
        <v>952</v>
      </c>
      <c r="CH119" s="480" t="s">
        <v>3</v>
      </c>
      <c r="CI119" s="480" t="s">
        <v>111</v>
      </c>
      <c r="CJ119" s="480" t="s">
        <v>953</v>
      </c>
      <c r="CK119" s="480" t="s">
        <v>954</v>
      </c>
      <c r="CL119" s="480" t="s">
        <v>955</v>
      </c>
      <c r="CM119" s="480" t="s">
        <v>111</v>
      </c>
      <c r="CN119" s="480" t="s">
        <v>956</v>
      </c>
      <c r="CO119" s="480" t="s">
        <v>956</v>
      </c>
      <c r="CP119" s="480" t="s">
        <v>956</v>
      </c>
      <c r="CQ119" s="480" t="s">
        <v>956</v>
      </c>
      <c r="CR119" s="480" t="s">
        <v>957</v>
      </c>
      <c r="CS119" s="480" t="s">
        <v>957</v>
      </c>
      <c r="CT119" s="480" t="s">
        <v>958</v>
      </c>
      <c r="CU119" s="480" t="s">
        <v>956</v>
      </c>
      <c r="CV119" s="480" t="s">
        <v>956</v>
      </c>
      <c r="CW119" s="480" t="s">
        <v>959</v>
      </c>
      <c r="CX119" s="508" t="s">
        <v>149</v>
      </c>
      <c r="CY119" s="726"/>
      <c r="CZ119" s="726"/>
      <c r="DA119" s="726" t="s">
        <v>960</v>
      </c>
      <c r="DB119" s="727" t="s">
        <v>961</v>
      </c>
      <c r="DC119" s="469" t="s">
        <v>962</v>
      </c>
    </row>
    <row r="120" spans="1:107" s="620" customFormat="1" ht="12" customHeight="1">
      <c r="A120" s="728" t="s">
        <v>132</v>
      </c>
      <c r="B120" s="480" t="s">
        <v>145</v>
      </c>
      <c r="C120" s="480" t="s">
        <v>963</v>
      </c>
      <c r="D120" s="480" t="s">
        <v>129</v>
      </c>
      <c r="E120" s="480" t="s">
        <v>129</v>
      </c>
      <c r="F120" s="480" t="s">
        <v>964</v>
      </c>
      <c r="G120" s="720" t="s">
        <v>132</v>
      </c>
      <c r="H120" s="480" t="s">
        <v>707</v>
      </c>
      <c r="I120" s="720" t="s">
        <v>132</v>
      </c>
      <c r="J120" s="480" t="s">
        <v>132</v>
      </c>
      <c r="K120" s="508"/>
      <c r="L120" s="480" t="s">
        <v>132</v>
      </c>
      <c r="M120" s="480" t="s">
        <v>963</v>
      </c>
      <c r="N120" s="480" t="s">
        <v>731</v>
      </c>
      <c r="O120" s="480" t="s">
        <v>731</v>
      </c>
      <c r="P120" s="480" t="s">
        <v>129</v>
      </c>
      <c r="Q120" s="480" t="s">
        <v>132</v>
      </c>
      <c r="R120" s="480" t="s">
        <v>963</v>
      </c>
      <c r="S120" s="480" t="s">
        <v>731</v>
      </c>
      <c r="T120" s="480" t="s">
        <v>132</v>
      </c>
      <c r="U120" s="480" t="s">
        <v>132</v>
      </c>
      <c r="V120" s="480" t="s">
        <v>129</v>
      </c>
      <c r="W120" s="480" t="s">
        <v>132</v>
      </c>
      <c r="X120" s="480" t="s">
        <v>963</v>
      </c>
      <c r="Y120" s="480" t="s">
        <v>731</v>
      </c>
      <c r="Z120" s="480" t="s">
        <v>132</v>
      </c>
      <c r="AA120" s="480" t="s">
        <v>963</v>
      </c>
      <c r="AB120" s="480" t="s">
        <v>731</v>
      </c>
      <c r="AC120" s="480" t="s">
        <v>132</v>
      </c>
      <c r="AD120" s="480" t="s">
        <v>963</v>
      </c>
      <c r="AE120" s="480" t="s">
        <v>731</v>
      </c>
      <c r="AF120" s="480" t="s">
        <v>965</v>
      </c>
      <c r="AG120" s="480" t="s">
        <v>966</v>
      </c>
      <c r="AH120" s="480" t="s">
        <v>132</v>
      </c>
      <c r="AI120" s="480" t="s">
        <v>963</v>
      </c>
      <c r="AJ120" s="480" t="s">
        <v>731</v>
      </c>
      <c r="AK120" s="480" t="s">
        <v>132</v>
      </c>
      <c r="AL120" s="480" t="s">
        <v>963</v>
      </c>
      <c r="AM120" s="480" t="s">
        <v>731</v>
      </c>
      <c r="AN120" s="480" t="s">
        <v>132</v>
      </c>
      <c r="AO120" s="480" t="s">
        <v>963</v>
      </c>
      <c r="AP120" s="480" t="s">
        <v>731</v>
      </c>
      <c r="AQ120" s="480" t="s">
        <v>132</v>
      </c>
      <c r="AR120" s="480" t="s">
        <v>963</v>
      </c>
      <c r="AS120" s="480" t="s">
        <v>731</v>
      </c>
      <c r="AT120" s="480" t="s">
        <v>132</v>
      </c>
      <c r="AU120" s="480" t="s">
        <v>963</v>
      </c>
      <c r="AV120" s="480" t="s">
        <v>731</v>
      </c>
      <c r="AW120" s="480"/>
      <c r="AX120" s="480"/>
      <c r="AY120" s="480"/>
      <c r="AZ120" s="480"/>
      <c r="BA120" s="480"/>
      <c r="BB120" s="480" t="s">
        <v>965</v>
      </c>
      <c r="BC120" s="480" t="s">
        <v>967</v>
      </c>
      <c r="BD120" s="480" t="s">
        <v>965</v>
      </c>
      <c r="BE120" s="480" t="s">
        <v>967</v>
      </c>
      <c r="BF120" s="480" t="s">
        <v>965</v>
      </c>
      <c r="BG120" s="480" t="s">
        <v>967</v>
      </c>
      <c r="BH120" s="480" t="s">
        <v>965</v>
      </c>
      <c r="BI120" s="480" t="s">
        <v>967</v>
      </c>
      <c r="BJ120" s="480" t="s">
        <v>132</v>
      </c>
      <c r="BK120" s="480" t="s">
        <v>129</v>
      </c>
      <c r="BL120" s="480" t="s">
        <v>963</v>
      </c>
      <c r="BM120" s="480" t="s">
        <v>717</v>
      </c>
      <c r="BN120" s="480" t="s">
        <v>132</v>
      </c>
      <c r="BO120" s="480" t="s">
        <v>129</v>
      </c>
      <c r="BP120" s="480" t="s">
        <v>963</v>
      </c>
      <c r="BQ120" s="480" t="s">
        <v>717</v>
      </c>
      <c r="BR120" s="480" t="s">
        <v>132</v>
      </c>
      <c r="BS120" s="480" t="s">
        <v>129</v>
      </c>
      <c r="BT120" s="480" t="s">
        <v>963</v>
      </c>
      <c r="BU120" s="480" t="s">
        <v>132</v>
      </c>
      <c r="BV120" s="480" t="s">
        <v>129</v>
      </c>
      <c r="BW120" s="480" t="s">
        <v>963</v>
      </c>
      <c r="BX120" s="480" t="s">
        <v>731</v>
      </c>
      <c r="BY120" s="480" t="s">
        <v>731</v>
      </c>
      <c r="BZ120" s="480" t="s">
        <v>731</v>
      </c>
      <c r="CA120" s="480" t="s">
        <v>731</v>
      </c>
      <c r="CB120" s="480" t="s">
        <v>731</v>
      </c>
      <c r="CC120" s="480" t="s">
        <v>731</v>
      </c>
      <c r="CD120" s="480" t="s">
        <v>731</v>
      </c>
      <c r="CE120" s="729" t="s">
        <v>115</v>
      </c>
      <c r="CF120" s="729" t="s">
        <v>115</v>
      </c>
      <c r="CG120" s="729" t="s">
        <v>115</v>
      </c>
      <c r="CH120" s="480" t="s">
        <v>968</v>
      </c>
      <c r="CI120" s="480" t="s">
        <v>115</v>
      </c>
      <c r="CJ120" s="729" t="s">
        <v>115</v>
      </c>
      <c r="CK120" s="729" t="s">
        <v>115</v>
      </c>
      <c r="CL120" s="480"/>
      <c r="CM120" s="729" t="s">
        <v>115</v>
      </c>
      <c r="CN120" s="480" t="s">
        <v>969</v>
      </c>
      <c r="CO120" s="480" t="s">
        <v>746</v>
      </c>
      <c r="CP120" s="480" t="s">
        <v>970</v>
      </c>
      <c r="CQ120" s="480" t="s">
        <v>971</v>
      </c>
      <c r="CR120" s="480"/>
      <c r="CS120" s="480"/>
      <c r="CT120" s="729" t="s">
        <v>115</v>
      </c>
      <c r="CU120" s="480" t="s">
        <v>970</v>
      </c>
      <c r="CV120" s="480" t="s">
        <v>971</v>
      </c>
      <c r="CW120" s="480" t="s">
        <v>972</v>
      </c>
      <c r="CX120" s="508" t="s">
        <v>973</v>
      </c>
      <c r="CY120" s="726"/>
      <c r="CZ120" s="726"/>
      <c r="DA120" s="726"/>
      <c r="DB120" s="730"/>
      <c r="DC120" s="731"/>
    </row>
    <row r="121" spans="1:107" s="620" customFormat="1" ht="12" customHeight="1">
      <c r="A121" s="732">
        <v>-25</v>
      </c>
      <c r="B121" s="917">
        <f>Klimadaten!O5/8760*$K$68</f>
        <v>0</v>
      </c>
      <c r="C121" s="762">
        <f>Klimadaten!Q5</f>
        <v>0</v>
      </c>
      <c r="D121" s="763">
        <f>Klimadaten!N5</f>
        <v>0</v>
      </c>
      <c r="E121" s="491">
        <f>MIN(100%,RelFeuchte(BR121,C121,$N$19))</f>
        <v>0</v>
      </c>
      <c r="F121" s="438">
        <f>IF(H121&lt;=0,IF(BU121&lt;A121,1,0),0)</f>
        <v>0</v>
      </c>
      <c r="G121" s="733">
        <f t="shared" ref="G121:G152" si="9">IF(A121&lt;=$E$33,(IF($E$32=$I$32,DB121,IF($E$32=$I$33,DC121,0))*3600)/($K$70*$N$20*$N$23)+A121,A121)</f>
        <v>-25</v>
      </c>
      <c r="H121" s="527">
        <f>-(A121-BJ121)</f>
        <v>46.270270270270274</v>
      </c>
      <c r="I121" s="733">
        <f>$E$28*(BU121-A121)+A121</f>
        <v>12.167567567567566</v>
      </c>
      <c r="J121" s="473">
        <f>IF(F121=0,MIN(I121,BJ121),I121)</f>
        <v>12.167567567567566</v>
      </c>
      <c r="K121" s="491">
        <f>IF($E$30=$S$20,$E$28,MAX(IF(AND($E$31=$S$20,F121=1),0,IF(A121=BU121,0,(J121-A121)/(BU121-A121))),0))</f>
        <v>0.79999999999999993</v>
      </c>
      <c r="L121" s="473">
        <f>IF($E$30=$S$21,K121*(BU121-A121)+A121,I121)</f>
        <v>12.167567567567566</v>
      </c>
      <c r="M121" s="473">
        <f>IF($E$28=0,C121,(K121/$E$28*$E$29)*(BW121-C121)+C121)</f>
        <v>0</v>
      </c>
      <c r="N121" s="473">
        <f>EnthalpieA(L121,M121,$N$19)*$E$35+(1-$E$35)*EnthalpieA(BU121,BW121,$N$19)</f>
        <v>12.240572972972972</v>
      </c>
      <c r="O121" s="473">
        <f>EnthalpieA(L121,M121,$N$19)*$E$34+(1-$E$34)*EnthalpieA(BU121,BW121,$N$19)</f>
        <v>12.240572972972972</v>
      </c>
      <c r="P121" s="734">
        <f t="shared" ref="P121:P152" si="10">1-IF(EnthalpieA(L121,M121,$N$19)=S121,$E$35,(S121-EnthalpieA(BU121,BW121,$N$19))/((EnthalpieA(L121,M121,$N$19)-EnthalpieA(BU121,BW121,$N$19))))</f>
        <v>0</v>
      </c>
      <c r="Q121" s="473">
        <f>L121*(1-P121)+BU121*P121</f>
        <v>12.167567567567566</v>
      </c>
      <c r="R121" s="475">
        <f>(M121*(1-P121)+BW121*P121)</f>
        <v>0</v>
      </c>
      <c r="S121" s="473">
        <f>MIN(MAX(N121,BM121),O121)</f>
        <v>12.240572972972972</v>
      </c>
      <c r="T121" s="473">
        <f t="shared" ref="T121:T181" si="11">MIN((L121*($E$35)+BU121*(1-$E$35)))</f>
        <v>12.167567567567566</v>
      </c>
      <c r="U121" s="473">
        <f t="shared" ref="U121:U181" si="12">(L121*($E$34)+BU121*(1-$E$34))</f>
        <v>12.167567567567566</v>
      </c>
      <c r="V121" s="734">
        <f t="shared" ref="V121:V181" si="13">1-IF(L121=W121,$E$35,(W121-BU121)/(L121-BU121))</f>
        <v>0</v>
      </c>
      <c r="W121" s="473">
        <f>MIN(MAX(T121,BJ121),U121)</f>
        <v>12.167567567567566</v>
      </c>
      <c r="X121" s="475">
        <f>(M121*(1-$V121)+BW121*$V121)</f>
        <v>0</v>
      </c>
      <c r="Y121" s="735">
        <f>EnthalpieA(W121,X121,$N$19)</f>
        <v>12.240572972972972</v>
      </c>
      <c r="Z121" s="475">
        <f>AVERAGE($E$45:$F$46)</f>
        <v>9</v>
      </c>
      <c r="AA121" s="475">
        <f>IF($E$36=$D$36,MIN(AbsFeuchte(Z121,100%,$N$19),R121),MIN(AbsFeuchte(Z121,100%,$N$19),X121))</f>
        <v>0</v>
      </c>
      <c r="AB121" s="735">
        <f>EnthalpieA(Z121,AA121,$N$19)</f>
        <v>9.0540000000000003</v>
      </c>
      <c r="AC121" s="475">
        <f>AVERAGE($E$45:$E$46)</f>
        <v>9</v>
      </c>
      <c r="AD121" s="475">
        <v>-1</v>
      </c>
      <c r="AE121" s="735">
        <f>EnthalpieA(AC121,AD121,$N$19)</f>
        <v>6.53566</v>
      </c>
      <c r="AF121" s="735">
        <f>AVERAGE($E$45:$E$46)</f>
        <v>9</v>
      </c>
      <c r="AG121" s="735">
        <f>IF($E$36=$D$36,IF(AA121=R121,1E+23,(Q121-AF121)/(R121-AA121)),IF(AA121=X121,1E+23,(W121-AF121)/(X121-AA121)))</f>
        <v>9.9999999999999992E+22</v>
      </c>
      <c r="AH121" s="475">
        <f>IF($E$36=$D$36,MAX(IF(R121&gt;BL121,AF121+(AG121*(BL121-AA121)),Q121),Z121),MAX(IF(X121&gt;BL121,AF121+(AG121*(BL121-AA121)),W121),Z121))</f>
        <v>12.167567567567566</v>
      </c>
      <c r="AI121" s="475">
        <f>IF(AH121=Z121,AA121,BL121)</f>
        <v>0</v>
      </c>
      <c r="AJ121" s="735">
        <f>EnthalpieA(AH121,AI121,$N$19)</f>
        <v>12.240572972972972</v>
      </c>
      <c r="AK121" s="475">
        <f>IF($E$36=$D$36,MAX(MIN(Q121,BJ121),Z121),MAX(MIN(W121,BJ121),Z121))</f>
        <v>12.167567567567566</v>
      </c>
      <c r="AL121" s="475">
        <f>IF(Z121=AK121,AA121,(BJ121-AF121)/AG121+AA121)</f>
        <v>1.2270270270270271E-22</v>
      </c>
      <c r="AM121" s="735">
        <f>EnthalpieA(AK121,AL121,$N$19)</f>
        <v>12.240572972972972</v>
      </c>
      <c r="AN121" s="475">
        <f>TemperaturH(AP121,AO121)</f>
        <v>21.27027027027027</v>
      </c>
      <c r="AO121" s="475">
        <f>IF($E$36=$D$36,R121,X121)</f>
        <v>0</v>
      </c>
      <c r="AP121" s="735">
        <f>BM121</f>
        <v>21.397891891891891</v>
      </c>
      <c r="AQ121" s="475" t="e">
        <f t="shared" ref="AQ121:AQ152" ca="1" si="14">TaupunktA(AR121,$N$19)</f>
        <v>#NAME?</v>
      </c>
      <c r="AR121" s="475">
        <f>BL121</f>
        <v>0</v>
      </c>
      <c r="AS121" s="735" t="e">
        <f t="shared" ref="AS121:AS152" ca="1" si="15">EnthalpieA(AQ121,AR121,$N$19)</f>
        <v>#VALUE!</v>
      </c>
      <c r="AT121" s="475">
        <f>BN121</f>
        <v>21.27027027027027</v>
      </c>
      <c r="AU121" s="475">
        <f t="shared" ref="AU121:AU181" si="16">IF($E$36=$D$36,R121,X121)</f>
        <v>0</v>
      </c>
      <c r="AV121" s="735">
        <f t="shared" ref="AV121:AV152" si="17">EnthalpieA(AT121,AU121,$N$19)</f>
        <v>21.397891891891891</v>
      </c>
      <c r="AW121" s="529">
        <f>IF($E$36=$C$36,IF(AND(ROUND(BM121,4)&gt;=ROUND(S121,4),ROUND(BL121,4)&gt;=ROUND(R121,4),ROUND(BJ121,4)&gt;=ROUND(Q121,4)),1,IF(ROUND(BL121,4)&lt;ROUND(AA121,4),2,IF(ROUND(BJ121,4)&gt;=ROUND(AH121,4),3,4))),IF(AND(ROUND(BM121,4)&gt;=ROUND(Y121,4),ROUND(BL121,4)&gt;=ROUND(X121,4),ROUND(BJ121,4)&gt;=ROUND(W121,4)),1,IF(ROUND(BL121,4)&lt;ROUND(AA121,4),2,IF(ROUND(BJ121,4)&gt;=ROUND(AH121,4),3,4))))</f>
        <v>1</v>
      </c>
      <c r="AX121" s="735">
        <f>IF($E$39=$S$21,1,0)</f>
        <v>1</v>
      </c>
      <c r="AY121" s="735">
        <f t="shared" ref="AY121:AY181" si="18">IF($E$49=$S$16,0,1)</f>
        <v>1</v>
      </c>
      <c r="AZ121" s="735">
        <f>IF($E$42=$S$21,1,0)</f>
        <v>1</v>
      </c>
      <c r="BA121" s="735">
        <f>IF(AND($E$47=$S$21,AZ121=1),1,0)</f>
        <v>1</v>
      </c>
      <c r="BB121" s="735">
        <f>IF($E$36=$D$36,IF(AW121=1,Fall1Tzul(AX121,AY121,BJ121,Q121),0),IF(AW121=1,Fall1Tzul(AX121,AY121,BJ121,W121),0))</f>
        <v>21.27027027027027</v>
      </c>
      <c r="BC121" s="735">
        <f>IF($E$36=$D$36,IF(AW121=1,Fall1xzul(AX121,AY121,BL121,R121),0),IF(AW121=1,Fall1xzul(AX121,AY121,BL121,X121),0))</f>
        <v>0</v>
      </c>
      <c r="BD121" s="735">
        <f>IF($E$36=$D$36,IF(AW121=2,Fall2Tzul(AX121, AZ121, BJ121,Q121, Z121),0),IF(AW121=2,Fall2Tzul(AX121, AZ121, BJ121,W121, Z121),0))</f>
        <v>0</v>
      </c>
      <c r="BE121" s="735">
        <f>IF($E$36=$D$36,IF(AW121=2,Fall2xzul(AX121,AZ121,BL121,R121,AA121),0),IF(AW121=2,Fall2xzul(AX121,AZ121,BL121,X121,AA121),0))</f>
        <v>0</v>
      </c>
      <c r="BF121" s="735">
        <f t="shared" ref="BF121:BF181" si="19">IF($E$36=$D$36,IF(AW121=3,IF(AND(BA121=1,AX121=1),BJ121,IF(AZ121=1,MIN(BJ121,IF(AX121=1,BJ121,Q121)),IF(AND(AX121=1,BJ121&gt;Q121),BJ121,Q121))),0),IF(AW121=3,IF(AND(BA121=1,AX121=1),BJ121,IF(AZ121=1,MIN(BJ121,IF(AX121=1,BJ121,W121)),IF(AND(AX121=1,BJ121&gt;W121),BJ121,W121))),0))</f>
        <v>0</v>
      </c>
      <c r="BG121" s="735">
        <f t="shared" ref="BG121:BG181" si="20">IF($E$36=$D$36,IF(AW121=3,IF(AND(BA121=1,AX121=1),BL121,IF(AZ121=1,MIN(AL121,R121),R121)),0),IF(AW121=3,IF(AND(BA121=1,AX121=1),BL121,IF(AZ121=1,MIN(AL121,X121),X121)),0))</f>
        <v>0</v>
      </c>
      <c r="BH121" s="735">
        <f t="shared" ref="BH121:BH181" si="21">IF($E$36=$D$36,IF(AW121=4,IF(AZ121=1,BJ121,Q121),0),IF(AW121=4,IF(AZ121=1,BJ121,W121),0))</f>
        <v>0</v>
      </c>
      <c r="BI121" s="735">
        <f t="shared" ref="BI121:BI181" si="22">IF($E$36=$D$36,IF(AND(AW121=4,AY121=0),IF(AZ121=1,AI121,R121),IF(AND(AW121=4,AY121=1),BL121,0)),IF(AND(AW121=4,AY121=0),IF(AZ121=1,AL121,X121),IF(AND(AW121=4,AY121=1),BL121,0)))</f>
        <v>0</v>
      </c>
      <c r="BJ121" s="473">
        <f>IF($DA121&lt;=$B$89,$C$89-($B$89-$DA121)*$I$88,IF($DA121&lt;=$B$90,$C$90-($B$90-$DA121)*$I$89,$C$91-($B$91-$DA121)*$I$90))</f>
        <v>21.27027027027027</v>
      </c>
      <c r="BK121" s="491">
        <f t="shared" ref="BK121:BK152" si="23">MIN(1,RelFeuchte(BJ121,BT121,$N$19))</f>
        <v>0</v>
      </c>
      <c r="BL121" s="475">
        <f>AbsFeuchte(BJ121,BK121,$N$19)</f>
        <v>0</v>
      </c>
      <c r="BM121" s="735">
        <f t="shared" ref="BM121:BM152" si="24">EnthalpieA(BJ121,BL121,$N$19)</f>
        <v>21.397891891891891</v>
      </c>
      <c r="BN121" s="473">
        <f>BB121+BD121+BF121+BH121</f>
        <v>21.27027027027027</v>
      </c>
      <c r="BO121" s="491">
        <f t="shared" ref="BO121:BO152" si="25">MIN(1,RelFeuchte(BN121,BP121,$N$19))</f>
        <v>0</v>
      </c>
      <c r="BP121" s="475">
        <f>BC121+BE121+BG121+BI121</f>
        <v>0</v>
      </c>
      <c r="BQ121" s="735">
        <f t="shared" ref="BQ121:BQ152" si="26">EnthalpieA(BN121,BP121,$N$19)</f>
        <v>21.397891891891891</v>
      </c>
      <c r="BR121" s="473">
        <f>IF($DA121&lt;=$B$89,$D$89-($B$89-$DA121)*$J$88,IF($DA121&lt;=$B$90,$D$90-($B$90-$DA121)*$J$89,$D$91-($B$91-$DA121)*$J$90))</f>
        <v>21.45945945945946</v>
      </c>
      <c r="BS121" s="491">
        <f>IF(E121&lt;$E$50,$E$50,IF(E121&gt;$E$48,$E$48,E121))</f>
        <v>0</v>
      </c>
      <c r="BT121" s="475">
        <f>AbsFeuchte(BR121,BS121,$N$19)</f>
        <v>0</v>
      </c>
      <c r="BU121" s="576">
        <f>IF($I$21=0,IF(E$13=$S$10,BR121+$N$18,BR121),IF(E$13=$S$10,BR121+$N$18+#REF!,BR121+$I$21))</f>
        <v>21.45945945945946</v>
      </c>
      <c r="BV121" s="736">
        <f>RelFeuchte(BU121,BW121,$N$19)</f>
        <v>0</v>
      </c>
      <c r="BW121" s="726">
        <f>BT121+$I$20</f>
        <v>0</v>
      </c>
      <c r="BX121" s="475">
        <f>SUM(BZ121:CA121)</f>
        <v>0</v>
      </c>
      <c r="BY121" s="475">
        <f>SUM(CB121:CD121)</f>
        <v>9.1573189189189197</v>
      </c>
      <c r="BZ121" s="475">
        <f>IF($E$36=$C$36,MAX(IF(AZ121=1,IF(OR(AW121=3,AW121=4,AW121=2),S121-AM121,0),0),0),MAX(IF(AZ121=1,IF(OR(AW121=3,AW121=4,AW121=2),Y121-AM121,0),0),0))</f>
        <v>0</v>
      </c>
      <c r="CA121" s="475">
        <f>IF($E$36=$D$36,MAX(IF(BA121=1,IF(AW121=3,AM121-AJ121,IF(AW121=2,(IF(BP121=R121,0,S121-AB121-BZ121)),0)),0),0),MAX(IF(BA121=1,IF(AW121=3,AM121-AJ121,IF(AW121=2,(IF(BP121=X121,0,Y121-AB121-BZ121)),0)),0),0))</f>
        <v>0</v>
      </c>
      <c r="CB121" s="475">
        <f t="shared" ref="CB121:CB181" si="27">IF($E$36=$D$36,MAX(IF(AND(BA121=1,AX121=1),IF(AW121=3,BQ121-AJ121,IF(AW121=2,IF(R121=BP121,0,BQ121-AB121),0)),0),0),MAX(IF(AND(BA121=1,AX121=1),IF(AW121=3,BQ121-AJ121,IF(AW121=2,IF(X121=BP121,0,BQ121-AB121),0)),0),0))</f>
        <v>0</v>
      </c>
      <c r="CC121" s="475">
        <f t="shared" ref="CC121:CC181" si="28">IF(F121=1,0,IF($E$36=$D$36,IF(AX121=1,IF(AW121=1,AV121-S121,0),0),IF(AX121=1,IF(AW121=1,AV121-Y121,0),0)))</f>
        <v>9.1573189189189197</v>
      </c>
      <c r="CD121" s="475">
        <f t="shared" ref="CD121:CD181" si="29">IF(AND(AY121=1,B121&gt;0),IF(OR(AW121=1,AW121=4),BQ121-AV121,0),0)</f>
        <v>0</v>
      </c>
      <c r="CE121" s="621">
        <f t="shared" ref="CE121:CE152" si="30">IF($E$42=$S$21,IF(OR(AND(A121&gt;=$E$26,$E$27&gt;0),AND(A121&gt;=$E$26,$E$27&lt;0)),$P$70*B121*$N$23*(CA121)/3.6/1000000,$K$70*B121*$N$23*(CA121)/3.6/1000000),0)</f>
        <v>0</v>
      </c>
      <c r="CF121" s="621">
        <f t="shared" ref="CF121:CF152" si="31">IF($E$39=$S$21,IF(OR(AND(A121&gt;=$E$26,$E$27&gt;0),AND(A121&gt;=$E$26,$E$27&lt;0)),$P$70*B121*$N$23*(CB121)/3.6/1000000,$K$70*B121*$N$23*(CB121)/3.6/1000000),0)</f>
        <v>0</v>
      </c>
      <c r="CG121" s="621">
        <f t="shared" ref="CG121:CG152" si="32">IF(OR(AND(A121&gt;=$E$26,$E$27&gt;0),AND(A121&gt;=$E$26,$E$27&lt;0)),$P$70*B121*$N$23*(CD121)/3.6/1000000,$K$70*B121*$N$23*(CD121)/3.6/1000000)</f>
        <v>0</v>
      </c>
      <c r="CH121" s="573">
        <f t="shared" ref="CH121:CH152" si="33">IF($E$36=$D$36,IF(OR(AND(A121&gt;=$E$26,$E$27&gt;0),AND(A121&gt;=$E$26,$E$27&lt;0)),MAX(0,(BP121-R121)*B121*$P$70*$N$23/1000),MAX(0,(BP121-R121)*B121*$K$70*$N$23/1000)),IF(OR(AND(A121&gt;=$E$26,$E$27&gt;0),AND(A121&gt;=$E$26,$E$27&lt;0)),MAX(0,(BP121-X121)*B121*$P$70*$N$23/1000),MAX(0,(BP121-X121)*B121*$K$70*$N$23/1000)))</f>
        <v>0</v>
      </c>
      <c r="CI121" s="621">
        <f t="shared" ref="CI121:CI181" si="34">(CH121*$N$22*(100-$E$51)+$N$25*CH121)/3600000</f>
        <v>0</v>
      </c>
      <c r="CJ121" s="621">
        <f t="shared" ref="CJ121:CJ152" si="35">IF($E$42=$S$21,IF(OR(AND(A121&gt;=$E$26,$E$27&gt;0),AND(A121&gt;=$E$26,$E$27&lt;0)),$P$70*B121*$N$23*(BZ121)/3.6/1000000,$K$70*B121*$N$23*(BZ121)/3.6/1000000),0)</f>
        <v>0</v>
      </c>
      <c r="CK121" s="621">
        <f t="shared" ref="CK121:CK152" si="36">IF($E$39=$S$21,IF(OR(AND(A121&gt;=$E$26,$E$27&gt;0),AND(A121&gt;=$E$26,$E$27&lt;0)),$P$70*B121*$N$23*(CC121)/3.6/1000000,$K$70*B121*$N$23*(CC121)/3.6/1000000),0)</f>
        <v>0</v>
      </c>
      <c r="CL121" s="737">
        <f t="shared" ref="CL121:CL152" si="37">IF($E$36=$D$36,IF(OR(AND(A121&gt;=$E$26,$E$27&gt;0),AND(A121&gt;=$E$26,$E$27&lt;0)),MAX(0,-(BP121-R121)*B121*$P$70*$N$23/1000),MAX(0,-(BP121-R121)*B121*$K$70*$N$23/1000)),IF(OR(AND(A121&gt;=$E$26,$E$27&gt;0),AND(A121&gt;=$E$26,$E$27&lt;0)),MAX(0,-(BP121-X121)*B121*$P$70*$N$23/1000),MAX(0,-(BP121-X121)*B121*$K$70*$N$23/1000)))</f>
        <v>0</v>
      </c>
      <c r="CM121" s="738">
        <f t="shared" ref="CM121:CM181" si="38">IF($E$49=$S$16,0,IF($E$49=$S$17,CG121,CI121))</f>
        <v>0</v>
      </c>
      <c r="CN121" s="475">
        <f t="shared" ref="CN121:CN181" si="39">IF(E121&gt;0,BK121,222)</f>
        <v>222</v>
      </c>
      <c r="CO121" s="475">
        <f t="shared" ref="CO121:CO181" si="40">IF(E121&gt;0,BO121,222)</f>
        <v>222</v>
      </c>
      <c r="CP121" s="475">
        <f>IF($E$36=$D$36,IF(B121&gt;0,Q121,222),IF(B121&gt;0,W121,222))</f>
        <v>222</v>
      </c>
      <c r="CQ121" s="475">
        <f t="shared" ref="CQ121:CQ181" si="41">IF($E$36=$D$36,IF(B121&gt;0,Q121,-222),IF(B121&gt;0,W121,-222))</f>
        <v>-222</v>
      </c>
      <c r="CR121" s="475">
        <f t="shared" ref="CR121:CR180" si="42">IF(B121&gt;0,BY121,-222)</f>
        <v>-222</v>
      </c>
      <c r="CS121" s="475">
        <f t="shared" ref="CS121:CS181" si="43">IF(B121&gt;0,BX121,-222)</f>
        <v>-222</v>
      </c>
      <c r="CT121" s="475">
        <f t="shared" ref="CT121:CT152" si="44">IF(OR(AND(A121&gt;=$E$26,$E$27&gt;0),AND(A121&gt;=$E$26,$E$27&lt;0)),B121*($R$70/1000),B121*($M$70)/1000)</f>
        <v>0</v>
      </c>
      <c r="CU121" s="475">
        <f t="shared" ref="CU121:CU181" si="45">IF(B121&gt;0,BJ121,222)</f>
        <v>222</v>
      </c>
      <c r="CV121" s="475">
        <f t="shared" ref="CV121:CV181" si="46">IF(B121&gt;0,BJ121,-222)</f>
        <v>-222</v>
      </c>
      <c r="CW121" s="475">
        <f>SUM(CK121,CJ121,CE121,CF121,CM121,CT121)</f>
        <v>0</v>
      </c>
      <c r="CX121" s="573">
        <f>-CL121</f>
        <v>0</v>
      </c>
      <c r="CY121" s="475">
        <f>IF(I121=0,CY122,BJ121)</f>
        <v>21.27027027027027</v>
      </c>
      <c r="CZ121" s="475">
        <f>IF(I121=0,CZ122,BN121)</f>
        <v>21.27027027027027</v>
      </c>
      <c r="DA121" s="475">
        <v>-25</v>
      </c>
      <c r="DB121" s="739">
        <f>IF(A121&lt;=$E$33,$F$113,0)</f>
        <v>15.955563444498802</v>
      </c>
      <c r="DC121" s="740">
        <f t="shared" ref="DC121:DC152" si="47">IF(A121&lt;=$E$33,ABS($K$70*$N$20*$N$23*MIN(ABS(A121-$E$33),ABS($E$40-$E$33))/3600),0)</f>
        <v>15.955563444498802</v>
      </c>
    </row>
    <row r="122" spans="1:107" s="620" customFormat="1" ht="12" customHeight="1">
      <c r="A122" s="732">
        <v>-24</v>
      </c>
      <c r="B122" s="917">
        <f>Klimadaten!O6/8760*$K$68</f>
        <v>0</v>
      </c>
      <c r="C122" s="762">
        <f>Klimadaten!Q6</f>
        <v>0</v>
      </c>
      <c r="D122" s="763">
        <f>Klimadaten!N6</f>
        <v>0</v>
      </c>
      <c r="E122" s="491">
        <f t="shared" ref="E122:E152" si="48">MIN(100%,RelFeuchte(BR122,C122,$N$19))</f>
        <v>0</v>
      </c>
      <c r="F122" s="438">
        <f t="shared" ref="F122:F181" si="49">IF(H122&lt;=0,IF(BU122&lt;A122,1,0),0)</f>
        <v>0</v>
      </c>
      <c r="G122" s="733">
        <f t="shared" si="9"/>
        <v>-24</v>
      </c>
      <c r="H122" s="527">
        <f t="shared" ref="H122:H181" si="50">-(A122-BJ122)</f>
        <v>45.243243243243242</v>
      </c>
      <c r="I122" s="733">
        <f t="shared" ref="I122:I181" si="51">$E$28*(BU122-A122)+A122</f>
        <v>12.410810810810815</v>
      </c>
      <c r="J122" s="473">
        <f t="shared" ref="J122:J181" si="52">IF(F122=0,MIN(I122,BJ122),I122)</f>
        <v>12.410810810810815</v>
      </c>
      <c r="K122" s="491">
        <f t="shared" ref="K122:K181" si="53">IF($E$30=$S$20,$E$28,MAX(IF(AND($E$31=$S$20,F122=1),0,IF(A122=BU122,0,(J122-A122)/(BU122-A122))),0))</f>
        <v>0.8</v>
      </c>
      <c r="L122" s="473">
        <f t="shared" ref="L122:L181" si="54">IF($E$30=$S$21,K122*(BU122-A122)+A122,I122)</f>
        <v>12.410810810810815</v>
      </c>
      <c r="M122" s="473">
        <f>IF($E$28=0,C122,(K122/$E$28*$E$29)*(BW122-C122)+C122)</f>
        <v>0</v>
      </c>
      <c r="N122" s="473">
        <f>EnthalpieA(L122,M122,$N$19)*$E$35+(1-$E$35)*EnthalpieA(BU122,BW122,$N$19)</f>
        <v>12.48527567567568</v>
      </c>
      <c r="O122" s="473">
        <f t="shared" ref="O122:O152" si="55">EnthalpieA(L122,M122,$N$19)*$E$34+(1-$E$34)*EnthalpieA(BU122,BW122,$N$19)</f>
        <v>12.48527567567568</v>
      </c>
      <c r="P122" s="734">
        <f t="shared" si="10"/>
        <v>0</v>
      </c>
      <c r="Q122" s="473">
        <f>L122*(1-P122)+BU122*P122</f>
        <v>12.410810810810815</v>
      </c>
      <c r="R122" s="475">
        <f>(M122*(1-P122)+BW122*P122)</f>
        <v>0</v>
      </c>
      <c r="S122" s="473">
        <f>MIN(MAX(N122,BM122),O122)</f>
        <v>12.48527567567568</v>
      </c>
      <c r="T122" s="473">
        <f t="shared" si="11"/>
        <v>12.410810810810815</v>
      </c>
      <c r="U122" s="473">
        <f t="shared" si="12"/>
        <v>12.410810810810815</v>
      </c>
      <c r="V122" s="734">
        <f t="shared" si="13"/>
        <v>0</v>
      </c>
      <c r="W122" s="473">
        <f t="shared" ref="W122:W181" si="56">MIN(MAX(T122,BJ122),U122)</f>
        <v>12.410810810810815</v>
      </c>
      <c r="X122" s="475">
        <f t="shared" ref="X122:X181" si="57">(M122*(1-$V122)+BW122*$V122)</f>
        <v>0</v>
      </c>
      <c r="Y122" s="735">
        <f t="shared" ref="Y122:Y152" si="58">EnthalpieA(W122,X122,$N$19)</f>
        <v>12.48527567567568</v>
      </c>
      <c r="Z122" s="475">
        <f t="shared" ref="Z122:Z181" si="59">AVERAGE($E$45:$F$46)</f>
        <v>9</v>
      </c>
      <c r="AA122" s="475">
        <f>IF($E$36=$D$36,MIN(AbsFeuchte(Z122,100%,$N$19),R122),MIN(AbsFeuchte(Z122,100%,$N$19),X122))</f>
        <v>0</v>
      </c>
      <c r="AB122" s="735">
        <f t="shared" ref="AB122:AB152" si="60">EnthalpieA(Z122,AA122,$N$19)</f>
        <v>9.0540000000000003</v>
      </c>
      <c r="AC122" s="475">
        <f t="shared" ref="AC122:AC181" si="61">AVERAGE($E$45:$E$46)</f>
        <v>9</v>
      </c>
      <c r="AD122" s="475">
        <v>0</v>
      </c>
      <c r="AE122" s="735">
        <f t="shared" ref="AE122:AE152" si="62">EnthalpieA(AC122,AD122,$N$19)</f>
        <v>9.0540000000000003</v>
      </c>
      <c r="AF122" s="735">
        <f t="shared" ref="AF122:AF181" si="63">AVERAGE($E$45:$E$46)</f>
        <v>9</v>
      </c>
      <c r="AG122" s="735">
        <f>IF($E$36=$D$36,IF(AA122=R122,1E+23,(Q122-AF122)/(R122-AA122)),IF(AA122=X122,1E+23,(W122-AF122)/(X122-AA122)))</f>
        <v>9.9999999999999992E+22</v>
      </c>
      <c r="AH122" s="475">
        <f>IF($E$36=$D$36,MAX(IF(R122&gt;BL122,AF122+(AG122*(BL122-AA122)),Q122),Z122),MAX(IF(X122&gt;BL122,AF122+(AG122*(BL122-AA122)),W122),Z122))</f>
        <v>12.410810810810815</v>
      </c>
      <c r="AI122" s="475">
        <f t="shared" ref="AI122:AI181" si="64">IF(AH122=Z122,AA122,BL122)</f>
        <v>0</v>
      </c>
      <c r="AJ122" s="735">
        <f t="shared" ref="AJ122:AJ152" si="65">EnthalpieA(AH122,AI122,$N$19)</f>
        <v>12.48527567567568</v>
      </c>
      <c r="AK122" s="475">
        <f t="shared" ref="AK122:AK181" si="66">IF($E$36=$D$36,MAX(MIN(Q122,BJ122),Z122),MAX(MIN(W122,BJ122),Z122))</f>
        <v>12.410810810810815</v>
      </c>
      <c r="AL122" s="475">
        <f t="shared" ref="AL122:AL181" si="67">IF(Z122=AK122,AA122,(BJ122-AF122)/AG122+AA122)</f>
        <v>1.2243243243243242E-22</v>
      </c>
      <c r="AM122" s="735">
        <f t="shared" ref="AM122:AM152" si="68">EnthalpieA(AK122,AL122,$N$19)</f>
        <v>12.48527567567568</v>
      </c>
      <c r="AN122" s="475">
        <f>TemperaturH(AP122,AO122)</f>
        <v>21.243243243243242</v>
      </c>
      <c r="AO122" s="475">
        <f t="shared" ref="AO122:AO181" si="69">IF($E$36=$D$36,R122,X122)</f>
        <v>0</v>
      </c>
      <c r="AP122" s="735">
        <f>BM122</f>
        <v>21.370702702702701</v>
      </c>
      <c r="AQ122" s="475" t="e">
        <f t="shared" ca="1" si="14"/>
        <v>#NAME?</v>
      </c>
      <c r="AR122" s="475">
        <f>BL122</f>
        <v>0</v>
      </c>
      <c r="AS122" s="735" t="e">
        <f t="shared" ca="1" si="15"/>
        <v>#VALUE!</v>
      </c>
      <c r="AT122" s="475">
        <f>BN122</f>
        <v>21.243243243243242</v>
      </c>
      <c r="AU122" s="475">
        <f t="shared" si="16"/>
        <v>0</v>
      </c>
      <c r="AV122" s="735">
        <f t="shared" si="17"/>
        <v>21.370702702702701</v>
      </c>
      <c r="AW122" s="529">
        <f t="shared" ref="AW122:AW181" si="70">IF($E$36=$C$36,IF(AND(ROUND(BM122,4)&gt;=ROUND(S122,4),ROUND(BL122,4)&gt;=ROUND(R122,4),ROUND(BJ122,4)&gt;=ROUND(Q122,4)),1,IF(ROUND(BL122,4)&lt;ROUND(AA122,4),2,IF(ROUND(BJ122,4)&gt;=ROUND(AH122,4),3,4))),IF(AND(ROUND(BM122,4)&gt;=ROUND(Y122,4),ROUND(BL122,4)&gt;=ROUND(X122,4),ROUND(BJ122,4)&gt;=ROUND(W122,4)),1,IF(ROUND(BL122,4)&lt;ROUND(AA122,4),2,IF(ROUND(BJ122,4)&gt;=ROUND(AH122,4),3,4))))</f>
        <v>1</v>
      </c>
      <c r="AX122" s="735">
        <f t="shared" ref="AX122:AX181" si="71">IF($E$39=$S$21,1,0)</f>
        <v>1</v>
      </c>
      <c r="AY122" s="735">
        <f t="shared" si="18"/>
        <v>1</v>
      </c>
      <c r="AZ122" s="735">
        <f t="shared" ref="AZ122:AZ181" si="72">IF($E$42=$S$21,1,0)</f>
        <v>1</v>
      </c>
      <c r="BA122" s="735">
        <f t="shared" ref="BA122:BA181" si="73">IF(AND($E$47=$S$21,AZ122=1),1,0)</f>
        <v>1</v>
      </c>
      <c r="BB122" s="735">
        <f>IF($E$36=$D$36,IF(AW122=1,Fall1Tzul(AX122,AY122,BJ122,Q122),0),IF(AW122=1,Fall1Tzul(AX122,AY122,BJ122,W122),0))</f>
        <v>21.243243243243242</v>
      </c>
      <c r="BC122" s="735">
        <f>IF($E$36=$D$36,IF(AW122=1,Fall1xzul(AX122,AY122,BL122,R122),0),IF(AW122=1,Fall1xzul(AX122,AY122,BL122,X122),0))</f>
        <v>0</v>
      </c>
      <c r="BD122" s="735">
        <f>IF($E$36=$D$36,IF(AW122=2,Fall2Tzul(AX122, AZ122, BJ122,Q122, Z122),0),IF(AW122=2,Fall2Tzul(AX122, AZ122, BJ122,W122, Z122),0))</f>
        <v>0</v>
      </c>
      <c r="BE122" s="735">
        <f>IF($E$36=$D$36,IF(AW122=2,Fall2xzul(AX122,AZ122,BL122,R122,AA122),0),IF(AW122=2,Fall2xzul(AX122,AZ122,BL122,X122,AA122),0))</f>
        <v>0</v>
      </c>
      <c r="BF122" s="735">
        <f t="shared" si="19"/>
        <v>0</v>
      </c>
      <c r="BG122" s="735">
        <f t="shared" si="20"/>
        <v>0</v>
      </c>
      <c r="BH122" s="735">
        <f t="shared" si="21"/>
        <v>0</v>
      </c>
      <c r="BI122" s="735">
        <f t="shared" si="22"/>
        <v>0</v>
      </c>
      <c r="BJ122" s="473">
        <f>IF($DA122&lt;=$B$89,$C$89-($B$89-$DA122)*$I$88,IF($DA122&lt;=$B$90,$C$90-($B$90-$DA122)*$I$89,$C$91-($B$91-$DA122)*$I$90))</f>
        <v>21.243243243243242</v>
      </c>
      <c r="BK122" s="491">
        <f t="shared" si="23"/>
        <v>0</v>
      </c>
      <c r="BL122" s="475">
        <f>AbsFeuchte(BJ122,BK122,$N$19)</f>
        <v>0</v>
      </c>
      <c r="BM122" s="735">
        <f t="shared" si="24"/>
        <v>21.370702702702701</v>
      </c>
      <c r="BN122" s="473">
        <f>BB122+BD122+BF122+BH122</f>
        <v>21.243243243243242</v>
      </c>
      <c r="BO122" s="491">
        <f t="shared" si="25"/>
        <v>0</v>
      </c>
      <c r="BP122" s="475">
        <f t="shared" ref="BP122:BP181" si="74">BC122+BE122+BG122+BI122</f>
        <v>0</v>
      </c>
      <c r="BQ122" s="735">
        <f t="shared" si="26"/>
        <v>21.370702702702701</v>
      </c>
      <c r="BR122" s="473">
        <f t="shared" ref="BR122:BR181" si="75">IF($DA122&lt;=$B$89,$D$89-($B$89-$DA122)*$J$88,IF($DA122&lt;=$B$90,$D$90-($B$90-$DA122)*$J$89,$D$91-($B$91-$DA122)*$J$90))</f>
        <v>21.513513513513512</v>
      </c>
      <c r="BS122" s="491">
        <f t="shared" ref="BS122:BS181" si="76">IF(E122&lt;$E$50,$E$50,IF(E122&gt;$E$48,$E$48,E122))</f>
        <v>0</v>
      </c>
      <c r="BT122" s="475">
        <f>AbsFeuchte(BR122,BS122,$N$19)</f>
        <v>0</v>
      </c>
      <c r="BU122" s="576">
        <f>IF($I$21=0,IF(E$13=$S$10,BR122+$N$18,BR122),IF(E$13=$S$10,BR122+$N$18+#REF!,BR122+$I$21))</f>
        <v>21.513513513513512</v>
      </c>
      <c r="BV122" s="736">
        <f t="shared" ref="BV122:BV152" si="77">RelFeuchte(BU122,BW122,$N$19)</f>
        <v>0</v>
      </c>
      <c r="BW122" s="726">
        <f t="shared" ref="BW122:BW181" si="78">BT122+$I$20</f>
        <v>0</v>
      </c>
      <c r="BX122" s="475">
        <f>SUM(BZ122:CA122)</f>
        <v>0</v>
      </c>
      <c r="BY122" s="475">
        <f>SUM(CB122:CD122)</f>
        <v>8.8854270270270206</v>
      </c>
      <c r="BZ122" s="475">
        <f t="shared" ref="BZ122:BZ181" si="79">IF($E$36=$C$36,MAX(IF(AZ122=1,IF(OR(AW122=3,AW122=4,AW122=2),S122-AM122,0),0),0),MAX(IF(AZ122=1,IF(OR(AW122=3,AW122=4,AW122=2),Y122-AM122,0),0),0))</f>
        <v>0</v>
      </c>
      <c r="CA122" s="475">
        <f t="shared" ref="CA122:CA181" si="80">IF($E$36=$D$36,MAX(IF(BA122=1,IF(AW122=3,AM122-AJ122,IF(AW122=2,(IF(BP122=R122,0,S122-AB122-BZ122)),0)),0),0),MAX(IF(BA122=1,IF(AW122=3,AM122-AJ122,IF(AW122=2,(IF(BP122=X122,0,Y122-AB122-BZ122)),0)),0),0))</f>
        <v>0</v>
      </c>
      <c r="CB122" s="475">
        <f t="shared" si="27"/>
        <v>0</v>
      </c>
      <c r="CC122" s="475">
        <f t="shared" si="28"/>
        <v>8.8854270270270206</v>
      </c>
      <c r="CD122" s="475">
        <f t="shared" si="29"/>
        <v>0</v>
      </c>
      <c r="CE122" s="621">
        <f t="shared" si="30"/>
        <v>0</v>
      </c>
      <c r="CF122" s="621">
        <f t="shared" si="31"/>
        <v>0</v>
      </c>
      <c r="CG122" s="621">
        <f t="shared" si="32"/>
        <v>0</v>
      </c>
      <c r="CH122" s="573">
        <f t="shared" si="33"/>
        <v>0</v>
      </c>
      <c r="CI122" s="621">
        <f t="shared" si="34"/>
        <v>0</v>
      </c>
      <c r="CJ122" s="621">
        <f t="shared" si="35"/>
        <v>0</v>
      </c>
      <c r="CK122" s="621">
        <f t="shared" si="36"/>
        <v>0</v>
      </c>
      <c r="CL122" s="737">
        <f t="shared" si="37"/>
        <v>0</v>
      </c>
      <c r="CM122" s="738">
        <f t="shared" si="38"/>
        <v>0</v>
      </c>
      <c r="CN122" s="475">
        <f t="shared" si="39"/>
        <v>222</v>
      </c>
      <c r="CO122" s="475">
        <f t="shared" si="40"/>
        <v>222</v>
      </c>
      <c r="CP122" s="475">
        <f>IF($E$36=$D$36,IF(B122&gt;0,Q122,222),IF(B122&gt;0,W122,222))</f>
        <v>222</v>
      </c>
      <c r="CQ122" s="475">
        <f t="shared" si="41"/>
        <v>-222</v>
      </c>
      <c r="CR122" s="475">
        <f t="shared" si="42"/>
        <v>-222</v>
      </c>
      <c r="CS122" s="475">
        <f t="shared" si="43"/>
        <v>-222</v>
      </c>
      <c r="CT122" s="475">
        <f t="shared" si="44"/>
        <v>0</v>
      </c>
      <c r="CU122" s="475">
        <f t="shared" si="45"/>
        <v>222</v>
      </c>
      <c r="CV122" s="475">
        <f t="shared" si="46"/>
        <v>-222</v>
      </c>
      <c r="CW122" s="475">
        <f>SUM(CK122,CJ122,CE122,CF122,CM122,CT122)</f>
        <v>0</v>
      </c>
      <c r="CX122" s="573">
        <f>-CL122</f>
        <v>0</v>
      </c>
      <c r="CY122" s="475">
        <f t="shared" ref="CY122:CY138" si="81">IF(I122=0,CY123,BJ122)</f>
        <v>21.243243243243242</v>
      </c>
      <c r="CZ122" s="475">
        <f>IF(I122=0,CZ123,BN122)</f>
        <v>21.243243243243242</v>
      </c>
      <c r="DA122" s="475">
        <v>-24</v>
      </c>
      <c r="DB122" s="739">
        <f t="shared" ref="DB122:DB181" si="82">IF(A122&lt;=$E$33,$F$113,0)</f>
        <v>15.955563444498802</v>
      </c>
      <c r="DC122" s="740">
        <f t="shared" si="47"/>
        <v>15.955563444498802</v>
      </c>
    </row>
    <row r="123" spans="1:107" s="619" customFormat="1" ht="12" customHeight="1">
      <c r="A123" s="732">
        <v>-23</v>
      </c>
      <c r="B123" s="917">
        <f>Klimadaten!O7/8760*$K$68</f>
        <v>0</v>
      </c>
      <c r="C123" s="762">
        <f>Klimadaten!Q7</f>
        <v>0</v>
      </c>
      <c r="D123" s="763">
        <f>Klimadaten!N7</f>
        <v>0</v>
      </c>
      <c r="E123" s="491">
        <f t="shared" si="48"/>
        <v>0</v>
      </c>
      <c r="F123" s="438">
        <f t="shared" si="49"/>
        <v>0</v>
      </c>
      <c r="G123" s="733">
        <f t="shared" si="9"/>
        <v>-23</v>
      </c>
      <c r="H123" s="527">
        <f t="shared" si="50"/>
        <v>44.216216216216218</v>
      </c>
      <c r="I123" s="733">
        <f t="shared" si="51"/>
        <v>12.65405405405405</v>
      </c>
      <c r="J123" s="473">
        <f t="shared" si="52"/>
        <v>12.65405405405405</v>
      </c>
      <c r="K123" s="491">
        <f t="shared" si="53"/>
        <v>0.79999999999999993</v>
      </c>
      <c r="L123" s="473">
        <f t="shared" si="54"/>
        <v>12.65405405405405</v>
      </c>
      <c r="M123" s="473">
        <f t="shared" ref="M123:M152" si="83">IF($E$28=0,C123,(K123/$E$28*$E$29)*(BW123-C123)+C123)</f>
        <v>0</v>
      </c>
      <c r="N123" s="473">
        <f t="shared" ref="N123:N152" si="84">EnthalpieA(L123,M123,$N$19)*$E$35+(1-$E$35)*EnthalpieA(BU123,BW123,$N$19)</f>
        <v>12.729978378378375</v>
      </c>
      <c r="O123" s="473">
        <f t="shared" si="55"/>
        <v>12.729978378378375</v>
      </c>
      <c r="P123" s="734">
        <f t="shared" si="10"/>
        <v>0</v>
      </c>
      <c r="Q123" s="473">
        <f t="shared" ref="Q123:Q181" si="85">L123*(1-P123)+BU123*P123</f>
        <v>12.65405405405405</v>
      </c>
      <c r="R123" s="475">
        <f>(M123*(1-P123)+BW123*P123)</f>
        <v>0</v>
      </c>
      <c r="S123" s="473">
        <f t="shared" ref="S123:S180" si="86">MIN(MAX(N123,BM123),O123)</f>
        <v>12.729978378378375</v>
      </c>
      <c r="T123" s="473">
        <f t="shared" si="11"/>
        <v>12.65405405405405</v>
      </c>
      <c r="U123" s="473">
        <f t="shared" si="12"/>
        <v>12.65405405405405</v>
      </c>
      <c r="V123" s="734">
        <f t="shared" si="13"/>
        <v>0</v>
      </c>
      <c r="W123" s="473">
        <f t="shared" si="56"/>
        <v>12.65405405405405</v>
      </c>
      <c r="X123" s="475">
        <f t="shared" si="57"/>
        <v>0</v>
      </c>
      <c r="Y123" s="735">
        <f t="shared" si="58"/>
        <v>12.729978378378375</v>
      </c>
      <c r="Z123" s="475">
        <f t="shared" si="59"/>
        <v>9</v>
      </c>
      <c r="AA123" s="475">
        <f>IF($E$36=$D$36,MIN(AbsFeuchte(Z123,100%,$N$19),R123),MIN(AbsFeuchte(Z123,100%,$N$19),X123))</f>
        <v>0</v>
      </c>
      <c r="AB123" s="735">
        <f t="shared" si="60"/>
        <v>9.0540000000000003</v>
      </c>
      <c r="AC123" s="475">
        <f t="shared" si="61"/>
        <v>9</v>
      </c>
      <c r="AD123" s="475">
        <v>1</v>
      </c>
      <c r="AE123" s="735">
        <f t="shared" si="62"/>
        <v>11.572340000000001</v>
      </c>
      <c r="AF123" s="735">
        <f t="shared" si="63"/>
        <v>9</v>
      </c>
      <c r="AG123" s="735">
        <f t="shared" ref="AG123:AG181" si="87">IF($E$36=$D$36,IF(AA123=R123,1E+23,(Q123-AF123)/(R123-AA123)),IF(AA123=X123,1E+23,(W123-AF123)/(X123-AA123)))</f>
        <v>9.9999999999999992E+22</v>
      </c>
      <c r="AH123" s="475">
        <f t="shared" ref="AH123:AH181" si="88">IF($E$36=$D$36,MAX(IF(R123&gt;BL123,AF123+(AG123*(BL123-AA123)),Q123),Z123),MAX(IF(X123&gt;BL123,AF123+(AG123*(BL123-AA123)),W123),Z123))</f>
        <v>12.65405405405405</v>
      </c>
      <c r="AI123" s="475">
        <f t="shared" si="64"/>
        <v>0</v>
      </c>
      <c r="AJ123" s="735">
        <f t="shared" si="65"/>
        <v>12.729978378378375</v>
      </c>
      <c r="AK123" s="475">
        <f t="shared" si="66"/>
        <v>12.65405405405405</v>
      </c>
      <c r="AL123" s="475">
        <f t="shared" si="67"/>
        <v>1.2216216216216218E-22</v>
      </c>
      <c r="AM123" s="735">
        <f t="shared" si="68"/>
        <v>12.729978378378375</v>
      </c>
      <c r="AN123" s="475">
        <f t="shared" ref="AN123:AN180" si="89">TemperaturH(AP123,AO123)</f>
        <v>21.216216216216218</v>
      </c>
      <c r="AO123" s="475">
        <f t="shared" si="69"/>
        <v>0</v>
      </c>
      <c r="AP123" s="735">
        <f t="shared" ref="AP123:AP181" si="90">BM123</f>
        <v>21.343513513513514</v>
      </c>
      <c r="AQ123" s="475" t="e">
        <f t="shared" ca="1" si="14"/>
        <v>#NAME?</v>
      </c>
      <c r="AR123" s="475">
        <f t="shared" ref="AR123:AR181" si="91">BL123</f>
        <v>0</v>
      </c>
      <c r="AS123" s="735" t="e">
        <f t="shared" ca="1" si="15"/>
        <v>#VALUE!</v>
      </c>
      <c r="AT123" s="475">
        <f t="shared" ref="AT123:AT180" si="92">BN123</f>
        <v>21.216216216216218</v>
      </c>
      <c r="AU123" s="475">
        <f t="shared" si="16"/>
        <v>0</v>
      </c>
      <c r="AV123" s="735">
        <f t="shared" si="17"/>
        <v>21.343513513513514</v>
      </c>
      <c r="AW123" s="529">
        <f t="shared" si="70"/>
        <v>1</v>
      </c>
      <c r="AX123" s="735">
        <f t="shared" si="71"/>
        <v>1</v>
      </c>
      <c r="AY123" s="735">
        <f t="shared" si="18"/>
        <v>1</v>
      </c>
      <c r="AZ123" s="735">
        <f t="shared" si="72"/>
        <v>1</v>
      </c>
      <c r="BA123" s="735">
        <f t="shared" si="73"/>
        <v>1</v>
      </c>
      <c r="BB123" s="735">
        <f>IF($E$36=$D$36,IF(AW123=1,Fall1Tzul(AX123,AY123,BJ123,Q123),0),IF(AW123=1,Fall1Tzul(AX123,AY123,BJ123,W123),0))</f>
        <v>21.216216216216218</v>
      </c>
      <c r="BC123" s="735">
        <f>IF($E$36=$D$36,IF(AW123=1,Fall1xzul(AX123,AY123,BL123,R123),0),IF(AW123=1,Fall1xzul(AX123,AY123,BL123,X123),0))</f>
        <v>0</v>
      </c>
      <c r="BD123" s="735">
        <f>IF($E$36=$D$36,IF(AW123=2,Fall2Tzul(AX123, AZ123, BJ123,Q123, Z123),0),IF(AW123=2,Fall2Tzul(AX123, AZ123, BJ123,W123, Z123),0))</f>
        <v>0</v>
      </c>
      <c r="BE123" s="735">
        <f>IF($E$36=$D$36,IF(AW123=2,Fall2xzul(AX123,AZ123,BL123,R123,AA123),0),IF(AW123=2,Fall2xzul(AX123,AZ123,BL123,X123,AA123),0))</f>
        <v>0</v>
      </c>
      <c r="BF123" s="735">
        <f t="shared" si="19"/>
        <v>0</v>
      </c>
      <c r="BG123" s="735">
        <f t="shared" si="20"/>
        <v>0</v>
      </c>
      <c r="BH123" s="735">
        <f t="shared" si="21"/>
        <v>0</v>
      </c>
      <c r="BI123" s="735">
        <f t="shared" si="22"/>
        <v>0</v>
      </c>
      <c r="BJ123" s="473">
        <f t="shared" ref="BJ123:BJ181" si="93">IF($DA123&lt;=$B$89,$C$89-($B$89-$DA123)*$I$88,IF($DA123&lt;=$B$90,$C$90-($B$90-$DA123)*$I$89,$C$91-($B$91-$DA123)*$I$90))</f>
        <v>21.216216216216218</v>
      </c>
      <c r="BK123" s="491">
        <f t="shared" si="23"/>
        <v>0</v>
      </c>
      <c r="BL123" s="475">
        <f>AbsFeuchte(BJ123,BK123,$N$19)</f>
        <v>0</v>
      </c>
      <c r="BM123" s="735">
        <f t="shared" si="24"/>
        <v>21.343513513513514</v>
      </c>
      <c r="BN123" s="473">
        <f t="shared" ref="BN123:BN180" si="94">BB123+BD123+BF123+BH123</f>
        <v>21.216216216216218</v>
      </c>
      <c r="BO123" s="491">
        <f t="shared" si="25"/>
        <v>0</v>
      </c>
      <c r="BP123" s="475">
        <f t="shared" si="74"/>
        <v>0</v>
      </c>
      <c r="BQ123" s="735">
        <f t="shared" si="26"/>
        <v>21.343513513513514</v>
      </c>
      <c r="BR123" s="473">
        <f t="shared" si="75"/>
        <v>21.567567567567568</v>
      </c>
      <c r="BS123" s="491">
        <f t="shared" si="76"/>
        <v>0</v>
      </c>
      <c r="BT123" s="475">
        <f>AbsFeuchte(BR123,BS123,$N$19)</f>
        <v>0</v>
      </c>
      <c r="BU123" s="576">
        <f>IF($I$21=0,IF(E$13=$S$10,BR123+$N$18,BR123),IF(E$13=$S$10,BR123+$N$18+#REF!,BR123+$I$21))</f>
        <v>21.567567567567568</v>
      </c>
      <c r="BV123" s="736">
        <f t="shared" si="77"/>
        <v>0</v>
      </c>
      <c r="BW123" s="726">
        <f t="shared" si="78"/>
        <v>0</v>
      </c>
      <c r="BX123" s="475">
        <f t="shared" ref="BX123:BX181" si="95">SUM(BZ123:CA123)</f>
        <v>0</v>
      </c>
      <c r="BY123" s="475">
        <f t="shared" ref="BY123:BY181" si="96">SUM(CB123:CD123)</f>
        <v>8.6135351351351392</v>
      </c>
      <c r="BZ123" s="475">
        <f t="shared" si="79"/>
        <v>0</v>
      </c>
      <c r="CA123" s="475">
        <f t="shared" si="80"/>
        <v>0</v>
      </c>
      <c r="CB123" s="475">
        <f t="shared" si="27"/>
        <v>0</v>
      </c>
      <c r="CC123" s="475">
        <f t="shared" si="28"/>
        <v>8.6135351351351392</v>
      </c>
      <c r="CD123" s="475">
        <f t="shared" si="29"/>
        <v>0</v>
      </c>
      <c r="CE123" s="621">
        <f t="shared" si="30"/>
        <v>0</v>
      </c>
      <c r="CF123" s="621">
        <f t="shared" si="31"/>
        <v>0</v>
      </c>
      <c r="CG123" s="621">
        <f t="shared" si="32"/>
        <v>0</v>
      </c>
      <c r="CH123" s="573">
        <f t="shared" si="33"/>
        <v>0</v>
      </c>
      <c r="CI123" s="621">
        <f t="shared" si="34"/>
        <v>0</v>
      </c>
      <c r="CJ123" s="621">
        <f t="shared" si="35"/>
        <v>0</v>
      </c>
      <c r="CK123" s="621">
        <f t="shared" si="36"/>
        <v>0</v>
      </c>
      <c r="CL123" s="737">
        <f t="shared" si="37"/>
        <v>0</v>
      </c>
      <c r="CM123" s="738">
        <f t="shared" si="38"/>
        <v>0</v>
      </c>
      <c r="CN123" s="475">
        <f t="shared" si="39"/>
        <v>222</v>
      </c>
      <c r="CO123" s="475">
        <f t="shared" si="40"/>
        <v>222</v>
      </c>
      <c r="CP123" s="475">
        <f t="shared" ref="CP123:CP181" si="97">IF(B123&gt;0,W123,222)</f>
        <v>222</v>
      </c>
      <c r="CQ123" s="475">
        <f t="shared" si="41"/>
        <v>-222</v>
      </c>
      <c r="CR123" s="475">
        <f t="shared" si="42"/>
        <v>-222</v>
      </c>
      <c r="CS123" s="475">
        <f t="shared" si="43"/>
        <v>-222</v>
      </c>
      <c r="CT123" s="475">
        <f t="shared" si="44"/>
        <v>0</v>
      </c>
      <c r="CU123" s="475">
        <f t="shared" si="45"/>
        <v>222</v>
      </c>
      <c r="CV123" s="475">
        <f t="shared" si="46"/>
        <v>-222</v>
      </c>
      <c r="CW123" s="475">
        <f t="shared" ref="CW123:CW181" si="98">SUM(CK123,CJ123,CE123,CF123,CM123,CT123)</f>
        <v>0</v>
      </c>
      <c r="CX123" s="573">
        <f t="shared" ref="CX123:CX181" si="99">-CL123</f>
        <v>0</v>
      </c>
      <c r="CY123" s="475">
        <f t="shared" si="81"/>
        <v>21.216216216216218</v>
      </c>
      <c r="CZ123" s="475">
        <f t="shared" ref="CZ123:CZ181" si="100">IF(I123=0,CZ124,BN123)</f>
        <v>21.216216216216218</v>
      </c>
      <c r="DA123" s="475">
        <v>-23</v>
      </c>
      <c r="DB123" s="739">
        <f t="shared" si="82"/>
        <v>15.955563444498802</v>
      </c>
      <c r="DC123" s="740">
        <f t="shared" si="47"/>
        <v>15.955563444498802</v>
      </c>
    </row>
    <row r="124" spans="1:107" s="619" customFormat="1" ht="12" customHeight="1">
      <c r="A124" s="732">
        <v>-22</v>
      </c>
      <c r="B124" s="917">
        <f>Klimadaten!O8/8760*$K$68</f>
        <v>0</v>
      </c>
      <c r="C124" s="762">
        <f>Klimadaten!Q8</f>
        <v>0</v>
      </c>
      <c r="D124" s="763">
        <f>Klimadaten!N8</f>
        <v>0</v>
      </c>
      <c r="E124" s="491">
        <f t="shared" si="48"/>
        <v>0</v>
      </c>
      <c r="F124" s="438">
        <f t="shared" si="49"/>
        <v>0</v>
      </c>
      <c r="G124" s="733">
        <f t="shared" si="9"/>
        <v>-22</v>
      </c>
      <c r="H124" s="527">
        <f t="shared" si="50"/>
        <v>43.189189189189193</v>
      </c>
      <c r="I124" s="733">
        <f t="shared" si="51"/>
        <v>12.8972972972973</v>
      </c>
      <c r="J124" s="473">
        <f t="shared" si="52"/>
        <v>12.8972972972973</v>
      </c>
      <c r="K124" s="491">
        <f t="shared" si="53"/>
        <v>0.8</v>
      </c>
      <c r="L124" s="473">
        <f t="shared" si="54"/>
        <v>12.8972972972973</v>
      </c>
      <c r="M124" s="473">
        <f t="shared" si="83"/>
        <v>0</v>
      </c>
      <c r="N124" s="473">
        <f t="shared" si="84"/>
        <v>12.974681081081084</v>
      </c>
      <c r="O124" s="473">
        <f t="shared" si="55"/>
        <v>12.974681081081084</v>
      </c>
      <c r="P124" s="734">
        <f t="shared" si="10"/>
        <v>0</v>
      </c>
      <c r="Q124" s="473">
        <f t="shared" si="85"/>
        <v>12.8972972972973</v>
      </c>
      <c r="R124" s="475">
        <f>(M124*(1-P124)+BW124*P124)</f>
        <v>0</v>
      </c>
      <c r="S124" s="473">
        <f t="shared" si="86"/>
        <v>12.974681081081084</v>
      </c>
      <c r="T124" s="473">
        <f t="shared" si="11"/>
        <v>12.8972972972973</v>
      </c>
      <c r="U124" s="473">
        <f t="shared" si="12"/>
        <v>12.8972972972973</v>
      </c>
      <c r="V124" s="734">
        <f t="shared" si="13"/>
        <v>0</v>
      </c>
      <c r="W124" s="473">
        <f t="shared" si="56"/>
        <v>12.8972972972973</v>
      </c>
      <c r="X124" s="475">
        <f t="shared" si="57"/>
        <v>0</v>
      </c>
      <c r="Y124" s="735">
        <f t="shared" si="58"/>
        <v>12.974681081081084</v>
      </c>
      <c r="Z124" s="475">
        <f t="shared" si="59"/>
        <v>9</v>
      </c>
      <c r="AA124" s="475">
        <f>IF($E$36=$D$36,MIN(AbsFeuchte(Z124,100%,$N$19),R124),MIN(AbsFeuchte(Z124,100%,$N$19),X124))</f>
        <v>0</v>
      </c>
      <c r="AB124" s="735">
        <f t="shared" si="60"/>
        <v>9.0540000000000003</v>
      </c>
      <c r="AC124" s="475">
        <f t="shared" si="61"/>
        <v>9</v>
      </c>
      <c r="AD124" s="475">
        <v>2</v>
      </c>
      <c r="AE124" s="735">
        <f t="shared" si="62"/>
        <v>14.090679999999999</v>
      </c>
      <c r="AF124" s="735">
        <f t="shared" si="63"/>
        <v>9</v>
      </c>
      <c r="AG124" s="735">
        <f t="shared" si="87"/>
        <v>9.9999999999999992E+22</v>
      </c>
      <c r="AH124" s="475">
        <f t="shared" si="88"/>
        <v>12.8972972972973</v>
      </c>
      <c r="AI124" s="475">
        <f t="shared" si="64"/>
        <v>0</v>
      </c>
      <c r="AJ124" s="735">
        <f t="shared" si="65"/>
        <v>12.974681081081084</v>
      </c>
      <c r="AK124" s="475">
        <f t="shared" si="66"/>
        <v>12.8972972972973</v>
      </c>
      <c r="AL124" s="475">
        <f t="shared" si="67"/>
        <v>1.2189189189189191E-22</v>
      </c>
      <c r="AM124" s="735">
        <f t="shared" si="68"/>
        <v>12.974681081081084</v>
      </c>
      <c r="AN124" s="475">
        <f t="shared" si="89"/>
        <v>21.189189189189189</v>
      </c>
      <c r="AO124" s="475">
        <f t="shared" si="69"/>
        <v>0</v>
      </c>
      <c r="AP124" s="735">
        <f t="shared" si="90"/>
        <v>21.316324324324324</v>
      </c>
      <c r="AQ124" s="475" t="e">
        <f t="shared" ca="1" si="14"/>
        <v>#NAME?</v>
      </c>
      <c r="AR124" s="475">
        <f t="shared" si="91"/>
        <v>0</v>
      </c>
      <c r="AS124" s="735" t="e">
        <f t="shared" ca="1" si="15"/>
        <v>#VALUE!</v>
      </c>
      <c r="AT124" s="475">
        <f t="shared" si="92"/>
        <v>21.189189189189189</v>
      </c>
      <c r="AU124" s="475">
        <f t="shared" si="16"/>
        <v>0</v>
      </c>
      <c r="AV124" s="735">
        <f t="shared" si="17"/>
        <v>21.316324324324324</v>
      </c>
      <c r="AW124" s="529">
        <f t="shared" si="70"/>
        <v>1</v>
      </c>
      <c r="AX124" s="735">
        <f t="shared" si="71"/>
        <v>1</v>
      </c>
      <c r="AY124" s="735">
        <f t="shared" si="18"/>
        <v>1</v>
      </c>
      <c r="AZ124" s="735">
        <f t="shared" si="72"/>
        <v>1</v>
      </c>
      <c r="BA124" s="735">
        <f t="shared" si="73"/>
        <v>1</v>
      </c>
      <c r="BB124" s="735">
        <f>IF($E$36=$D$36,IF(AW124=1,Fall1Tzul(AX124,AY124,BJ124,Q124),0),IF(AW124=1,Fall1Tzul(AX124,AY124,BJ124,W124),0))</f>
        <v>21.189189189189189</v>
      </c>
      <c r="BC124" s="735">
        <f>IF($E$36=$D$36,IF(AW124=1,Fall1xzul(AX124,AY124,BL124,R124),0),IF(AW124=1,Fall1xzul(AX124,AY124,BL124,X124),0))</f>
        <v>0</v>
      </c>
      <c r="BD124" s="735">
        <f>IF($E$36=$D$36,IF(AW124=2,Fall2Tzul(AX124, AZ124, BJ124,Q124, Z124),0),IF(AW124=2,Fall2Tzul(AX124, AZ124, BJ124,W124, Z124),0))</f>
        <v>0</v>
      </c>
      <c r="BE124" s="735">
        <f>IF($E$36=$D$36,IF(AW124=2,Fall2xzul(AX124,AZ124,BL124,R124,AA124),0),IF(AW124=2,Fall2xzul(AX124,AZ124,BL124,X124,AA124),0))</f>
        <v>0</v>
      </c>
      <c r="BF124" s="735">
        <f t="shared" si="19"/>
        <v>0</v>
      </c>
      <c r="BG124" s="735">
        <f t="shared" si="20"/>
        <v>0</v>
      </c>
      <c r="BH124" s="735">
        <f t="shared" si="21"/>
        <v>0</v>
      </c>
      <c r="BI124" s="735">
        <f t="shared" si="22"/>
        <v>0</v>
      </c>
      <c r="BJ124" s="473">
        <f t="shared" si="93"/>
        <v>21.189189189189189</v>
      </c>
      <c r="BK124" s="491">
        <f t="shared" si="23"/>
        <v>0</v>
      </c>
      <c r="BL124" s="475">
        <f>AbsFeuchte(BJ124,BK124,$N$19)</f>
        <v>0</v>
      </c>
      <c r="BM124" s="735">
        <f t="shared" si="24"/>
        <v>21.316324324324324</v>
      </c>
      <c r="BN124" s="473">
        <f t="shared" si="94"/>
        <v>21.189189189189189</v>
      </c>
      <c r="BO124" s="491">
        <f t="shared" si="25"/>
        <v>0</v>
      </c>
      <c r="BP124" s="475">
        <f t="shared" si="74"/>
        <v>0</v>
      </c>
      <c r="BQ124" s="735">
        <f t="shared" si="26"/>
        <v>21.316324324324324</v>
      </c>
      <c r="BR124" s="473">
        <f t="shared" si="75"/>
        <v>21.621621621621621</v>
      </c>
      <c r="BS124" s="491">
        <f t="shared" si="76"/>
        <v>0</v>
      </c>
      <c r="BT124" s="475">
        <f>AbsFeuchte(BR124,BS124,$N$19)</f>
        <v>0</v>
      </c>
      <c r="BU124" s="576">
        <f>IF($I$21=0,IF(E$13=$S$10,BR124+$N$18,BR124),IF(E$13=$S$10,BR124+$N$18+#REF!,BR124+$I$21))</f>
        <v>21.621621621621621</v>
      </c>
      <c r="BV124" s="736">
        <f t="shared" si="77"/>
        <v>0</v>
      </c>
      <c r="BW124" s="726">
        <f t="shared" si="78"/>
        <v>0</v>
      </c>
      <c r="BX124" s="475">
        <f t="shared" si="95"/>
        <v>0</v>
      </c>
      <c r="BY124" s="475">
        <f t="shared" si="96"/>
        <v>8.3416432432432401</v>
      </c>
      <c r="BZ124" s="475">
        <f t="shared" si="79"/>
        <v>0</v>
      </c>
      <c r="CA124" s="475">
        <f t="shared" si="80"/>
        <v>0</v>
      </c>
      <c r="CB124" s="475">
        <f t="shared" si="27"/>
        <v>0</v>
      </c>
      <c r="CC124" s="475">
        <f t="shared" si="28"/>
        <v>8.3416432432432401</v>
      </c>
      <c r="CD124" s="475">
        <f t="shared" si="29"/>
        <v>0</v>
      </c>
      <c r="CE124" s="621">
        <f t="shared" si="30"/>
        <v>0</v>
      </c>
      <c r="CF124" s="621">
        <f t="shared" si="31"/>
        <v>0</v>
      </c>
      <c r="CG124" s="621">
        <f t="shared" si="32"/>
        <v>0</v>
      </c>
      <c r="CH124" s="573">
        <f t="shared" si="33"/>
        <v>0</v>
      </c>
      <c r="CI124" s="621">
        <f t="shared" si="34"/>
        <v>0</v>
      </c>
      <c r="CJ124" s="621">
        <f t="shared" si="35"/>
        <v>0</v>
      </c>
      <c r="CK124" s="621">
        <f t="shared" si="36"/>
        <v>0</v>
      </c>
      <c r="CL124" s="737">
        <f t="shared" si="37"/>
        <v>0</v>
      </c>
      <c r="CM124" s="738">
        <f t="shared" si="38"/>
        <v>0</v>
      </c>
      <c r="CN124" s="475">
        <f t="shared" si="39"/>
        <v>222</v>
      </c>
      <c r="CO124" s="475">
        <f t="shared" si="40"/>
        <v>222</v>
      </c>
      <c r="CP124" s="475">
        <f t="shared" si="97"/>
        <v>222</v>
      </c>
      <c r="CQ124" s="475">
        <f t="shared" si="41"/>
        <v>-222</v>
      </c>
      <c r="CR124" s="475">
        <f t="shared" si="42"/>
        <v>-222</v>
      </c>
      <c r="CS124" s="475">
        <f t="shared" si="43"/>
        <v>-222</v>
      </c>
      <c r="CT124" s="475">
        <f t="shared" si="44"/>
        <v>0</v>
      </c>
      <c r="CU124" s="475">
        <f t="shared" si="45"/>
        <v>222</v>
      </c>
      <c r="CV124" s="475">
        <f t="shared" si="46"/>
        <v>-222</v>
      </c>
      <c r="CW124" s="475">
        <f t="shared" si="98"/>
        <v>0</v>
      </c>
      <c r="CX124" s="573">
        <f t="shared" si="99"/>
        <v>0</v>
      </c>
      <c r="CY124" s="475">
        <f t="shared" si="81"/>
        <v>21.189189189189189</v>
      </c>
      <c r="CZ124" s="475">
        <f t="shared" si="100"/>
        <v>21.189189189189189</v>
      </c>
      <c r="DA124" s="475">
        <v>-22</v>
      </c>
      <c r="DB124" s="739">
        <f t="shared" si="82"/>
        <v>15.955563444498802</v>
      </c>
      <c r="DC124" s="740">
        <f t="shared" si="47"/>
        <v>15.955563444498802</v>
      </c>
    </row>
    <row r="125" spans="1:107" s="619" customFormat="1" ht="12" customHeight="1">
      <c r="A125" s="732">
        <v>-21</v>
      </c>
      <c r="B125" s="917">
        <f>Klimadaten!O9/8760*$K$68</f>
        <v>0</v>
      </c>
      <c r="C125" s="762">
        <f>Klimadaten!Q9</f>
        <v>0</v>
      </c>
      <c r="D125" s="763">
        <f>Klimadaten!N9</f>
        <v>0</v>
      </c>
      <c r="E125" s="491">
        <f t="shared" si="48"/>
        <v>0</v>
      </c>
      <c r="F125" s="438">
        <f t="shared" si="49"/>
        <v>0</v>
      </c>
      <c r="G125" s="733">
        <f t="shared" si="9"/>
        <v>-21</v>
      </c>
      <c r="H125" s="527">
        <f t="shared" si="50"/>
        <v>42.162162162162161</v>
      </c>
      <c r="I125" s="733">
        <f t="shared" si="51"/>
        <v>13.140540540540542</v>
      </c>
      <c r="J125" s="473">
        <f t="shared" si="52"/>
        <v>13.140540540540542</v>
      </c>
      <c r="K125" s="491">
        <f t="shared" si="53"/>
        <v>0.8</v>
      </c>
      <c r="L125" s="473">
        <f t="shared" si="54"/>
        <v>13.140540540540542</v>
      </c>
      <c r="M125" s="473">
        <f t="shared" si="83"/>
        <v>0</v>
      </c>
      <c r="N125" s="473">
        <f t="shared" si="84"/>
        <v>13.219383783783785</v>
      </c>
      <c r="O125" s="473">
        <f t="shared" si="55"/>
        <v>13.219383783783785</v>
      </c>
      <c r="P125" s="734">
        <f t="shared" si="10"/>
        <v>0</v>
      </c>
      <c r="Q125" s="473">
        <f t="shared" si="85"/>
        <v>13.140540540540542</v>
      </c>
      <c r="R125" s="475">
        <f t="shared" ref="R125:R181" si="101">(M125*(1-P125)+BW125*P125)</f>
        <v>0</v>
      </c>
      <c r="S125" s="473">
        <f t="shared" si="86"/>
        <v>13.219383783783785</v>
      </c>
      <c r="T125" s="473">
        <f t="shared" si="11"/>
        <v>13.140540540540542</v>
      </c>
      <c r="U125" s="473">
        <f t="shared" si="12"/>
        <v>13.140540540540542</v>
      </c>
      <c r="V125" s="734">
        <f t="shared" si="13"/>
        <v>0</v>
      </c>
      <c r="W125" s="473">
        <f t="shared" si="56"/>
        <v>13.140540540540542</v>
      </c>
      <c r="X125" s="475">
        <f t="shared" si="57"/>
        <v>0</v>
      </c>
      <c r="Y125" s="735">
        <f t="shared" si="58"/>
        <v>13.219383783783785</v>
      </c>
      <c r="Z125" s="475">
        <f t="shared" si="59"/>
        <v>9</v>
      </c>
      <c r="AA125" s="475">
        <f>IF($E$36=$D$36,MIN(AbsFeuchte(Z125,100%,$N$19),R125),MIN(AbsFeuchte(Z125,100%,$N$19),X125))</f>
        <v>0</v>
      </c>
      <c r="AB125" s="735">
        <f t="shared" si="60"/>
        <v>9.0540000000000003</v>
      </c>
      <c r="AC125" s="475">
        <f t="shared" si="61"/>
        <v>9</v>
      </c>
      <c r="AD125" s="475">
        <v>3</v>
      </c>
      <c r="AE125" s="735">
        <f t="shared" si="62"/>
        <v>16.609020000000001</v>
      </c>
      <c r="AF125" s="735">
        <f t="shared" si="63"/>
        <v>9</v>
      </c>
      <c r="AG125" s="735">
        <f t="shared" si="87"/>
        <v>9.9999999999999992E+22</v>
      </c>
      <c r="AH125" s="475">
        <f t="shared" si="88"/>
        <v>13.140540540540542</v>
      </c>
      <c r="AI125" s="475">
        <f t="shared" si="64"/>
        <v>0</v>
      </c>
      <c r="AJ125" s="735">
        <f t="shared" si="65"/>
        <v>13.219383783783785</v>
      </c>
      <c r="AK125" s="475">
        <f t="shared" si="66"/>
        <v>13.140540540540542</v>
      </c>
      <c r="AL125" s="475">
        <f t="shared" si="67"/>
        <v>1.2162162162162162E-22</v>
      </c>
      <c r="AM125" s="735">
        <f t="shared" si="68"/>
        <v>13.219383783783785</v>
      </c>
      <c r="AN125" s="475">
        <f t="shared" si="89"/>
        <v>21.162162162162161</v>
      </c>
      <c r="AO125" s="475">
        <f t="shared" si="69"/>
        <v>0</v>
      </c>
      <c r="AP125" s="735">
        <f t="shared" si="90"/>
        <v>21.289135135135133</v>
      </c>
      <c r="AQ125" s="475" t="e">
        <f t="shared" ca="1" si="14"/>
        <v>#NAME?</v>
      </c>
      <c r="AR125" s="475">
        <f t="shared" si="91"/>
        <v>0</v>
      </c>
      <c r="AS125" s="735" t="e">
        <f t="shared" ca="1" si="15"/>
        <v>#VALUE!</v>
      </c>
      <c r="AT125" s="475">
        <f t="shared" si="92"/>
        <v>21.162162162162161</v>
      </c>
      <c r="AU125" s="475">
        <f t="shared" si="16"/>
        <v>0</v>
      </c>
      <c r="AV125" s="735">
        <f t="shared" si="17"/>
        <v>21.289135135135133</v>
      </c>
      <c r="AW125" s="529">
        <f t="shared" si="70"/>
        <v>1</v>
      </c>
      <c r="AX125" s="735">
        <f t="shared" si="71"/>
        <v>1</v>
      </c>
      <c r="AY125" s="735">
        <f t="shared" si="18"/>
        <v>1</v>
      </c>
      <c r="AZ125" s="735">
        <f t="shared" si="72"/>
        <v>1</v>
      </c>
      <c r="BA125" s="735">
        <f t="shared" si="73"/>
        <v>1</v>
      </c>
      <c r="BB125" s="735">
        <f>IF($E$36=$D$36,IF(AW125=1,Fall1Tzul(AX125,AY125,BJ125,Q125),0),IF(AW125=1,Fall1Tzul(AX125,AY125,BJ125,W125),0))</f>
        <v>21.162162162162161</v>
      </c>
      <c r="BC125" s="735">
        <f>IF($E$36=$D$36,IF(AW125=1,Fall1xzul(AX125,AY125,BL125,R125),0),IF(AW125=1,Fall1xzul(AX125,AY125,BL125,X125),0))</f>
        <v>0</v>
      </c>
      <c r="BD125" s="735">
        <f>IF($E$36=$D$36,IF(AW125=2,Fall2Tzul(AX125, AZ125, BJ125,Q125, Z125),0),IF(AW125=2,Fall2Tzul(AX125, AZ125, BJ125,W125, Z125),0))</f>
        <v>0</v>
      </c>
      <c r="BE125" s="735">
        <f>IF($E$36=$D$36,IF(AW125=2,Fall2xzul(AX125,AZ125,BL125,R125,AA125),0),IF(AW125=2,Fall2xzul(AX125,AZ125,BL125,X125,AA125),0))</f>
        <v>0</v>
      </c>
      <c r="BF125" s="735">
        <f t="shared" si="19"/>
        <v>0</v>
      </c>
      <c r="BG125" s="735">
        <f t="shared" si="20"/>
        <v>0</v>
      </c>
      <c r="BH125" s="735">
        <f t="shared" si="21"/>
        <v>0</v>
      </c>
      <c r="BI125" s="735">
        <f t="shared" si="22"/>
        <v>0</v>
      </c>
      <c r="BJ125" s="473">
        <f t="shared" si="93"/>
        <v>21.162162162162161</v>
      </c>
      <c r="BK125" s="491">
        <f t="shared" si="23"/>
        <v>0</v>
      </c>
      <c r="BL125" s="475">
        <f>AbsFeuchte(BJ125,BK125,$N$19)</f>
        <v>0</v>
      </c>
      <c r="BM125" s="735">
        <f t="shared" si="24"/>
        <v>21.289135135135133</v>
      </c>
      <c r="BN125" s="473">
        <f t="shared" si="94"/>
        <v>21.162162162162161</v>
      </c>
      <c r="BO125" s="491">
        <f t="shared" si="25"/>
        <v>0</v>
      </c>
      <c r="BP125" s="475">
        <f t="shared" si="74"/>
        <v>0</v>
      </c>
      <c r="BQ125" s="735">
        <f t="shared" si="26"/>
        <v>21.289135135135133</v>
      </c>
      <c r="BR125" s="473">
        <f t="shared" si="75"/>
        <v>21.675675675675677</v>
      </c>
      <c r="BS125" s="491">
        <f t="shared" si="76"/>
        <v>0</v>
      </c>
      <c r="BT125" s="475">
        <f>AbsFeuchte(BR125,BS125,$N$19)</f>
        <v>0</v>
      </c>
      <c r="BU125" s="576">
        <f>IF($I$21=0,IF(E$13=$S$10,BR125+$N$18,BR125),IF(E$13=$S$10,BR125+$N$18+#REF!,BR125+$I$21))</f>
        <v>21.675675675675677</v>
      </c>
      <c r="BV125" s="736">
        <f t="shared" si="77"/>
        <v>0</v>
      </c>
      <c r="BW125" s="726">
        <f t="shared" si="78"/>
        <v>0</v>
      </c>
      <c r="BX125" s="475">
        <f t="shared" si="95"/>
        <v>0</v>
      </c>
      <c r="BY125" s="475">
        <f t="shared" si="96"/>
        <v>8.0697513513513481</v>
      </c>
      <c r="BZ125" s="475">
        <f t="shared" si="79"/>
        <v>0</v>
      </c>
      <c r="CA125" s="475">
        <f t="shared" si="80"/>
        <v>0</v>
      </c>
      <c r="CB125" s="475">
        <f t="shared" si="27"/>
        <v>0</v>
      </c>
      <c r="CC125" s="475">
        <f t="shared" si="28"/>
        <v>8.0697513513513481</v>
      </c>
      <c r="CD125" s="475">
        <f t="shared" si="29"/>
        <v>0</v>
      </c>
      <c r="CE125" s="621">
        <f t="shared" si="30"/>
        <v>0</v>
      </c>
      <c r="CF125" s="621">
        <f t="shared" si="31"/>
        <v>0</v>
      </c>
      <c r="CG125" s="621">
        <f t="shared" si="32"/>
        <v>0</v>
      </c>
      <c r="CH125" s="573">
        <f t="shared" si="33"/>
        <v>0</v>
      </c>
      <c r="CI125" s="621">
        <f t="shared" si="34"/>
        <v>0</v>
      </c>
      <c r="CJ125" s="621">
        <f t="shared" si="35"/>
        <v>0</v>
      </c>
      <c r="CK125" s="621">
        <f t="shared" si="36"/>
        <v>0</v>
      </c>
      <c r="CL125" s="737">
        <f t="shared" si="37"/>
        <v>0</v>
      </c>
      <c r="CM125" s="738">
        <f t="shared" si="38"/>
        <v>0</v>
      </c>
      <c r="CN125" s="475">
        <f t="shared" si="39"/>
        <v>222</v>
      </c>
      <c r="CO125" s="475">
        <f t="shared" si="40"/>
        <v>222</v>
      </c>
      <c r="CP125" s="475">
        <f t="shared" si="97"/>
        <v>222</v>
      </c>
      <c r="CQ125" s="475">
        <f t="shared" si="41"/>
        <v>-222</v>
      </c>
      <c r="CR125" s="475">
        <f t="shared" si="42"/>
        <v>-222</v>
      </c>
      <c r="CS125" s="475">
        <f t="shared" si="43"/>
        <v>-222</v>
      </c>
      <c r="CT125" s="475">
        <f t="shared" si="44"/>
        <v>0</v>
      </c>
      <c r="CU125" s="475">
        <f t="shared" si="45"/>
        <v>222</v>
      </c>
      <c r="CV125" s="475">
        <f t="shared" si="46"/>
        <v>-222</v>
      </c>
      <c r="CW125" s="475">
        <f t="shared" si="98"/>
        <v>0</v>
      </c>
      <c r="CX125" s="573">
        <f t="shared" si="99"/>
        <v>0</v>
      </c>
      <c r="CY125" s="475">
        <f t="shared" si="81"/>
        <v>21.162162162162161</v>
      </c>
      <c r="CZ125" s="475">
        <f t="shared" si="100"/>
        <v>21.162162162162161</v>
      </c>
      <c r="DA125" s="475">
        <v>-21</v>
      </c>
      <c r="DB125" s="739">
        <f t="shared" si="82"/>
        <v>15.955563444498802</v>
      </c>
      <c r="DC125" s="740">
        <f t="shared" si="47"/>
        <v>15.955563444498802</v>
      </c>
    </row>
    <row r="126" spans="1:107" s="619" customFormat="1" ht="12" customHeight="1">
      <c r="A126" s="732">
        <v>-20</v>
      </c>
      <c r="B126" s="917">
        <f>Klimadaten!O10/8760*$K$68</f>
        <v>0</v>
      </c>
      <c r="C126" s="762">
        <f>Klimadaten!Q10</f>
        <v>0</v>
      </c>
      <c r="D126" s="763">
        <f>Klimadaten!N10</f>
        <v>0</v>
      </c>
      <c r="E126" s="491">
        <f t="shared" si="48"/>
        <v>0</v>
      </c>
      <c r="F126" s="438">
        <f t="shared" si="49"/>
        <v>0</v>
      </c>
      <c r="G126" s="733">
        <f t="shared" si="9"/>
        <v>-20</v>
      </c>
      <c r="H126" s="527">
        <f t="shared" si="50"/>
        <v>41.135135135135137</v>
      </c>
      <c r="I126" s="733">
        <f t="shared" si="51"/>
        <v>13.383783783783784</v>
      </c>
      <c r="J126" s="473">
        <f t="shared" si="52"/>
        <v>13.383783783783784</v>
      </c>
      <c r="K126" s="491">
        <f t="shared" si="53"/>
        <v>0.8</v>
      </c>
      <c r="L126" s="473">
        <f t="shared" si="54"/>
        <v>13.383783783783784</v>
      </c>
      <c r="M126" s="473">
        <f t="shared" si="83"/>
        <v>0</v>
      </c>
      <c r="N126" s="473">
        <f t="shared" si="84"/>
        <v>13.464086486486487</v>
      </c>
      <c r="O126" s="473">
        <f t="shared" si="55"/>
        <v>13.464086486486487</v>
      </c>
      <c r="P126" s="734">
        <f t="shared" si="10"/>
        <v>0</v>
      </c>
      <c r="Q126" s="473">
        <f t="shared" si="85"/>
        <v>13.383783783783784</v>
      </c>
      <c r="R126" s="475">
        <f t="shared" si="101"/>
        <v>0</v>
      </c>
      <c r="S126" s="473">
        <f t="shared" si="86"/>
        <v>13.464086486486487</v>
      </c>
      <c r="T126" s="473">
        <f t="shared" si="11"/>
        <v>13.383783783783784</v>
      </c>
      <c r="U126" s="473">
        <f t="shared" si="12"/>
        <v>13.383783783783784</v>
      </c>
      <c r="V126" s="734">
        <f t="shared" si="13"/>
        <v>0</v>
      </c>
      <c r="W126" s="473">
        <f t="shared" si="56"/>
        <v>13.383783783783784</v>
      </c>
      <c r="X126" s="475">
        <f t="shared" si="57"/>
        <v>0</v>
      </c>
      <c r="Y126" s="735">
        <f t="shared" si="58"/>
        <v>13.464086486486487</v>
      </c>
      <c r="Z126" s="475">
        <f t="shared" si="59"/>
        <v>9</v>
      </c>
      <c r="AA126" s="475">
        <f>IF($E$36=$D$36,MIN(AbsFeuchte(Z126,100%,$N$19),R126),MIN(AbsFeuchte(Z126,100%,$N$19),X126))</f>
        <v>0</v>
      </c>
      <c r="AB126" s="735">
        <f t="shared" si="60"/>
        <v>9.0540000000000003</v>
      </c>
      <c r="AC126" s="475">
        <f t="shared" si="61"/>
        <v>9</v>
      </c>
      <c r="AD126" s="475">
        <v>4</v>
      </c>
      <c r="AE126" s="735">
        <f t="shared" si="62"/>
        <v>19.127359999999999</v>
      </c>
      <c r="AF126" s="735">
        <f t="shared" si="63"/>
        <v>9</v>
      </c>
      <c r="AG126" s="735">
        <f t="shared" si="87"/>
        <v>9.9999999999999992E+22</v>
      </c>
      <c r="AH126" s="475">
        <f t="shared" si="88"/>
        <v>13.383783783783784</v>
      </c>
      <c r="AI126" s="475">
        <f t="shared" si="64"/>
        <v>0</v>
      </c>
      <c r="AJ126" s="735">
        <f t="shared" si="65"/>
        <v>13.464086486486487</v>
      </c>
      <c r="AK126" s="475">
        <f t="shared" si="66"/>
        <v>13.383783783783784</v>
      </c>
      <c r="AL126" s="475">
        <f t="shared" si="67"/>
        <v>1.2135135135135138E-22</v>
      </c>
      <c r="AM126" s="735">
        <f t="shared" si="68"/>
        <v>13.464086486486487</v>
      </c>
      <c r="AN126" s="475">
        <f t="shared" si="89"/>
        <v>21.135135135135137</v>
      </c>
      <c r="AO126" s="475">
        <f t="shared" si="69"/>
        <v>0</v>
      </c>
      <c r="AP126" s="735">
        <f t="shared" si="90"/>
        <v>21.261945945945946</v>
      </c>
      <c r="AQ126" s="475" t="e">
        <f t="shared" ca="1" si="14"/>
        <v>#NAME?</v>
      </c>
      <c r="AR126" s="475">
        <f t="shared" si="91"/>
        <v>0</v>
      </c>
      <c r="AS126" s="735" t="e">
        <f t="shared" ca="1" si="15"/>
        <v>#VALUE!</v>
      </c>
      <c r="AT126" s="475">
        <f t="shared" si="92"/>
        <v>21.135135135135137</v>
      </c>
      <c r="AU126" s="475">
        <f t="shared" si="16"/>
        <v>0</v>
      </c>
      <c r="AV126" s="735">
        <f t="shared" si="17"/>
        <v>21.261945945945946</v>
      </c>
      <c r="AW126" s="529">
        <f t="shared" si="70"/>
        <v>1</v>
      </c>
      <c r="AX126" s="735">
        <f t="shared" si="71"/>
        <v>1</v>
      </c>
      <c r="AY126" s="735">
        <f t="shared" si="18"/>
        <v>1</v>
      </c>
      <c r="AZ126" s="735">
        <f t="shared" si="72"/>
        <v>1</v>
      </c>
      <c r="BA126" s="735">
        <f t="shared" si="73"/>
        <v>1</v>
      </c>
      <c r="BB126" s="735">
        <f>IF($E$36=$D$36,IF(AW126=1,Fall1Tzul(AX126,AY126,BJ126,Q126),0),IF(AW126=1,Fall1Tzul(AX126,AY126,BJ126,W126),0))</f>
        <v>21.135135135135137</v>
      </c>
      <c r="BC126" s="735">
        <f>IF($E$36=$D$36,IF(AW126=1,Fall1xzul(AX126,AY126,BL126,R126),0),IF(AW126=1,Fall1xzul(AX126,AY126,BL126,X126),0))</f>
        <v>0</v>
      </c>
      <c r="BD126" s="735">
        <f>IF($E$36=$D$36,IF(AW126=2,Fall2Tzul(AX126, AZ126, BJ126,Q126, Z126),0),IF(AW126=2,Fall2Tzul(AX126, AZ126, BJ126,W126, Z126),0))</f>
        <v>0</v>
      </c>
      <c r="BE126" s="735">
        <f>IF($E$36=$D$36,IF(AW126=2,Fall2xzul(AX126,AZ126,BL126,R126,AA126),0),IF(AW126=2,Fall2xzul(AX126,AZ126,BL126,X126,AA126),0))</f>
        <v>0</v>
      </c>
      <c r="BF126" s="735">
        <f t="shared" si="19"/>
        <v>0</v>
      </c>
      <c r="BG126" s="735">
        <f t="shared" si="20"/>
        <v>0</v>
      </c>
      <c r="BH126" s="735">
        <f t="shared" si="21"/>
        <v>0</v>
      </c>
      <c r="BI126" s="735">
        <f t="shared" si="22"/>
        <v>0</v>
      </c>
      <c r="BJ126" s="473">
        <f t="shared" si="93"/>
        <v>21.135135135135137</v>
      </c>
      <c r="BK126" s="491">
        <f t="shared" si="23"/>
        <v>0</v>
      </c>
      <c r="BL126" s="475">
        <f>AbsFeuchte(BJ126,BK126,$N$19)</f>
        <v>0</v>
      </c>
      <c r="BM126" s="735">
        <f t="shared" si="24"/>
        <v>21.261945945945946</v>
      </c>
      <c r="BN126" s="473">
        <f t="shared" si="94"/>
        <v>21.135135135135137</v>
      </c>
      <c r="BO126" s="491">
        <f t="shared" si="25"/>
        <v>0</v>
      </c>
      <c r="BP126" s="475">
        <f t="shared" si="74"/>
        <v>0</v>
      </c>
      <c r="BQ126" s="735">
        <f t="shared" si="26"/>
        <v>21.261945945945946</v>
      </c>
      <c r="BR126" s="473">
        <f t="shared" si="75"/>
        <v>21.72972972972973</v>
      </c>
      <c r="BS126" s="491">
        <f t="shared" si="76"/>
        <v>0</v>
      </c>
      <c r="BT126" s="475">
        <f>AbsFeuchte(BR126,BS126,$N$19)</f>
        <v>0</v>
      </c>
      <c r="BU126" s="576">
        <f>IF($I$21=0,IF(E$13=$S$10,BR126+$N$18,BR126),IF(E$13=$S$10,BR126+$N$18+#REF!,BR126+$I$21))</f>
        <v>21.72972972972973</v>
      </c>
      <c r="BV126" s="736">
        <f t="shared" si="77"/>
        <v>0</v>
      </c>
      <c r="BW126" s="726">
        <f t="shared" si="78"/>
        <v>0</v>
      </c>
      <c r="BX126" s="475">
        <f t="shared" si="95"/>
        <v>0</v>
      </c>
      <c r="BY126" s="475">
        <f t="shared" si="96"/>
        <v>7.7978594594594597</v>
      </c>
      <c r="BZ126" s="475">
        <f t="shared" si="79"/>
        <v>0</v>
      </c>
      <c r="CA126" s="475">
        <f t="shared" si="80"/>
        <v>0</v>
      </c>
      <c r="CB126" s="475">
        <f t="shared" si="27"/>
        <v>0</v>
      </c>
      <c r="CC126" s="475">
        <f t="shared" si="28"/>
        <v>7.7978594594594597</v>
      </c>
      <c r="CD126" s="475">
        <f t="shared" si="29"/>
        <v>0</v>
      </c>
      <c r="CE126" s="621">
        <f t="shared" si="30"/>
        <v>0</v>
      </c>
      <c r="CF126" s="621">
        <f t="shared" si="31"/>
        <v>0</v>
      </c>
      <c r="CG126" s="621">
        <f t="shared" si="32"/>
        <v>0</v>
      </c>
      <c r="CH126" s="573">
        <f t="shared" si="33"/>
        <v>0</v>
      </c>
      <c r="CI126" s="621">
        <f t="shared" si="34"/>
        <v>0</v>
      </c>
      <c r="CJ126" s="621">
        <f t="shared" si="35"/>
        <v>0</v>
      </c>
      <c r="CK126" s="621">
        <f t="shared" si="36"/>
        <v>0</v>
      </c>
      <c r="CL126" s="737">
        <f t="shared" si="37"/>
        <v>0</v>
      </c>
      <c r="CM126" s="738">
        <f t="shared" si="38"/>
        <v>0</v>
      </c>
      <c r="CN126" s="475">
        <f t="shared" si="39"/>
        <v>222</v>
      </c>
      <c r="CO126" s="475">
        <f t="shared" si="40"/>
        <v>222</v>
      </c>
      <c r="CP126" s="475">
        <f t="shared" si="97"/>
        <v>222</v>
      </c>
      <c r="CQ126" s="475">
        <f t="shared" si="41"/>
        <v>-222</v>
      </c>
      <c r="CR126" s="475">
        <f t="shared" si="42"/>
        <v>-222</v>
      </c>
      <c r="CS126" s="475">
        <f t="shared" si="43"/>
        <v>-222</v>
      </c>
      <c r="CT126" s="475">
        <f t="shared" si="44"/>
        <v>0</v>
      </c>
      <c r="CU126" s="475">
        <f t="shared" si="45"/>
        <v>222</v>
      </c>
      <c r="CV126" s="475">
        <f t="shared" si="46"/>
        <v>-222</v>
      </c>
      <c r="CW126" s="475">
        <f t="shared" si="98"/>
        <v>0</v>
      </c>
      <c r="CX126" s="573">
        <f t="shared" si="99"/>
        <v>0</v>
      </c>
      <c r="CY126" s="475">
        <f t="shared" si="81"/>
        <v>21.135135135135137</v>
      </c>
      <c r="CZ126" s="475">
        <f t="shared" si="100"/>
        <v>21.135135135135137</v>
      </c>
      <c r="DA126" s="475">
        <v>-20</v>
      </c>
      <c r="DB126" s="739">
        <f t="shared" si="82"/>
        <v>15.955563444498802</v>
      </c>
      <c r="DC126" s="740">
        <f t="shared" si="47"/>
        <v>15.955563444498802</v>
      </c>
    </row>
    <row r="127" spans="1:107" s="619" customFormat="1" ht="12" customHeight="1">
      <c r="A127" s="732">
        <v>-19</v>
      </c>
      <c r="B127" s="917">
        <f>Klimadaten!O11/8760*$K$68</f>
        <v>0</v>
      </c>
      <c r="C127" s="762">
        <f>Klimadaten!Q11</f>
        <v>0</v>
      </c>
      <c r="D127" s="763">
        <f>Klimadaten!N11</f>
        <v>0</v>
      </c>
      <c r="E127" s="491">
        <f t="shared" si="48"/>
        <v>0</v>
      </c>
      <c r="F127" s="438">
        <f t="shared" si="49"/>
        <v>0</v>
      </c>
      <c r="G127" s="733">
        <f t="shared" si="9"/>
        <v>-19</v>
      </c>
      <c r="H127" s="527">
        <f t="shared" si="50"/>
        <v>40.108108108108112</v>
      </c>
      <c r="I127" s="733">
        <f t="shared" si="51"/>
        <v>13.627027027027026</v>
      </c>
      <c r="J127" s="473">
        <f t="shared" si="52"/>
        <v>13.627027027027026</v>
      </c>
      <c r="K127" s="491">
        <f t="shared" si="53"/>
        <v>0.8</v>
      </c>
      <c r="L127" s="473">
        <f t="shared" si="54"/>
        <v>13.627027027027026</v>
      </c>
      <c r="M127" s="473">
        <f t="shared" si="83"/>
        <v>0</v>
      </c>
      <c r="N127" s="473">
        <f t="shared" si="84"/>
        <v>13.708789189189188</v>
      </c>
      <c r="O127" s="473">
        <f t="shared" si="55"/>
        <v>13.708789189189188</v>
      </c>
      <c r="P127" s="734">
        <f t="shared" si="10"/>
        <v>0</v>
      </c>
      <c r="Q127" s="473">
        <f t="shared" si="85"/>
        <v>13.627027027027026</v>
      </c>
      <c r="R127" s="475">
        <f t="shared" si="101"/>
        <v>0</v>
      </c>
      <c r="S127" s="473">
        <f t="shared" si="86"/>
        <v>13.708789189189188</v>
      </c>
      <c r="T127" s="473">
        <f t="shared" si="11"/>
        <v>13.627027027027026</v>
      </c>
      <c r="U127" s="473">
        <f t="shared" si="12"/>
        <v>13.627027027027026</v>
      </c>
      <c r="V127" s="734">
        <f t="shared" si="13"/>
        <v>0</v>
      </c>
      <c r="W127" s="473">
        <f t="shared" si="56"/>
        <v>13.627027027027026</v>
      </c>
      <c r="X127" s="475">
        <f t="shared" si="57"/>
        <v>0</v>
      </c>
      <c r="Y127" s="735">
        <f t="shared" si="58"/>
        <v>13.708789189189188</v>
      </c>
      <c r="Z127" s="475">
        <f t="shared" si="59"/>
        <v>9</v>
      </c>
      <c r="AA127" s="475">
        <f>IF($E$36=$D$36,MIN(AbsFeuchte(Z127,100%,$N$19),R127),MIN(AbsFeuchte(Z127,100%,$N$19),X127))</f>
        <v>0</v>
      </c>
      <c r="AB127" s="735">
        <f t="shared" si="60"/>
        <v>9.0540000000000003</v>
      </c>
      <c r="AC127" s="475">
        <f t="shared" si="61"/>
        <v>9</v>
      </c>
      <c r="AD127" s="475">
        <v>5</v>
      </c>
      <c r="AE127" s="735">
        <f t="shared" si="62"/>
        <v>21.645699999999998</v>
      </c>
      <c r="AF127" s="735">
        <f t="shared" si="63"/>
        <v>9</v>
      </c>
      <c r="AG127" s="735">
        <f t="shared" si="87"/>
        <v>9.9999999999999992E+22</v>
      </c>
      <c r="AH127" s="475">
        <f t="shared" si="88"/>
        <v>13.627027027027026</v>
      </c>
      <c r="AI127" s="475">
        <f t="shared" si="64"/>
        <v>0</v>
      </c>
      <c r="AJ127" s="735">
        <f t="shared" si="65"/>
        <v>13.708789189189188</v>
      </c>
      <c r="AK127" s="475">
        <f t="shared" si="66"/>
        <v>13.627027027027026</v>
      </c>
      <c r="AL127" s="475">
        <f t="shared" si="67"/>
        <v>1.2108108108108109E-22</v>
      </c>
      <c r="AM127" s="735">
        <f t="shared" si="68"/>
        <v>13.708789189189188</v>
      </c>
      <c r="AN127" s="475">
        <f t="shared" si="89"/>
        <v>21.108108108108109</v>
      </c>
      <c r="AO127" s="475">
        <f t="shared" si="69"/>
        <v>0</v>
      </c>
      <c r="AP127" s="735">
        <f t="shared" si="90"/>
        <v>21.234756756756756</v>
      </c>
      <c r="AQ127" s="475" t="e">
        <f t="shared" ca="1" si="14"/>
        <v>#NAME?</v>
      </c>
      <c r="AR127" s="475">
        <f t="shared" si="91"/>
        <v>0</v>
      </c>
      <c r="AS127" s="735" t="e">
        <f t="shared" ca="1" si="15"/>
        <v>#VALUE!</v>
      </c>
      <c r="AT127" s="475">
        <f t="shared" si="92"/>
        <v>21.108108108108109</v>
      </c>
      <c r="AU127" s="475">
        <f t="shared" si="16"/>
        <v>0</v>
      </c>
      <c r="AV127" s="735">
        <f t="shared" si="17"/>
        <v>21.234756756756756</v>
      </c>
      <c r="AW127" s="529">
        <f t="shared" si="70"/>
        <v>1</v>
      </c>
      <c r="AX127" s="735">
        <f t="shared" si="71"/>
        <v>1</v>
      </c>
      <c r="AY127" s="735">
        <f t="shared" si="18"/>
        <v>1</v>
      </c>
      <c r="AZ127" s="735">
        <f t="shared" si="72"/>
        <v>1</v>
      </c>
      <c r="BA127" s="735">
        <f t="shared" si="73"/>
        <v>1</v>
      </c>
      <c r="BB127" s="735">
        <f>IF($E$36=$D$36,IF(AW127=1,Fall1Tzul(AX127,AY127,BJ127,Q127),0),IF(AW127=1,Fall1Tzul(AX127,AY127,BJ127,W127),0))</f>
        <v>21.108108108108109</v>
      </c>
      <c r="BC127" s="735">
        <f>IF($E$36=$D$36,IF(AW127=1,Fall1xzul(AX127,AY127,BL127,R127),0),IF(AW127=1,Fall1xzul(AX127,AY127,BL127,X127),0))</f>
        <v>0</v>
      </c>
      <c r="BD127" s="735">
        <f>IF($E$36=$D$36,IF(AW127=2,Fall2Tzul(AX127, AZ127, BJ127,Q127, Z127),0),IF(AW127=2,Fall2Tzul(AX127, AZ127, BJ127,W127, Z127),0))</f>
        <v>0</v>
      </c>
      <c r="BE127" s="735">
        <f>IF($E$36=$D$36,IF(AW127=2,Fall2xzul(AX127,AZ127,BL127,R127,AA127),0),IF(AW127=2,Fall2xzul(AX127,AZ127,BL127,X127,AA127),0))</f>
        <v>0</v>
      </c>
      <c r="BF127" s="735">
        <f t="shared" si="19"/>
        <v>0</v>
      </c>
      <c r="BG127" s="735">
        <f t="shared" si="20"/>
        <v>0</v>
      </c>
      <c r="BH127" s="735">
        <f t="shared" si="21"/>
        <v>0</v>
      </c>
      <c r="BI127" s="735">
        <f t="shared" si="22"/>
        <v>0</v>
      </c>
      <c r="BJ127" s="473">
        <f t="shared" si="93"/>
        <v>21.108108108108109</v>
      </c>
      <c r="BK127" s="491">
        <f t="shared" si="23"/>
        <v>0</v>
      </c>
      <c r="BL127" s="475">
        <f>AbsFeuchte(BJ127,BK127,$N$19)</f>
        <v>0</v>
      </c>
      <c r="BM127" s="735">
        <f t="shared" si="24"/>
        <v>21.234756756756756</v>
      </c>
      <c r="BN127" s="473">
        <f t="shared" si="94"/>
        <v>21.108108108108109</v>
      </c>
      <c r="BO127" s="491">
        <f t="shared" si="25"/>
        <v>0</v>
      </c>
      <c r="BP127" s="475">
        <f t="shared" si="74"/>
        <v>0</v>
      </c>
      <c r="BQ127" s="735">
        <f t="shared" si="26"/>
        <v>21.234756756756756</v>
      </c>
      <c r="BR127" s="473">
        <f t="shared" si="75"/>
        <v>21.783783783783782</v>
      </c>
      <c r="BS127" s="491">
        <f t="shared" si="76"/>
        <v>0</v>
      </c>
      <c r="BT127" s="475">
        <f>AbsFeuchte(BR127,BS127,$N$19)</f>
        <v>0</v>
      </c>
      <c r="BU127" s="576">
        <f>IF($I$21=0,IF(E$13=$S$10,BR127+$N$18,BR127),IF(E$13=$S$10,BR127+$N$18+#REF!,BR127+$I$21))</f>
        <v>21.783783783783782</v>
      </c>
      <c r="BV127" s="736">
        <f t="shared" si="77"/>
        <v>0</v>
      </c>
      <c r="BW127" s="726">
        <f t="shared" si="78"/>
        <v>0</v>
      </c>
      <c r="BX127" s="475">
        <f t="shared" si="95"/>
        <v>0</v>
      </c>
      <c r="BY127" s="475">
        <f t="shared" si="96"/>
        <v>7.5259675675675677</v>
      </c>
      <c r="BZ127" s="475">
        <f t="shared" si="79"/>
        <v>0</v>
      </c>
      <c r="CA127" s="475">
        <f t="shared" si="80"/>
        <v>0</v>
      </c>
      <c r="CB127" s="475">
        <f t="shared" si="27"/>
        <v>0</v>
      </c>
      <c r="CC127" s="475">
        <f t="shared" si="28"/>
        <v>7.5259675675675677</v>
      </c>
      <c r="CD127" s="475">
        <f t="shared" si="29"/>
        <v>0</v>
      </c>
      <c r="CE127" s="621">
        <f t="shared" si="30"/>
        <v>0</v>
      </c>
      <c r="CF127" s="621">
        <f t="shared" si="31"/>
        <v>0</v>
      </c>
      <c r="CG127" s="621">
        <f t="shared" si="32"/>
        <v>0</v>
      </c>
      <c r="CH127" s="573">
        <f t="shared" si="33"/>
        <v>0</v>
      </c>
      <c r="CI127" s="621">
        <f t="shared" si="34"/>
        <v>0</v>
      </c>
      <c r="CJ127" s="621">
        <f t="shared" si="35"/>
        <v>0</v>
      </c>
      <c r="CK127" s="621">
        <f t="shared" si="36"/>
        <v>0</v>
      </c>
      <c r="CL127" s="737">
        <f t="shared" si="37"/>
        <v>0</v>
      </c>
      <c r="CM127" s="738">
        <f t="shared" si="38"/>
        <v>0</v>
      </c>
      <c r="CN127" s="475">
        <f t="shared" si="39"/>
        <v>222</v>
      </c>
      <c r="CO127" s="475">
        <f t="shared" si="40"/>
        <v>222</v>
      </c>
      <c r="CP127" s="475">
        <f t="shared" si="97"/>
        <v>222</v>
      </c>
      <c r="CQ127" s="475">
        <f t="shared" si="41"/>
        <v>-222</v>
      </c>
      <c r="CR127" s="475">
        <f t="shared" si="42"/>
        <v>-222</v>
      </c>
      <c r="CS127" s="475">
        <f t="shared" si="43"/>
        <v>-222</v>
      </c>
      <c r="CT127" s="475">
        <f t="shared" si="44"/>
        <v>0</v>
      </c>
      <c r="CU127" s="475">
        <f t="shared" si="45"/>
        <v>222</v>
      </c>
      <c r="CV127" s="475">
        <f t="shared" si="46"/>
        <v>-222</v>
      </c>
      <c r="CW127" s="475">
        <f t="shared" si="98"/>
        <v>0</v>
      </c>
      <c r="CX127" s="573">
        <f t="shared" si="99"/>
        <v>0</v>
      </c>
      <c r="CY127" s="475">
        <f t="shared" si="81"/>
        <v>21.108108108108109</v>
      </c>
      <c r="CZ127" s="475">
        <f t="shared" si="100"/>
        <v>21.108108108108109</v>
      </c>
      <c r="DA127" s="475">
        <v>-19</v>
      </c>
      <c r="DB127" s="739">
        <f t="shared" si="82"/>
        <v>15.955563444498802</v>
      </c>
      <c r="DC127" s="740">
        <f t="shared" si="47"/>
        <v>15.955563444498802</v>
      </c>
    </row>
    <row r="128" spans="1:107" s="619" customFormat="1" ht="12" customHeight="1">
      <c r="A128" s="732">
        <v>-18</v>
      </c>
      <c r="B128" s="917">
        <f>Klimadaten!O12/8760*$K$68</f>
        <v>0</v>
      </c>
      <c r="C128" s="762">
        <f>Klimadaten!Q12</f>
        <v>0</v>
      </c>
      <c r="D128" s="763">
        <f>Klimadaten!N12</f>
        <v>0</v>
      </c>
      <c r="E128" s="491">
        <f t="shared" si="48"/>
        <v>0</v>
      </c>
      <c r="F128" s="438">
        <f t="shared" si="49"/>
        <v>0</v>
      </c>
      <c r="G128" s="733">
        <f t="shared" si="9"/>
        <v>-18</v>
      </c>
      <c r="H128" s="527">
        <f t="shared" si="50"/>
        <v>39.081081081081081</v>
      </c>
      <c r="I128" s="733">
        <f t="shared" si="51"/>
        <v>13.870270270270272</v>
      </c>
      <c r="J128" s="473">
        <f t="shared" si="52"/>
        <v>13.870270270270272</v>
      </c>
      <c r="K128" s="491">
        <f t="shared" si="53"/>
        <v>0.8</v>
      </c>
      <c r="L128" s="473">
        <f t="shared" si="54"/>
        <v>13.870270270270272</v>
      </c>
      <c r="M128" s="473">
        <f t="shared" si="83"/>
        <v>0</v>
      </c>
      <c r="N128" s="473">
        <f t="shared" si="84"/>
        <v>13.953491891891893</v>
      </c>
      <c r="O128" s="473">
        <f t="shared" si="55"/>
        <v>13.953491891891893</v>
      </c>
      <c r="P128" s="734">
        <f t="shared" si="10"/>
        <v>0</v>
      </c>
      <c r="Q128" s="473">
        <f t="shared" si="85"/>
        <v>13.870270270270272</v>
      </c>
      <c r="R128" s="475">
        <f t="shared" si="101"/>
        <v>0</v>
      </c>
      <c r="S128" s="473">
        <f t="shared" si="86"/>
        <v>13.953491891891893</v>
      </c>
      <c r="T128" s="473">
        <f t="shared" si="11"/>
        <v>13.870270270270272</v>
      </c>
      <c r="U128" s="473">
        <f t="shared" si="12"/>
        <v>13.870270270270272</v>
      </c>
      <c r="V128" s="734">
        <f t="shared" si="13"/>
        <v>0</v>
      </c>
      <c r="W128" s="473">
        <f t="shared" si="56"/>
        <v>13.870270270270272</v>
      </c>
      <c r="X128" s="475">
        <f t="shared" si="57"/>
        <v>0</v>
      </c>
      <c r="Y128" s="735">
        <f t="shared" si="58"/>
        <v>13.953491891891893</v>
      </c>
      <c r="Z128" s="475">
        <f t="shared" si="59"/>
        <v>9</v>
      </c>
      <c r="AA128" s="475">
        <f>IF($E$36=$D$36,MIN(AbsFeuchte(Z128,100%,$N$19),R128),MIN(AbsFeuchte(Z128,100%,$N$19),X128))</f>
        <v>0</v>
      </c>
      <c r="AB128" s="735">
        <f t="shared" si="60"/>
        <v>9.0540000000000003</v>
      </c>
      <c r="AC128" s="475">
        <f t="shared" si="61"/>
        <v>9</v>
      </c>
      <c r="AD128" s="475">
        <v>6</v>
      </c>
      <c r="AE128" s="735">
        <f t="shared" si="62"/>
        <v>24.16404</v>
      </c>
      <c r="AF128" s="735">
        <f t="shared" si="63"/>
        <v>9</v>
      </c>
      <c r="AG128" s="735">
        <f t="shared" si="87"/>
        <v>9.9999999999999992E+22</v>
      </c>
      <c r="AH128" s="475">
        <f t="shared" si="88"/>
        <v>13.870270270270272</v>
      </c>
      <c r="AI128" s="475">
        <f t="shared" si="64"/>
        <v>0</v>
      </c>
      <c r="AJ128" s="735">
        <f t="shared" si="65"/>
        <v>13.953491891891893</v>
      </c>
      <c r="AK128" s="475">
        <f t="shared" si="66"/>
        <v>13.870270270270272</v>
      </c>
      <c r="AL128" s="475">
        <f t="shared" si="67"/>
        <v>1.2081081081081082E-22</v>
      </c>
      <c r="AM128" s="735">
        <f t="shared" si="68"/>
        <v>13.953491891891893</v>
      </c>
      <c r="AN128" s="475">
        <f t="shared" si="89"/>
        <v>21.081081081081081</v>
      </c>
      <c r="AO128" s="475">
        <f t="shared" si="69"/>
        <v>0</v>
      </c>
      <c r="AP128" s="735">
        <f t="shared" si="90"/>
        <v>21.207567567567569</v>
      </c>
      <c r="AQ128" s="475" t="e">
        <f t="shared" ca="1" si="14"/>
        <v>#NAME?</v>
      </c>
      <c r="AR128" s="475">
        <f t="shared" si="91"/>
        <v>0</v>
      </c>
      <c r="AS128" s="735" t="e">
        <f t="shared" ca="1" si="15"/>
        <v>#VALUE!</v>
      </c>
      <c r="AT128" s="475">
        <f t="shared" si="92"/>
        <v>21.081081081081081</v>
      </c>
      <c r="AU128" s="475">
        <f t="shared" si="16"/>
        <v>0</v>
      </c>
      <c r="AV128" s="735">
        <f t="shared" si="17"/>
        <v>21.207567567567569</v>
      </c>
      <c r="AW128" s="529">
        <f t="shared" si="70"/>
        <v>1</v>
      </c>
      <c r="AX128" s="735">
        <f t="shared" si="71"/>
        <v>1</v>
      </c>
      <c r="AY128" s="735">
        <f t="shared" si="18"/>
        <v>1</v>
      </c>
      <c r="AZ128" s="735">
        <f t="shared" si="72"/>
        <v>1</v>
      </c>
      <c r="BA128" s="735">
        <f t="shared" si="73"/>
        <v>1</v>
      </c>
      <c r="BB128" s="735">
        <f>IF($E$36=$D$36,IF(AW128=1,Fall1Tzul(AX128,AY128,BJ128,Q128),0),IF(AW128=1,Fall1Tzul(AX128,AY128,BJ128,W128),0))</f>
        <v>21.081081081081081</v>
      </c>
      <c r="BC128" s="735">
        <f>IF($E$36=$D$36,IF(AW128=1,Fall1xzul(AX128,AY128,BL128,R128),0),IF(AW128=1,Fall1xzul(AX128,AY128,BL128,X128),0))</f>
        <v>0</v>
      </c>
      <c r="BD128" s="735">
        <f>IF($E$36=$D$36,IF(AW128=2,Fall2Tzul(AX128, AZ128, BJ128,Q128, Z128),0),IF(AW128=2,Fall2Tzul(AX128, AZ128, BJ128,W128, Z128),0))</f>
        <v>0</v>
      </c>
      <c r="BE128" s="735">
        <f>IF($E$36=$D$36,IF(AW128=2,Fall2xzul(AX128,AZ128,BL128,R128,AA128),0),IF(AW128=2,Fall2xzul(AX128,AZ128,BL128,X128,AA128),0))</f>
        <v>0</v>
      </c>
      <c r="BF128" s="735">
        <f t="shared" si="19"/>
        <v>0</v>
      </c>
      <c r="BG128" s="735">
        <f t="shared" si="20"/>
        <v>0</v>
      </c>
      <c r="BH128" s="735">
        <f t="shared" si="21"/>
        <v>0</v>
      </c>
      <c r="BI128" s="735">
        <f t="shared" si="22"/>
        <v>0</v>
      </c>
      <c r="BJ128" s="473">
        <f t="shared" si="93"/>
        <v>21.081081081081081</v>
      </c>
      <c r="BK128" s="491">
        <f t="shared" si="23"/>
        <v>0</v>
      </c>
      <c r="BL128" s="475">
        <f>AbsFeuchte(BJ128,BK128,$N$19)</f>
        <v>0</v>
      </c>
      <c r="BM128" s="735">
        <f t="shared" si="24"/>
        <v>21.207567567567569</v>
      </c>
      <c r="BN128" s="473">
        <f t="shared" si="94"/>
        <v>21.081081081081081</v>
      </c>
      <c r="BO128" s="491">
        <f t="shared" si="25"/>
        <v>0</v>
      </c>
      <c r="BP128" s="475">
        <f t="shared" si="74"/>
        <v>0</v>
      </c>
      <c r="BQ128" s="735">
        <f t="shared" si="26"/>
        <v>21.207567567567569</v>
      </c>
      <c r="BR128" s="473">
        <f t="shared" si="75"/>
        <v>21.837837837837839</v>
      </c>
      <c r="BS128" s="491">
        <f t="shared" si="76"/>
        <v>0</v>
      </c>
      <c r="BT128" s="475">
        <f>AbsFeuchte(BR128,BS128,$N$19)</f>
        <v>0</v>
      </c>
      <c r="BU128" s="576">
        <f>IF($I$21=0,IF(E$13=$S$10,BR128+$N$18,BR128),IF(E$13=$S$10,BR128+$N$18+#REF!,BR128+$I$21))</f>
        <v>21.837837837837839</v>
      </c>
      <c r="BV128" s="736">
        <f t="shared" si="77"/>
        <v>0</v>
      </c>
      <c r="BW128" s="726">
        <f t="shared" si="78"/>
        <v>0</v>
      </c>
      <c r="BX128" s="475">
        <f t="shared" si="95"/>
        <v>0</v>
      </c>
      <c r="BY128" s="475">
        <f t="shared" si="96"/>
        <v>7.2540756756756757</v>
      </c>
      <c r="BZ128" s="475">
        <f t="shared" si="79"/>
        <v>0</v>
      </c>
      <c r="CA128" s="475">
        <f t="shared" si="80"/>
        <v>0</v>
      </c>
      <c r="CB128" s="475">
        <f t="shared" si="27"/>
        <v>0</v>
      </c>
      <c r="CC128" s="475">
        <f t="shared" si="28"/>
        <v>7.2540756756756757</v>
      </c>
      <c r="CD128" s="475">
        <f t="shared" si="29"/>
        <v>0</v>
      </c>
      <c r="CE128" s="621">
        <f t="shared" si="30"/>
        <v>0</v>
      </c>
      <c r="CF128" s="621">
        <f t="shared" si="31"/>
        <v>0</v>
      </c>
      <c r="CG128" s="621">
        <f t="shared" si="32"/>
        <v>0</v>
      </c>
      <c r="CH128" s="573">
        <f t="shared" si="33"/>
        <v>0</v>
      </c>
      <c r="CI128" s="621">
        <f t="shared" si="34"/>
        <v>0</v>
      </c>
      <c r="CJ128" s="621">
        <f t="shared" si="35"/>
        <v>0</v>
      </c>
      <c r="CK128" s="621">
        <f t="shared" si="36"/>
        <v>0</v>
      </c>
      <c r="CL128" s="737">
        <f t="shared" si="37"/>
        <v>0</v>
      </c>
      <c r="CM128" s="738">
        <f t="shared" si="38"/>
        <v>0</v>
      </c>
      <c r="CN128" s="475">
        <f t="shared" si="39"/>
        <v>222</v>
      </c>
      <c r="CO128" s="475">
        <f t="shared" si="40"/>
        <v>222</v>
      </c>
      <c r="CP128" s="475">
        <f t="shared" si="97"/>
        <v>222</v>
      </c>
      <c r="CQ128" s="475">
        <f t="shared" si="41"/>
        <v>-222</v>
      </c>
      <c r="CR128" s="475">
        <f t="shared" si="42"/>
        <v>-222</v>
      </c>
      <c r="CS128" s="475">
        <f t="shared" si="43"/>
        <v>-222</v>
      </c>
      <c r="CT128" s="475">
        <f t="shared" si="44"/>
        <v>0</v>
      </c>
      <c r="CU128" s="475">
        <f t="shared" si="45"/>
        <v>222</v>
      </c>
      <c r="CV128" s="475">
        <f t="shared" si="46"/>
        <v>-222</v>
      </c>
      <c r="CW128" s="475">
        <f t="shared" si="98"/>
        <v>0</v>
      </c>
      <c r="CX128" s="573">
        <f t="shared" si="99"/>
        <v>0</v>
      </c>
      <c r="CY128" s="475">
        <f t="shared" si="81"/>
        <v>21.081081081081081</v>
      </c>
      <c r="CZ128" s="475">
        <f t="shared" si="100"/>
        <v>21.081081081081081</v>
      </c>
      <c r="DA128" s="475">
        <v>-18</v>
      </c>
      <c r="DB128" s="739">
        <f t="shared" si="82"/>
        <v>15.955563444498802</v>
      </c>
      <c r="DC128" s="740">
        <f t="shared" si="47"/>
        <v>15.955563444498802</v>
      </c>
    </row>
    <row r="129" spans="1:107" s="619" customFormat="1" ht="12" customHeight="1">
      <c r="A129" s="732">
        <v>-17</v>
      </c>
      <c r="B129" s="917">
        <f>Klimadaten!O13/8760*$K$68</f>
        <v>0</v>
      </c>
      <c r="C129" s="762">
        <f>Klimadaten!Q13</f>
        <v>0</v>
      </c>
      <c r="D129" s="763">
        <f>Klimadaten!N13</f>
        <v>0</v>
      </c>
      <c r="E129" s="491">
        <f t="shared" si="48"/>
        <v>0</v>
      </c>
      <c r="F129" s="438">
        <f t="shared" si="49"/>
        <v>0</v>
      </c>
      <c r="G129" s="733">
        <f t="shared" si="9"/>
        <v>-17</v>
      </c>
      <c r="H129" s="527">
        <f t="shared" si="50"/>
        <v>38.054054054054049</v>
      </c>
      <c r="I129" s="733">
        <f t="shared" si="51"/>
        <v>14.11351351351351</v>
      </c>
      <c r="J129" s="473">
        <f t="shared" si="52"/>
        <v>14.11351351351351</v>
      </c>
      <c r="K129" s="491">
        <f t="shared" si="53"/>
        <v>0.8</v>
      </c>
      <c r="L129" s="473">
        <f t="shared" si="54"/>
        <v>14.11351351351351</v>
      </c>
      <c r="M129" s="473">
        <f t="shared" si="83"/>
        <v>0</v>
      </c>
      <c r="N129" s="473">
        <f t="shared" si="84"/>
        <v>14.198194594594591</v>
      </c>
      <c r="O129" s="473">
        <f t="shared" si="55"/>
        <v>14.198194594594591</v>
      </c>
      <c r="P129" s="734">
        <f t="shared" si="10"/>
        <v>0</v>
      </c>
      <c r="Q129" s="473">
        <f t="shared" si="85"/>
        <v>14.11351351351351</v>
      </c>
      <c r="R129" s="475">
        <f t="shared" si="101"/>
        <v>0</v>
      </c>
      <c r="S129" s="473">
        <f t="shared" si="86"/>
        <v>14.198194594594591</v>
      </c>
      <c r="T129" s="473">
        <f t="shared" si="11"/>
        <v>14.11351351351351</v>
      </c>
      <c r="U129" s="473">
        <f t="shared" si="12"/>
        <v>14.11351351351351</v>
      </c>
      <c r="V129" s="734">
        <f t="shared" si="13"/>
        <v>0</v>
      </c>
      <c r="W129" s="473">
        <f t="shared" si="56"/>
        <v>14.11351351351351</v>
      </c>
      <c r="X129" s="475">
        <f t="shared" si="57"/>
        <v>0</v>
      </c>
      <c r="Y129" s="735">
        <f t="shared" si="58"/>
        <v>14.198194594594591</v>
      </c>
      <c r="Z129" s="475">
        <f t="shared" si="59"/>
        <v>9</v>
      </c>
      <c r="AA129" s="475">
        <f>IF($E$36=$D$36,MIN(AbsFeuchte(Z129,100%,$N$19),R129),MIN(AbsFeuchte(Z129,100%,$N$19),X129))</f>
        <v>0</v>
      </c>
      <c r="AB129" s="735">
        <f t="shared" si="60"/>
        <v>9.0540000000000003</v>
      </c>
      <c r="AC129" s="475">
        <f t="shared" si="61"/>
        <v>9</v>
      </c>
      <c r="AD129" s="475">
        <v>7</v>
      </c>
      <c r="AE129" s="735">
        <f t="shared" si="62"/>
        <v>26.682380000000002</v>
      </c>
      <c r="AF129" s="735">
        <f t="shared" si="63"/>
        <v>9</v>
      </c>
      <c r="AG129" s="735">
        <f t="shared" si="87"/>
        <v>9.9999999999999992E+22</v>
      </c>
      <c r="AH129" s="475">
        <f t="shared" si="88"/>
        <v>14.11351351351351</v>
      </c>
      <c r="AI129" s="475">
        <f t="shared" si="64"/>
        <v>0</v>
      </c>
      <c r="AJ129" s="735">
        <f t="shared" si="65"/>
        <v>14.198194594594591</v>
      </c>
      <c r="AK129" s="475">
        <f t="shared" si="66"/>
        <v>14.11351351351351</v>
      </c>
      <c r="AL129" s="475">
        <f t="shared" si="67"/>
        <v>1.2054054054054053E-22</v>
      </c>
      <c r="AM129" s="735">
        <f t="shared" si="68"/>
        <v>14.198194594594591</v>
      </c>
      <c r="AN129" s="475">
        <f t="shared" si="89"/>
        <v>21.054054054054053</v>
      </c>
      <c r="AO129" s="475">
        <f t="shared" si="69"/>
        <v>0</v>
      </c>
      <c r="AP129" s="735">
        <f t="shared" si="90"/>
        <v>21.180378378378379</v>
      </c>
      <c r="AQ129" s="475" t="e">
        <f t="shared" ca="1" si="14"/>
        <v>#NAME?</v>
      </c>
      <c r="AR129" s="475">
        <f t="shared" si="91"/>
        <v>0</v>
      </c>
      <c r="AS129" s="735" t="e">
        <f t="shared" ca="1" si="15"/>
        <v>#VALUE!</v>
      </c>
      <c r="AT129" s="475">
        <f t="shared" si="92"/>
        <v>21.054054054054053</v>
      </c>
      <c r="AU129" s="475">
        <f t="shared" si="16"/>
        <v>0</v>
      </c>
      <c r="AV129" s="735">
        <f t="shared" si="17"/>
        <v>21.180378378378379</v>
      </c>
      <c r="AW129" s="529">
        <f t="shared" si="70"/>
        <v>1</v>
      </c>
      <c r="AX129" s="735">
        <f t="shared" si="71"/>
        <v>1</v>
      </c>
      <c r="AY129" s="735">
        <f t="shared" si="18"/>
        <v>1</v>
      </c>
      <c r="AZ129" s="735">
        <f t="shared" si="72"/>
        <v>1</v>
      </c>
      <c r="BA129" s="735">
        <f t="shared" si="73"/>
        <v>1</v>
      </c>
      <c r="BB129" s="735">
        <f>IF($E$36=$D$36,IF(AW129=1,Fall1Tzul(AX129,AY129,BJ129,Q129),0),IF(AW129=1,Fall1Tzul(AX129,AY129,BJ129,W129),0))</f>
        <v>21.054054054054053</v>
      </c>
      <c r="BC129" s="735">
        <f>IF($E$36=$D$36,IF(AW129=1,Fall1xzul(AX129,AY129,BL129,R129),0),IF(AW129=1,Fall1xzul(AX129,AY129,BL129,X129),0))</f>
        <v>0</v>
      </c>
      <c r="BD129" s="735">
        <f>IF($E$36=$D$36,IF(AW129=2,Fall2Tzul(AX129, AZ129, BJ129,Q129, Z129),0),IF(AW129=2,Fall2Tzul(AX129, AZ129, BJ129,W129, Z129),0))</f>
        <v>0</v>
      </c>
      <c r="BE129" s="735">
        <f>IF($E$36=$D$36,IF(AW129=2,Fall2xzul(AX129,AZ129,BL129,R129,AA129),0),IF(AW129=2,Fall2xzul(AX129,AZ129,BL129,X129,AA129),0))</f>
        <v>0</v>
      </c>
      <c r="BF129" s="735">
        <f t="shared" si="19"/>
        <v>0</v>
      </c>
      <c r="BG129" s="735">
        <f t="shared" si="20"/>
        <v>0</v>
      </c>
      <c r="BH129" s="735">
        <f t="shared" si="21"/>
        <v>0</v>
      </c>
      <c r="BI129" s="735">
        <f t="shared" si="22"/>
        <v>0</v>
      </c>
      <c r="BJ129" s="473">
        <f t="shared" si="93"/>
        <v>21.054054054054053</v>
      </c>
      <c r="BK129" s="491">
        <f t="shared" si="23"/>
        <v>0</v>
      </c>
      <c r="BL129" s="475">
        <f>AbsFeuchte(BJ129,BK129,$N$19)</f>
        <v>0</v>
      </c>
      <c r="BM129" s="735">
        <f t="shared" si="24"/>
        <v>21.180378378378379</v>
      </c>
      <c r="BN129" s="473">
        <f t="shared" si="94"/>
        <v>21.054054054054053</v>
      </c>
      <c r="BO129" s="491">
        <f t="shared" si="25"/>
        <v>0</v>
      </c>
      <c r="BP129" s="475">
        <f t="shared" si="74"/>
        <v>0</v>
      </c>
      <c r="BQ129" s="735">
        <f t="shared" si="26"/>
        <v>21.180378378378379</v>
      </c>
      <c r="BR129" s="473">
        <f t="shared" si="75"/>
        <v>21.891891891891891</v>
      </c>
      <c r="BS129" s="491">
        <f t="shared" si="76"/>
        <v>0</v>
      </c>
      <c r="BT129" s="475">
        <f>AbsFeuchte(BR129,BS129,$N$19)</f>
        <v>0</v>
      </c>
      <c r="BU129" s="576">
        <f>IF($I$21=0,IF(E$13=$S$10,BR129+$N$18,BR129),IF(E$13=$S$10,BR129+$N$18+#REF!,BR129+$I$21))</f>
        <v>21.891891891891891</v>
      </c>
      <c r="BV129" s="736">
        <f t="shared" si="77"/>
        <v>0</v>
      </c>
      <c r="BW129" s="726">
        <f t="shared" si="78"/>
        <v>0</v>
      </c>
      <c r="BX129" s="475">
        <f t="shared" si="95"/>
        <v>0</v>
      </c>
      <c r="BY129" s="475">
        <f t="shared" si="96"/>
        <v>6.9821837837837872</v>
      </c>
      <c r="BZ129" s="475">
        <f t="shared" si="79"/>
        <v>0</v>
      </c>
      <c r="CA129" s="475">
        <f t="shared" si="80"/>
        <v>0</v>
      </c>
      <c r="CB129" s="475">
        <f t="shared" si="27"/>
        <v>0</v>
      </c>
      <c r="CC129" s="475">
        <f t="shared" si="28"/>
        <v>6.9821837837837872</v>
      </c>
      <c r="CD129" s="475">
        <f t="shared" si="29"/>
        <v>0</v>
      </c>
      <c r="CE129" s="621">
        <f t="shared" si="30"/>
        <v>0</v>
      </c>
      <c r="CF129" s="621">
        <f t="shared" si="31"/>
        <v>0</v>
      </c>
      <c r="CG129" s="621">
        <f t="shared" si="32"/>
        <v>0</v>
      </c>
      <c r="CH129" s="573">
        <f t="shared" si="33"/>
        <v>0</v>
      </c>
      <c r="CI129" s="621">
        <f t="shared" si="34"/>
        <v>0</v>
      </c>
      <c r="CJ129" s="621">
        <f t="shared" si="35"/>
        <v>0</v>
      </c>
      <c r="CK129" s="621">
        <f t="shared" si="36"/>
        <v>0</v>
      </c>
      <c r="CL129" s="737">
        <f t="shared" si="37"/>
        <v>0</v>
      </c>
      <c r="CM129" s="738">
        <f t="shared" si="38"/>
        <v>0</v>
      </c>
      <c r="CN129" s="475">
        <f t="shared" si="39"/>
        <v>222</v>
      </c>
      <c r="CO129" s="475">
        <f t="shared" si="40"/>
        <v>222</v>
      </c>
      <c r="CP129" s="475">
        <f t="shared" si="97"/>
        <v>222</v>
      </c>
      <c r="CQ129" s="475">
        <f t="shared" si="41"/>
        <v>-222</v>
      </c>
      <c r="CR129" s="475">
        <f t="shared" si="42"/>
        <v>-222</v>
      </c>
      <c r="CS129" s="475">
        <f t="shared" si="43"/>
        <v>-222</v>
      </c>
      <c r="CT129" s="475">
        <f t="shared" si="44"/>
        <v>0</v>
      </c>
      <c r="CU129" s="475">
        <f t="shared" si="45"/>
        <v>222</v>
      </c>
      <c r="CV129" s="475">
        <f t="shared" si="46"/>
        <v>-222</v>
      </c>
      <c r="CW129" s="475">
        <f t="shared" si="98"/>
        <v>0</v>
      </c>
      <c r="CX129" s="573">
        <f t="shared" si="99"/>
        <v>0</v>
      </c>
      <c r="CY129" s="475">
        <f t="shared" si="81"/>
        <v>21.054054054054053</v>
      </c>
      <c r="CZ129" s="475">
        <f t="shared" si="100"/>
        <v>21.054054054054053</v>
      </c>
      <c r="DA129" s="475">
        <v>-17</v>
      </c>
      <c r="DB129" s="739">
        <f t="shared" si="82"/>
        <v>15.955563444498802</v>
      </c>
      <c r="DC129" s="740">
        <f t="shared" si="47"/>
        <v>15.955563444498802</v>
      </c>
    </row>
    <row r="130" spans="1:107" s="619" customFormat="1" ht="12" customHeight="1">
      <c r="A130" s="732">
        <v>-16</v>
      </c>
      <c r="B130" s="917">
        <f>Klimadaten!O14/8760*$K$68</f>
        <v>0</v>
      </c>
      <c r="C130" s="762">
        <f>Klimadaten!Q14</f>
        <v>0</v>
      </c>
      <c r="D130" s="763">
        <f>Klimadaten!N14</f>
        <v>0</v>
      </c>
      <c r="E130" s="491">
        <f t="shared" si="48"/>
        <v>0</v>
      </c>
      <c r="F130" s="438">
        <f t="shared" si="49"/>
        <v>0</v>
      </c>
      <c r="G130" s="733">
        <f t="shared" si="9"/>
        <v>-16</v>
      </c>
      <c r="H130" s="527">
        <f t="shared" si="50"/>
        <v>37.027027027027032</v>
      </c>
      <c r="I130" s="733">
        <f t="shared" si="51"/>
        <v>14.356756756756756</v>
      </c>
      <c r="J130" s="473">
        <f t="shared" si="52"/>
        <v>14.356756756756756</v>
      </c>
      <c r="K130" s="491">
        <f t="shared" si="53"/>
        <v>0.8</v>
      </c>
      <c r="L130" s="473">
        <f t="shared" si="54"/>
        <v>14.356756756756756</v>
      </c>
      <c r="M130" s="473">
        <f t="shared" si="83"/>
        <v>0</v>
      </c>
      <c r="N130" s="473">
        <f t="shared" si="84"/>
        <v>14.442897297297296</v>
      </c>
      <c r="O130" s="473">
        <f t="shared" si="55"/>
        <v>14.442897297297296</v>
      </c>
      <c r="P130" s="734">
        <f t="shared" si="10"/>
        <v>0</v>
      </c>
      <c r="Q130" s="473">
        <f t="shared" si="85"/>
        <v>14.356756756756756</v>
      </c>
      <c r="R130" s="475">
        <f t="shared" si="101"/>
        <v>0</v>
      </c>
      <c r="S130" s="473">
        <f t="shared" si="86"/>
        <v>14.442897297297296</v>
      </c>
      <c r="T130" s="473">
        <f t="shared" si="11"/>
        <v>14.356756756756756</v>
      </c>
      <c r="U130" s="473">
        <f t="shared" si="12"/>
        <v>14.356756756756756</v>
      </c>
      <c r="V130" s="734">
        <f t="shared" si="13"/>
        <v>0</v>
      </c>
      <c r="W130" s="473">
        <f t="shared" si="56"/>
        <v>14.356756756756756</v>
      </c>
      <c r="X130" s="475">
        <f t="shared" si="57"/>
        <v>0</v>
      </c>
      <c r="Y130" s="735">
        <f t="shared" si="58"/>
        <v>14.442897297297296</v>
      </c>
      <c r="Z130" s="475">
        <f t="shared" si="59"/>
        <v>9</v>
      </c>
      <c r="AA130" s="475">
        <f>IF($E$36=$D$36,MIN(AbsFeuchte(Z130,100%,$N$19),R130),MIN(AbsFeuchte(Z130,100%,$N$19),X130))</f>
        <v>0</v>
      </c>
      <c r="AB130" s="735">
        <f t="shared" si="60"/>
        <v>9.0540000000000003</v>
      </c>
      <c r="AC130" s="475">
        <f t="shared" si="61"/>
        <v>9</v>
      </c>
      <c r="AD130" s="475">
        <v>8</v>
      </c>
      <c r="AE130" s="735">
        <f t="shared" si="62"/>
        <v>29.200719999999997</v>
      </c>
      <c r="AF130" s="735">
        <f t="shared" si="63"/>
        <v>9</v>
      </c>
      <c r="AG130" s="735">
        <f t="shared" si="87"/>
        <v>9.9999999999999992E+22</v>
      </c>
      <c r="AH130" s="475">
        <f t="shared" si="88"/>
        <v>14.356756756756756</v>
      </c>
      <c r="AI130" s="475">
        <f t="shared" si="64"/>
        <v>0</v>
      </c>
      <c r="AJ130" s="735">
        <f t="shared" si="65"/>
        <v>14.442897297297296</v>
      </c>
      <c r="AK130" s="475">
        <f t="shared" si="66"/>
        <v>14.356756756756756</v>
      </c>
      <c r="AL130" s="475">
        <f t="shared" si="67"/>
        <v>1.2027027027027029E-22</v>
      </c>
      <c r="AM130" s="735">
        <f t="shared" si="68"/>
        <v>14.442897297297296</v>
      </c>
      <c r="AN130" s="475">
        <f t="shared" si="89"/>
        <v>21.027027027027028</v>
      </c>
      <c r="AO130" s="475">
        <f t="shared" si="69"/>
        <v>0</v>
      </c>
      <c r="AP130" s="735">
        <f t="shared" si="90"/>
        <v>21.153189189189192</v>
      </c>
      <c r="AQ130" s="475" t="e">
        <f t="shared" ca="1" si="14"/>
        <v>#NAME?</v>
      </c>
      <c r="AR130" s="475">
        <f t="shared" si="91"/>
        <v>0</v>
      </c>
      <c r="AS130" s="735" t="e">
        <f t="shared" ca="1" si="15"/>
        <v>#VALUE!</v>
      </c>
      <c r="AT130" s="475">
        <f t="shared" si="92"/>
        <v>21.027027027027028</v>
      </c>
      <c r="AU130" s="475">
        <f t="shared" si="16"/>
        <v>0</v>
      </c>
      <c r="AV130" s="735">
        <f t="shared" si="17"/>
        <v>21.153189189189192</v>
      </c>
      <c r="AW130" s="529">
        <f t="shared" si="70"/>
        <v>1</v>
      </c>
      <c r="AX130" s="735">
        <f t="shared" si="71"/>
        <v>1</v>
      </c>
      <c r="AY130" s="735">
        <f t="shared" si="18"/>
        <v>1</v>
      </c>
      <c r="AZ130" s="735">
        <f t="shared" si="72"/>
        <v>1</v>
      </c>
      <c r="BA130" s="735">
        <f t="shared" si="73"/>
        <v>1</v>
      </c>
      <c r="BB130" s="735">
        <f>IF($E$36=$D$36,IF(AW130=1,Fall1Tzul(AX130,AY130,BJ130,Q130),0),IF(AW130=1,Fall1Tzul(AX130,AY130,BJ130,W130),0))</f>
        <v>21.027027027027028</v>
      </c>
      <c r="BC130" s="735">
        <f>IF($E$36=$D$36,IF(AW130=1,Fall1xzul(AX130,AY130,BL130,R130),0),IF(AW130=1,Fall1xzul(AX130,AY130,BL130,X130),0))</f>
        <v>0</v>
      </c>
      <c r="BD130" s="735">
        <f>IF($E$36=$D$36,IF(AW130=2,Fall2Tzul(AX130, AZ130, BJ130,Q130, Z130),0),IF(AW130=2,Fall2Tzul(AX130, AZ130, BJ130,W130, Z130),0))</f>
        <v>0</v>
      </c>
      <c r="BE130" s="735">
        <f>IF($E$36=$D$36,IF(AW130=2,Fall2xzul(AX130,AZ130,BL130,R130,AA130),0),IF(AW130=2,Fall2xzul(AX130,AZ130,BL130,X130,AA130),0))</f>
        <v>0</v>
      </c>
      <c r="BF130" s="735">
        <f t="shared" si="19"/>
        <v>0</v>
      </c>
      <c r="BG130" s="735">
        <f t="shared" si="20"/>
        <v>0</v>
      </c>
      <c r="BH130" s="735">
        <f t="shared" si="21"/>
        <v>0</v>
      </c>
      <c r="BI130" s="735">
        <f t="shared" si="22"/>
        <v>0</v>
      </c>
      <c r="BJ130" s="473">
        <f t="shared" si="93"/>
        <v>21.027027027027028</v>
      </c>
      <c r="BK130" s="491">
        <f t="shared" si="23"/>
        <v>0</v>
      </c>
      <c r="BL130" s="475">
        <f>AbsFeuchte(BJ130,BK130,$N$19)</f>
        <v>0</v>
      </c>
      <c r="BM130" s="735">
        <f t="shared" si="24"/>
        <v>21.153189189189192</v>
      </c>
      <c r="BN130" s="473">
        <f t="shared" si="94"/>
        <v>21.027027027027028</v>
      </c>
      <c r="BO130" s="491">
        <f t="shared" si="25"/>
        <v>0</v>
      </c>
      <c r="BP130" s="475">
        <f t="shared" si="74"/>
        <v>0</v>
      </c>
      <c r="BQ130" s="735">
        <f t="shared" si="26"/>
        <v>21.153189189189192</v>
      </c>
      <c r="BR130" s="473">
        <f t="shared" si="75"/>
        <v>21.945945945945944</v>
      </c>
      <c r="BS130" s="491">
        <f t="shared" si="76"/>
        <v>0</v>
      </c>
      <c r="BT130" s="475">
        <f>AbsFeuchte(BR130,BS130,$N$19)</f>
        <v>0</v>
      </c>
      <c r="BU130" s="576">
        <f>IF($I$21=0,IF(E$13=$S$10,BR130+$N$18,BR130),IF(E$13=$S$10,BR130+$N$18+#REF!,BR130+$I$21))</f>
        <v>21.945945945945944</v>
      </c>
      <c r="BV130" s="736">
        <f t="shared" si="77"/>
        <v>0</v>
      </c>
      <c r="BW130" s="726">
        <f t="shared" si="78"/>
        <v>0</v>
      </c>
      <c r="BX130" s="475">
        <f t="shared" si="95"/>
        <v>0</v>
      </c>
      <c r="BY130" s="475">
        <f t="shared" si="96"/>
        <v>6.7102918918918952</v>
      </c>
      <c r="BZ130" s="475">
        <f t="shared" si="79"/>
        <v>0</v>
      </c>
      <c r="CA130" s="475">
        <f t="shared" si="80"/>
        <v>0</v>
      </c>
      <c r="CB130" s="475">
        <f t="shared" si="27"/>
        <v>0</v>
      </c>
      <c r="CC130" s="475">
        <f t="shared" si="28"/>
        <v>6.7102918918918952</v>
      </c>
      <c r="CD130" s="475">
        <f t="shared" si="29"/>
        <v>0</v>
      </c>
      <c r="CE130" s="621">
        <f t="shared" si="30"/>
        <v>0</v>
      </c>
      <c r="CF130" s="621">
        <f t="shared" si="31"/>
        <v>0</v>
      </c>
      <c r="CG130" s="621">
        <f t="shared" si="32"/>
        <v>0</v>
      </c>
      <c r="CH130" s="573">
        <f t="shared" si="33"/>
        <v>0</v>
      </c>
      <c r="CI130" s="621">
        <f t="shared" si="34"/>
        <v>0</v>
      </c>
      <c r="CJ130" s="621">
        <f t="shared" si="35"/>
        <v>0</v>
      </c>
      <c r="CK130" s="621">
        <f t="shared" si="36"/>
        <v>0</v>
      </c>
      <c r="CL130" s="737">
        <f t="shared" si="37"/>
        <v>0</v>
      </c>
      <c r="CM130" s="738">
        <f t="shared" si="38"/>
        <v>0</v>
      </c>
      <c r="CN130" s="475">
        <f t="shared" si="39"/>
        <v>222</v>
      </c>
      <c r="CO130" s="475">
        <f t="shared" si="40"/>
        <v>222</v>
      </c>
      <c r="CP130" s="475">
        <f t="shared" si="97"/>
        <v>222</v>
      </c>
      <c r="CQ130" s="475">
        <f t="shared" si="41"/>
        <v>-222</v>
      </c>
      <c r="CR130" s="475">
        <f t="shared" si="42"/>
        <v>-222</v>
      </c>
      <c r="CS130" s="475">
        <f t="shared" si="43"/>
        <v>-222</v>
      </c>
      <c r="CT130" s="475">
        <f t="shared" si="44"/>
        <v>0</v>
      </c>
      <c r="CU130" s="475">
        <f t="shared" si="45"/>
        <v>222</v>
      </c>
      <c r="CV130" s="475">
        <f t="shared" si="46"/>
        <v>-222</v>
      </c>
      <c r="CW130" s="475">
        <f t="shared" si="98"/>
        <v>0</v>
      </c>
      <c r="CX130" s="573">
        <f t="shared" si="99"/>
        <v>0</v>
      </c>
      <c r="CY130" s="475">
        <f t="shared" si="81"/>
        <v>21.027027027027028</v>
      </c>
      <c r="CZ130" s="475">
        <f t="shared" si="100"/>
        <v>21.027027027027028</v>
      </c>
      <c r="DA130" s="475">
        <v>-16</v>
      </c>
      <c r="DB130" s="739">
        <f t="shared" si="82"/>
        <v>15.955563444498802</v>
      </c>
      <c r="DC130" s="740">
        <f t="shared" si="47"/>
        <v>15.955563444498802</v>
      </c>
    </row>
    <row r="131" spans="1:107" s="619" customFormat="1" ht="12" customHeight="1">
      <c r="A131" s="732">
        <v>-15</v>
      </c>
      <c r="B131" s="917">
        <f>Klimadaten!O15/8760*$K$68</f>
        <v>0</v>
      </c>
      <c r="C131" s="762">
        <f>Klimadaten!Q15</f>
        <v>0</v>
      </c>
      <c r="D131" s="763">
        <f>Klimadaten!N15</f>
        <v>0</v>
      </c>
      <c r="E131" s="491">
        <f t="shared" si="48"/>
        <v>0</v>
      </c>
      <c r="F131" s="438">
        <f t="shared" si="49"/>
        <v>0</v>
      </c>
      <c r="G131" s="733">
        <f t="shared" si="9"/>
        <v>-15</v>
      </c>
      <c r="H131" s="527">
        <f t="shared" si="50"/>
        <v>36</v>
      </c>
      <c r="I131" s="733">
        <f t="shared" si="51"/>
        <v>14.600000000000001</v>
      </c>
      <c r="J131" s="473">
        <f t="shared" si="52"/>
        <v>14.600000000000001</v>
      </c>
      <c r="K131" s="491">
        <f t="shared" si="53"/>
        <v>0.8</v>
      </c>
      <c r="L131" s="473">
        <f t="shared" si="54"/>
        <v>14.600000000000001</v>
      </c>
      <c r="M131" s="473">
        <f t="shared" si="83"/>
        <v>0</v>
      </c>
      <c r="N131" s="473">
        <f t="shared" si="84"/>
        <v>14.687600000000002</v>
      </c>
      <c r="O131" s="473">
        <f t="shared" si="55"/>
        <v>14.687600000000002</v>
      </c>
      <c r="P131" s="734">
        <f t="shared" si="10"/>
        <v>0</v>
      </c>
      <c r="Q131" s="473">
        <f t="shared" si="85"/>
        <v>14.600000000000001</v>
      </c>
      <c r="R131" s="475">
        <f t="shared" si="101"/>
        <v>0</v>
      </c>
      <c r="S131" s="473">
        <f t="shared" si="86"/>
        <v>14.687600000000002</v>
      </c>
      <c r="T131" s="473">
        <f t="shared" si="11"/>
        <v>14.600000000000001</v>
      </c>
      <c r="U131" s="473">
        <f t="shared" si="12"/>
        <v>14.600000000000001</v>
      </c>
      <c r="V131" s="734">
        <f t="shared" si="13"/>
        <v>0</v>
      </c>
      <c r="W131" s="473">
        <f t="shared" si="56"/>
        <v>14.600000000000001</v>
      </c>
      <c r="X131" s="475">
        <f t="shared" si="57"/>
        <v>0</v>
      </c>
      <c r="Y131" s="735">
        <f t="shared" si="58"/>
        <v>14.687600000000002</v>
      </c>
      <c r="Z131" s="475">
        <f t="shared" si="59"/>
        <v>9</v>
      </c>
      <c r="AA131" s="475">
        <f>IF($E$36=$D$36,MIN(AbsFeuchte(Z131,100%,$N$19),R131),MIN(AbsFeuchte(Z131,100%,$N$19),X131))</f>
        <v>0</v>
      </c>
      <c r="AB131" s="735">
        <f t="shared" si="60"/>
        <v>9.0540000000000003</v>
      </c>
      <c r="AC131" s="475">
        <f t="shared" si="61"/>
        <v>9</v>
      </c>
      <c r="AD131" s="475">
        <v>9</v>
      </c>
      <c r="AE131" s="735">
        <f t="shared" si="62"/>
        <v>31.719059999999999</v>
      </c>
      <c r="AF131" s="735">
        <f t="shared" si="63"/>
        <v>9</v>
      </c>
      <c r="AG131" s="735">
        <f t="shared" si="87"/>
        <v>9.9999999999999992E+22</v>
      </c>
      <c r="AH131" s="475">
        <f t="shared" si="88"/>
        <v>14.600000000000001</v>
      </c>
      <c r="AI131" s="475">
        <f t="shared" si="64"/>
        <v>0</v>
      </c>
      <c r="AJ131" s="735">
        <f t="shared" si="65"/>
        <v>14.687600000000002</v>
      </c>
      <c r="AK131" s="475">
        <f t="shared" si="66"/>
        <v>14.600000000000001</v>
      </c>
      <c r="AL131" s="475">
        <f t="shared" si="67"/>
        <v>1.2E-22</v>
      </c>
      <c r="AM131" s="735">
        <f t="shared" si="68"/>
        <v>14.687600000000002</v>
      </c>
      <c r="AN131" s="475">
        <f t="shared" si="89"/>
        <v>21</v>
      </c>
      <c r="AO131" s="475">
        <f t="shared" si="69"/>
        <v>0</v>
      </c>
      <c r="AP131" s="735">
        <f t="shared" si="90"/>
        <v>21.126000000000001</v>
      </c>
      <c r="AQ131" s="475" t="e">
        <f t="shared" ca="1" si="14"/>
        <v>#NAME?</v>
      </c>
      <c r="AR131" s="475">
        <f t="shared" si="91"/>
        <v>0</v>
      </c>
      <c r="AS131" s="735" t="e">
        <f t="shared" ca="1" si="15"/>
        <v>#VALUE!</v>
      </c>
      <c r="AT131" s="475">
        <f t="shared" si="92"/>
        <v>21</v>
      </c>
      <c r="AU131" s="475">
        <f t="shared" si="16"/>
        <v>0</v>
      </c>
      <c r="AV131" s="735">
        <f t="shared" si="17"/>
        <v>21.126000000000001</v>
      </c>
      <c r="AW131" s="529">
        <f t="shared" si="70"/>
        <v>1</v>
      </c>
      <c r="AX131" s="735">
        <f t="shared" si="71"/>
        <v>1</v>
      </c>
      <c r="AY131" s="735">
        <f t="shared" si="18"/>
        <v>1</v>
      </c>
      <c r="AZ131" s="735">
        <f t="shared" si="72"/>
        <v>1</v>
      </c>
      <c r="BA131" s="735">
        <f t="shared" si="73"/>
        <v>1</v>
      </c>
      <c r="BB131" s="735">
        <f>IF($E$36=$D$36,IF(AW131=1,Fall1Tzul(AX131,AY131,BJ131,Q131),0),IF(AW131=1,Fall1Tzul(AX131,AY131,BJ131,W131),0))</f>
        <v>21</v>
      </c>
      <c r="BC131" s="735">
        <f>IF($E$36=$D$36,IF(AW131=1,Fall1xzul(AX131,AY131,BL131,R131),0),IF(AW131=1,Fall1xzul(AX131,AY131,BL131,X131),0))</f>
        <v>0</v>
      </c>
      <c r="BD131" s="735">
        <f>IF($E$36=$D$36,IF(AW131=2,Fall2Tzul(AX131, AZ131, BJ131,Q131, Z131),0),IF(AW131=2,Fall2Tzul(AX131, AZ131, BJ131,W131, Z131),0))</f>
        <v>0</v>
      </c>
      <c r="BE131" s="735">
        <f>IF($E$36=$D$36,IF(AW131=2,Fall2xzul(AX131,AZ131,BL131,R131,AA131),0),IF(AW131=2,Fall2xzul(AX131,AZ131,BL131,X131,AA131),0))</f>
        <v>0</v>
      </c>
      <c r="BF131" s="735">
        <f t="shared" si="19"/>
        <v>0</v>
      </c>
      <c r="BG131" s="735">
        <f t="shared" si="20"/>
        <v>0</v>
      </c>
      <c r="BH131" s="735">
        <f t="shared" si="21"/>
        <v>0</v>
      </c>
      <c r="BI131" s="735">
        <f t="shared" si="22"/>
        <v>0</v>
      </c>
      <c r="BJ131" s="473">
        <f t="shared" si="93"/>
        <v>21</v>
      </c>
      <c r="BK131" s="491">
        <f t="shared" si="23"/>
        <v>0</v>
      </c>
      <c r="BL131" s="475">
        <f>AbsFeuchte(BJ131,BK131,$N$19)</f>
        <v>0</v>
      </c>
      <c r="BM131" s="735">
        <f t="shared" si="24"/>
        <v>21.126000000000001</v>
      </c>
      <c r="BN131" s="473">
        <f t="shared" si="94"/>
        <v>21</v>
      </c>
      <c r="BO131" s="491">
        <f t="shared" si="25"/>
        <v>0</v>
      </c>
      <c r="BP131" s="475">
        <f t="shared" si="74"/>
        <v>0</v>
      </c>
      <c r="BQ131" s="735">
        <f t="shared" si="26"/>
        <v>21.126000000000001</v>
      </c>
      <c r="BR131" s="473">
        <f t="shared" si="75"/>
        <v>22</v>
      </c>
      <c r="BS131" s="491">
        <f t="shared" si="76"/>
        <v>0</v>
      </c>
      <c r="BT131" s="475">
        <f>AbsFeuchte(BR131,BS131,$N$19)</f>
        <v>0</v>
      </c>
      <c r="BU131" s="576">
        <f>IF($I$21=0,IF(E$13=$S$10,BR131+$N$18,BR131),IF(E$13=$S$10,BR131+$N$18+#REF!,BR131+$I$21))</f>
        <v>22</v>
      </c>
      <c r="BV131" s="736">
        <f t="shared" si="77"/>
        <v>0</v>
      </c>
      <c r="BW131" s="726">
        <f t="shared" si="78"/>
        <v>0</v>
      </c>
      <c r="BX131" s="475">
        <f t="shared" si="95"/>
        <v>0</v>
      </c>
      <c r="BY131" s="475">
        <f t="shared" si="96"/>
        <v>6.4383999999999997</v>
      </c>
      <c r="BZ131" s="475">
        <f t="shared" si="79"/>
        <v>0</v>
      </c>
      <c r="CA131" s="475">
        <f t="shared" si="80"/>
        <v>0</v>
      </c>
      <c r="CB131" s="475">
        <f t="shared" si="27"/>
        <v>0</v>
      </c>
      <c r="CC131" s="475">
        <f t="shared" si="28"/>
        <v>6.4383999999999997</v>
      </c>
      <c r="CD131" s="475">
        <f t="shared" si="29"/>
        <v>0</v>
      </c>
      <c r="CE131" s="621">
        <f t="shared" si="30"/>
        <v>0</v>
      </c>
      <c r="CF131" s="621">
        <f t="shared" si="31"/>
        <v>0</v>
      </c>
      <c r="CG131" s="621">
        <f t="shared" si="32"/>
        <v>0</v>
      </c>
      <c r="CH131" s="573">
        <f t="shared" si="33"/>
        <v>0</v>
      </c>
      <c r="CI131" s="621">
        <f t="shared" si="34"/>
        <v>0</v>
      </c>
      <c r="CJ131" s="621">
        <f t="shared" si="35"/>
        <v>0</v>
      </c>
      <c r="CK131" s="621">
        <f t="shared" si="36"/>
        <v>0</v>
      </c>
      <c r="CL131" s="737">
        <f t="shared" si="37"/>
        <v>0</v>
      </c>
      <c r="CM131" s="738">
        <f t="shared" si="38"/>
        <v>0</v>
      </c>
      <c r="CN131" s="475">
        <f t="shared" si="39"/>
        <v>222</v>
      </c>
      <c r="CO131" s="475">
        <f t="shared" si="40"/>
        <v>222</v>
      </c>
      <c r="CP131" s="475">
        <f t="shared" si="97"/>
        <v>222</v>
      </c>
      <c r="CQ131" s="475">
        <f t="shared" si="41"/>
        <v>-222</v>
      </c>
      <c r="CR131" s="475">
        <f t="shared" si="42"/>
        <v>-222</v>
      </c>
      <c r="CS131" s="475">
        <f t="shared" si="43"/>
        <v>-222</v>
      </c>
      <c r="CT131" s="475">
        <f t="shared" si="44"/>
        <v>0</v>
      </c>
      <c r="CU131" s="475">
        <f t="shared" si="45"/>
        <v>222</v>
      </c>
      <c r="CV131" s="475">
        <f t="shared" si="46"/>
        <v>-222</v>
      </c>
      <c r="CW131" s="475">
        <f t="shared" si="98"/>
        <v>0</v>
      </c>
      <c r="CX131" s="573">
        <f t="shared" si="99"/>
        <v>0</v>
      </c>
      <c r="CY131" s="475">
        <f t="shared" si="81"/>
        <v>21</v>
      </c>
      <c r="CZ131" s="475">
        <f t="shared" si="100"/>
        <v>21</v>
      </c>
      <c r="DA131" s="475">
        <v>-15</v>
      </c>
      <c r="DB131" s="739">
        <f t="shared" si="82"/>
        <v>15.955563444498802</v>
      </c>
      <c r="DC131" s="740">
        <f t="shared" si="47"/>
        <v>15.955563444498802</v>
      </c>
    </row>
    <row r="132" spans="1:107" s="619" customFormat="1" ht="12" customHeight="1">
      <c r="A132" s="732">
        <v>-14</v>
      </c>
      <c r="B132" s="917">
        <f>Klimadaten!O16/8760*$K$68</f>
        <v>0</v>
      </c>
      <c r="C132" s="762">
        <f>Klimadaten!Q16</f>
        <v>0</v>
      </c>
      <c r="D132" s="763">
        <f>Klimadaten!N16</f>
        <v>0</v>
      </c>
      <c r="E132" s="491">
        <f t="shared" si="48"/>
        <v>0</v>
      </c>
      <c r="F132" s="438">
        <f t="shared" si="49"/>
        <v>0</v>
      </c>
      <c r="G132" s="733">
        <f t="shared" si="9"/>
        <v>-14</v>
      </c>
      <c r="H132" s="527">
        <f t="shared" si="50"/>
        <v>34.972972972972968</v>
      </c>
      <c r="I132" s="733">
        <f t="shared" si="51"/>
        <v>14.84324324324324</v>
      </c>
      <c r="J132" s="473">
        <f t="shared" si="52"/>
        <v>14.84324324324324</v>
      </c>
      <c r="K132" s="491">
        <f t="shared" si="53"/>
        <v>0.8</v>
      </c>
      <c r="L132" s="473">
        <f t="shared" si="54"/>
        <v>14.84324324324324</v>
      </c>
      <c r="M132" s="473">
        <f t="shared" si="83"/>
        <v>0</v>
      </c>
      <c r="N132" s="473">
        <f t="shared" si="84"/>
        <v>14.9323027027027</v>
      </c>
      <c r="O132" s="473">
        <f t="shared" si="55"/>
        <v>14.9323027027027</v>
      </c>
      <c r="P132" s="734">
        <f t="shared" si="10"/>
        <v>0</v>
      </c>
      <c r="Q132" s="473">
        <f t="shared" si="85"/>
        <v>14.84324324324324</v>
      </c>
      <c r="R132" s="475">
        <f t="shared" si="101"/>
        <v>0</v>
      </c>
      <c r="S132" s="473">
        <f t="shared" si="86"/>
        <v>14.9323027027027</v>
      </c>
      <c r="T132" s="473">
        <f t="shared" si="11"/>
        <v>14.84324324324324</v>
      </c>
      <c r="U132" s="473">
        <f t="shared" si="12"/>
        <v>14.84324324324324</v>
      </c>
      <c r="V132" s="734">
        <f t="shared" si="13"/>
        <v>0</v>
      </c>
      <c r="W132" s="473">
        <f t="shared" si="56"/>
        <v>14.84324324324324</v>
      </c>
      <c r="X132" s="475">
        <f t="shared" si="57"/>
        <v>0</v>
      </c>
      <c r="Y132" s="735">
        <f t="shared" si="58"/>
        <v>14.9323027027027</v>
      </c>
      <c r="Z132" s="475">
        <f t="shared" si="59"/>
        <v>9</v>
      </c>
      <c r="AA132" s="475">
        <f>IF($E$36=$D$36,MIN(AbsFeuchte(Z132,100%,$N$19),R132),MIN(AbsFeuchte(Z132,100%,$N$19),X132))</f>
        <v>0</v>
      </c>
      <c r="AB132" s="735">
        <f t="shared" si="60"/>
        <v>9.0540000000000003</v>
      </c>
      <c r="AC132" s="475">
        <f t="shared" si="61"/>
        <v>9</v>
      </c>
      <c r="AD132" s="475">
        <v>10</v>
      </c>
      <c r="AE132" s="735">
        <f t="shared" si="62"/>
        <v>34.237400000000001</v>
      </c>
      <c r="AF132" s="735">
        <f t="shared" si="63"/>
        <v>9</v>
      </c>
      <c r="AG132" s="735">
        <f t="shared" si="87"/>
        <v>9.9999999999999992E+22</v>
      </c>
      <c r="AH132" s="475">
        <f t="shared" si="88"/>
        <v>14.84324324324324</v>
      </c>
      <c r="AI132" s="475">
        <f t="shared" si="64"/>
        <v>0</v>
      </c>
      <c r="AJ132" s="735">
        <f t="shared" si="65"/>
        <v>14.9323027027027</v>
      </c>
      <c r="AK132" s="475">
        <f t="shared" si="66"/>
        <v>14.84324324324324</v>
      </c>
      <c r="AL132" s="475">
        <f t="shared" si="67"/>
        <v>1.1972972972972973E-22</v>
      </c>
      <c r="AM132" s="735">
        <f t="shared" si="68"/>
        <v>14.9323027027027</v>
      </c>
      <c r="AN132" s="475">
        <f t="shared" si="89"/>
        <v>20.972972972972972</v>
      </c>
      <c r="AO132" s="475">
        <f t="shared" si="69"/>
        <v>0</v>
      </c>
      <c r="AP132" s="735">
        <f t="shared" si="90"/>
        <v>21.098810810810811</v>
      </c>
      <c r="AQ132" s="475" t="e">
        <f t="shared" ca="1" si="14"/>
        <v>#NAME?</v>
      </c>
      <c r="AR132" s="475">
        <f t="shared" si="91"/>
        <v>0</v>
      </c>
      <c r="AS132" s="735" t="e">
        <f t="shared" ca="1" si="15"/>
        <v>#VALUE!</v>
      </c>
      <c r="AT132" s="475">
        <f t="shared" si="92"/>
        <v>20.972972972972972</v>
      </c>
      <c r="AU132" s="475">
        <f t="shared" si="16"/>
        <v>0</v>
      </c>
      <c r="AV132" s="735">
        <f t="shared" si="17"/>
        <v>21.098810810810811</v>
      </c>
      <c r="AW132" s="529">
        <f t="shared" si="70"/>
        <v>1</v>
      </c>
      <c r="AX132" s="735">
        <f t="shared" si="71"/>
        <v>1</v>
      </c>
      <c r="AY132" s="735">
        <f t="shared" si="18"/>
        <v>1</v>
      </c>
      <c r="AZ132" s="735">
        <f t="shared" si="72"/>
        <v>1</v>
      </c>
      <c r="BA132" s="735">
        <f t="shared" si="73"/>
        <v>1</v>
      </c>
      <c r="BB132" s="735">
        <f>IF($E$36=$D$36,IF(AW132=1,Fall1Tzul(AX132,AY132,BJ132,Q132),0),IF(AW132=1,Fall1Tzul(AX132,AY132,BJ132,W132),0))</f>
        <v>20.972972972972972</v>
      </c>
      <c r="BC132" s="735">
        <f>IF($E$36=$D$36,IF(AW132=1,Fall1xzul(AX132,AY132,BL132,R132),0),IF(AW132=1,Fall1xzul(AX132,AY132,BL132,X132),0))</f>
        <v>0</v>
      </c>
      <c r="BD132" s="735">
        <f>IF($E$36=$D$36,IF(AW132=2,Fall2Tzul(AX132, AZ132, BJ132,Q132, Z132),0),IF(AW132=2,Fall2Tzul(AX132, AZ132, BJ132,W132, Z132),0))</f>
        <v>0</v>
      </c>
      <c r="BE132" s="735">
        <f>IF($E$36=$D$36,IF(AW132=2,Fall2xzul(AX132,AZ132,BL132,R132,AA132),0),IF(AW132=2,Fall2xzul(AX132,AZ132,BL132,X132,AA132),0))</f>
        <v>0</v>
      </c>
      <c r="BF132" s="735">
        <f t="shared" si="19"/>
        <v>0</v>
      </c>
      <c r="BG132" s="735">
        <f t="shared" si="20"/>
        <v>0</v>
      </c>
      <c r="BH132" s="735">
        <f t="shared" si="21"/>
        <v>0</v>
      </c>
      <c r="BI132" s="735">
        <f t="shared" si="22"/>
        <v>0</v>
      </c>
      <c r="BJ132" s="473">
        <f t="shared" si="93"/>
        <v>20.972972972972972</v>
      </c>
      <c r="BK132" s="491">
        <f t="shared" si="23"/>
        <v>0</v>
      </c>
      <c r="BL132" s="475">
        <f>AbsFeuchte(BJ132,BK132,$N$19)</f>
        <v>0</v>
      </c>
      <c r="BM132" s="735">
        <f t="shared" si="24"/>
        <v>21.098810810810811</v>
      </c>
      <c r="BN132" s="473">
        <f t="shared" si="94"/>
        <v>20.972972972972972</v>
      </c>
      <c r="BO132" s="491">
        <f t="shared" si="25"/>
        <v>0</v>
      </c>
      <c r="BP132" s="475">
        <f t="shared" si="74"/>
        <v>0</v>
      </c>
      <c r="BQ132" s="735">
        <f t="shared" si="26"/>
        <v>21.098810810810811</v>
      </c>
      <c r="BR132" s="473">
        <f t="shared" si="75"/>
        <v>22.054054054054053</v>
      </c>
      <c r="BS132" s="491">
        <f t="shared" si="76"/>
        <v>0</v>
      </c>
      <c r="BT132" s="475">
        <f>AbsFeuchte(BR132,BS132,$N$19)</f>
        <v>0</v>
      </c>
      <c r="BU132" s="576">
        <f>IF($I$21=0,IF(E$13=$S$10,BR132+$N$18,BR132),IF(E$13=$S$10,BR132+$N$18+#REF!,BR132+$I$21))</f>
        <v>22.054054054054053</v>
      </c>
      <c r="BV132" s="736">
        <f t="shared" si="77"/>
        <v>0</v>
      </c>
      <c r="BW132" s="726">
        <f t="shared" si="78"/>
        <v>0</v>
      </c>
      <c r="BX132" s="475">
        <f t="shared" si="95"/>
        <v>0</v>
      </c>
      <c r="BY132" s="475">
        <f t="shared" si="96"/>
        <v>6.1665081081081112</v>
      </c>
      <c r="BZ132" s="475">
        <f t="shared" si="79"/>
        <v>0</v>
      </c>
      <c r="CA132" s="475">
        <f t="shared" si="80"/>
        <v>0</v>
      </c>
      <c r="CB132" s="475">
        <f t="shared" si="27"/>
        <v>0</v>
      </c>
      <c r="CC132" s="475">
        <f t="shared" si="28"/>
        <v>6.1665081081081112</v>
      </c>
      <c r="CD132" s="475">
        <f t="shared" si="29"/>
        <v>0</v>
      </c>
      <c r="CE132" s="621">
        <f t="shared" si="30"/>
        <v>0</v>
      </c>
      <c r="CF132" s="621">
        <f t="shared" si="31"/>
        <v>0</v>
      </c>
      <c r="CG132" s="621">
        <f t="shared" si="32"/>
        <v>0</v>
      </c>
      <c r="CH132" s="573">
        <f t="shared" si="33"/>
        <v>0</v>
      </c>
      <c r="CI132" s="621">
        <f t="shared" si="34"/>
        <v>0</v>
      </c>
      <c r="CJ132" s="621">
        <f t="shared" si="35"/>
        <v>0</v>
      </c>
      <c r="CK132" s="621">
        <f t="shared" si="36"/>
        <v>0</v>
      </c>
      <c r="CL132" s="737">
        <f t="shared" si="37"/>
        <v>0</v>
      </c>
      <c r="CM132" s="738">
        <f t="shared" si="38"/>
        <v>0</v>
      </c>
      <c r="CN132" s="475">
        <f>IF(E132&gt;0,BK132,222)</f>
        <v>222</v>
      </c>
      <c r="CO132" s="475">
        <f t="shared" si="40"/>
        <v>222</v>
      </c>
      <c r="CP132" s="475">
        <f t="shared" si="97"/>
        <v>222</v>
      </c>
      <c r="CQ132" s="475">
        <f t="shared" si="41"/>
        <v>-222</v>
      </c>
      <c r="CR132" s="475">
        <f t="shared" si="42"/>
        <v>-222</v>
      </c>
      <c r="CS132" s="475">
        <f t="shared" si="43"/>
        <v>-222</v>
      </c>
      <c r="CT132" s="475">
        <f t="shared" si="44"/>
        <v>0</v>
      </c>
      <c r="CU132" s="475">
        <f t="shared" si="45"/>
        <v>222</v>
      </c>
      <c r="CV132" s="475">
        <f t="shared" si="46"/>
        <v>-222</v>
      </c>
      <c r="CW132" s="475">
        <f t="shared" si="98"/>
        <v>0</v>
      </c>
      <c r="CX132" s="573">
        <f t="shared" si="99"/>
        <v>0</v>
      </c>
      <c r="CY132" s="475">
        <f t="shared" si="81"/>
        <v>20.972972972972972</v>
      </c>
      <c r="CZ132" s="475">
        <f t="shared" si="100"/>
        <v>20.972972972972972</v>
      </c>
      <c r="DA132" s="475">
        <v>-14</v>
      </c>
      <c r="DB132" s="739">
        <f t="shared" si="82"/>
        <v>15.955563444498802</v>
      </c>
      <c r="DC132" s="740">
        <f t="shared" si="47"/>
        <v>15.955563444498802</v>
      </c>
    </row>
    <row r="133" spans="1:107" s="619" customFormat="1" ht="12" customHeight="1">
      <c r="A133" s="732">
        <v>-13</v>
      </c>
      <c r="B133" s="917">
        <f>Klimadaten!O17/8760*$K$68</f>
        <v>0</v>
      </c>
      <c r="C133" s="762">
        <f>Klimadaten!Q17</f>
        <v>0</v>
      </c>
      <c r="D133" s="763">
        <f>Klimadaten!N17</f>
        <v>0</v>
      </c>
      <c r="E133" s="491">
        <f t="shared" si="48"/>
        <v>0</v>
      </c>
      <c r="F133" s="438">
        <f t="shared" si="49"/>
        <v>0</v>
      </c>
      <c r="G133" s="733">
        <f t="shared" si="9"/>
        <v>-13</v>
      </c>
      <c r="H133" s="527">
        <f t="shared" si="50"/>
        <v>33.945945945945951</v>
      </c>
      <c r="I133" s="733">
        <f t="shared" si="51"/>
        <v>15.086486486486493</v>
      </c>
      <c r="J133" s="473">
        <f t="shared" si="52"/>
        <v>15.086486486486493</v>
      </c>
      <c r="K133" s="491">
        <f t="shared" si="53"/>
        <v>0.8</v>
      </c>
      <c r="L133" s="473">
        <f t="shared" si="54"/>
        <v>15.086486486486493</v>
      </c>
      <c r="M133" s="473">
        <f t="shared" si="83"/>
        <v>0</v>
      </c>
      <c r="N133" s="473">
        <f t="shared" si="84"/>
        <v>15.177005405405412</v>
      </c>
      <c r="O133" s="473">
        <f t="shared" si="55"/>
        <v>15.177005405405412</v>
      </c>
      <c r="P133" s="734">
        <f t="shared" si="10"/>
        <v>0</v>
      </c>
      <c r="Q133" s="473">
        <f t="shared" si="85"/>
        <v>15.086486486486493</v>
      </c>
      <c r="R133" s="475">
        <f t="shared" si="101"/>
        <v>0</v>
      </c>
      <c r="S133" s="473">
        <f t="shared" si="86"/>
        <v>15.177005405405412</v>
      </c>
      <c r="T133" s="473">
        <f t="shared" si="11"/>
        <v>15.086486486486493</v>
      </c>
      <c r="U133" s="473">
        <f t="shared" si="12"/>
        <v>15.086486486486493</v>
      </c>
      <c r="V133" s="734">
        <f t="shared" si="13"/>
        <v>0</v>
      </c>
      <c r="W133" s="473">
        <f t="shared" si="56"/>
        <v>15.086486486486493</v>
      </c>
      <c r="X133" s="475">
        <f t="shared" si="57"/>
        <v>0</v>
      </c>
      <c r="Y133" s="735">
        <f t="shared" si="58"/>
        <v>15.177005405405412</v>
      </c>
      <c r="Z133" s="475">
        <f t="shared" si="59"/>
        <v>9</v>
      </c>
      <c r="AA133" s="475">
        <f>IF($E$36=$D$36,MIN(AbsFeuchte(Z133,100%,$N$19),R133),MIN(AbsFeuchte(Z133,100%,$N$19),X133))</f>
        <v>0</v>
      </c>
      <c r="AB133" s="735">
        <f t="shared" si="60"/>
        <v>9.0540000000000003</v>
      </c>
      <c r="AC133" s="475">
        <f t="shared" si="61"/>
        <v>9</v>
      </c>
      <c r="AD133" s="475">
        <v>11</v>
      </c>
      <c r="AE133" s="735">
        <f t="shared" si="62"/>
        <v>36.755739999999996</v>
      </c>
      <c r="AF133" s="735">
        <f t="shared" si="63"/>
        <v>9</v>
      </c>
      <c r="AG133" s="735">
        <f t="shared" si="87"/>
        <v>9.9999999999999992E+22</v>
      </c>
      <c r="AH133" s="475">
        <f t="shared" si="88"/>
        <v>15.086486486486493</v>
      </c>
      <c r="AI133" s="475">
        <f t="shared" si="64"/>
        <v>0</v>
      </c>
      <c r="AJ133" s="735">
        <f t="shared" si="65"/>
        <v>15.177005405405412</v>
      </c>
      <c r="AK133" s="475">
        <f t="shared" si="66"/>
        <v>15.086486486486493</v>
      </c>
      <c r="AL133" s="475">
        <f t="shared" si="67"/>
        <v>1.1945945945945949E-22</v>
      </c>
      <c r="AM133" s="735">
        <f t="shared" si="68"/>
        <v>15.177005405405412</v>
      </c>
      <c r="AN133" s="475">
        <f t="shared" si="89"/>
        <v>20.945945945945947</v>
      </c>
      <c r="AO133" s="475">
        <f t="shared" si="69"/>
        <v>0</v>
      </c>
      <c r="AP133" s="735">
        <f t="shared" si="90"/>
        <v>21.071621621621624</v>
      </c>
      <c r="AQ133" s="475" t="e">
        <f t="shared" ca="1" si="14"/>
        <v>#NAME?</v>
      </c>
      <c r="AR133" s="475">
        <f t="shared" si="91"/>
        <v>0</v>
      </c>
      <c r="AS133" s="735" t="e">
        <f t="shared" ca="1" si="15"/>
        <v>#VALUE!</v>
      </c>
      <c r="AT133" s="475">
        <f t="shared" si="92"/>
        <v>20.945945945945947</v>
      </c>
      <c r="AU133" s="475">
        <f t="shared" si="16"/>
        <v>0</v>
      </c>
      <c r="AV133" s="735">
        <f t="shared" si="17"/>
        <v>21.071621621621624</v>
      </c>
      <c r="AW133" s="529">
        <f t="shared" si="70"/>
        <v>1</v>
      </c>
      <c r="AX133" s="735">
        <f t="shared" si="71"/>
        <v>1</v>
      </c>
      <c r="AY133" s="735">
        <f t="shared" si="18"/>
        <v>1</v>
      </c>
      <c r="AZ133" s="735">
        <f t="shared" si="72"/>
        <v>1</v>
      </c>
      <c r="BA133" s="735">
        <f t="shared" si="73"/>
        <v>1</v>
      </c>
      <c r="BB133" s="735">
        <f>IF($E$36=$D$36,IF(AW133=1,Fall1Tzul(AX133,AY133,BJ133,Q133),0),IF(AW133=1,Fall1Tzul(AX133,AY133,BJ133,W133),0))</f>
        <v>20.945945945945947</v>
      </c>
      <c r="BC133" s="735">
        <f>IF($E$36=$D$36,IF(AW133=1,Fall1xzul(AX133,AY133,BL133,R133),0),IF(AW133=1,Fall1xzul(AX133,AY133,BL133,X133),0))</f>
        <v>0</v>
      </c>
      <c r="BD133" s="735">
        <f>IF($E$36=$D$36,IF(AW133=2,Fall2Tzul(AX133, AZ133, BJ133,Q133, Z133),0),IF(AW133=2,Fall2Tzul(AX133, AZ133, BJ133,W133, Z133),0))</f>
        <v>0</v>
      </c>
      <c r="BE133" s="735">
        <f>IF($E$36=$D$36,IF(AW133=2,Fall2xzul(AX133,AZ133,BL133,R133,AA133),0),IF(AW133=2,Fall2xzul(AX133,AZ133,BL133,X133,AA133),0))</f>
        <v>0</v>
      </c>
      <c r="BF133" s="735">
        <f t="shared" si="19"/>
        <v>0</v>
      </c>
      <c r="BG133" s="735">
        <f t="shared" si="20"/>
        <v>0</v>
      </c>
      <c r="BH133" s="735">
        <f t="shared" si="21"/>
        <v>0</v>
      </c>
      <c r="BI133" s="735">
        <f t="shared" si="22"/>
        <v>0</v>
      </c>
      <c r="BJ133" s="473">
        <f t="shared" si="93"/>
        <v>20.945945945945947</v>
      </c>
      <c r="BK133" s="491">
        <f t="shared" si="23"/>
        <v>0</v>
      </c>
      <c r="BL133" s="475">
        <f>AbsFeuchte(BJ133,BK133,$N$19)</f>
        <v>0</v>
      </c>
      <c r="BM133" s="735">
        <f t="shared" si="24"/>
        <v>21.071621621621624</v>
      </c>
      <c r="BN133" s="473">
        <f t="shared" si="94"/>
        <v>20.945945945945947</v>
      </c>
      <c r="BO133" s="491">
        <f t="shared" si="25"/>
        <v>0</v>
      </c>
      <c r="BP133" s="475">
        <f t="shared" si="74"/>
        <v>0</v>
      </c>
      <c r="BQ133" s="735">
        <f t="shared" si="26"/>
        <v>21.071621621621624</v>
      </c>
      <c r="BR133" s="473">
        <f t="shared" si="75"/>
        <v>22.108108108108109</v>
      </c>
      <c r="BS133" s="491">
        <f t="shared" si="76"/>
        <v>0</v>
      </c>
      <c r="BT133" s="475">
        <f>AbsFeuchte(BR133,BS133,$N$19)</f>
        <v>0</v>
      </c>
      <c r="BU133" s="576">
        <f>IF($I$21=0,IF(E$13=$S$10,BR133+$N$18,BR133),IF(E$13=$S$10,BR133+$N$18+#REF!,BR133+$I$21))</f>
        <v>22.108108108108109</v>
      </c>
      <c r="BV133" s="736">
        <f t="shared" si="77"/>
        <v>0</v>
      </c>
      <c r="BW133" s="726">
        <f t="shared" si="78"/>
        <v>0</v>
      </c>
      <c r="BX133" s="475">
        <f t="shared" si="95"/>
        <v>0</v>
      </c>
      <c r="BY133" s="475">
        <f t="shared" si="96"/>
        <v>5.8946162162162121</v>
      </c>
      <c r="BZ133" s="475">
        <f t="shared" si="79"/>
        <v>0</v>
      </c>
      <c r="CA133" s="475">
        <f t="shared" si="80"/>
        <v>0</v>
      </c>
      <c r="CB133" s="475">
        <f t="shared" si="27"/>
        <v>0</v>
      </c>
      <c r="CC133" s="760">
        <f t="shared" si="28"/>
        <v>5.8946162162162121</v>
      </c>
      <c r="CD133" s="475">
        <f t="shared" si="29"/>
        <v>0</v>
      </c>
      <c r="CE133" s="621">
        <f t="shared" si="30"/>
        <v>0</v>
      </c>
      <c r="CF133" s="621">
        <f t="shared" si="31"/>
        <v>0</v>
      </c>
      <c r="CG133" s="621">
        <f t="shared" si="32"/>
        <v>0</v>
      </c>
      <c r="CH133" s="573">
        <f t="shared" si="33"/>
        <v>0</v>
      </c>
      <c r="CI133" s="621">
        <f t="shared" si="34"/>
        <v>0</v>
      </c>
      <c r="CJ133" s="621">
        <f t="shared" si="35"/>
        <v>0</v>
      </c>
      <c r="CK133" s="621">
        <f t="shared" si="36"/>
        <v>0</v>
      </c>
      <c r="CL133" s="737">
        <f t="shared" si="37"/>
        <v>0</v>
      </c>
      <c r="CM133" s="738">
        <f t="shared" si="38"/>
        <v>0</v>
      </c>
      <c r="CN133" s="475">
        <f t="shared" si="39"/>
        <v>222</v>
      </c>
      <c r="CO133" s="475">
        <f t="shared" si="40"/>
        <v>222</v>
      </c>
      <c r="CP133" s="475">
        <f t="shared" si="97"/>
        <v>222</v>
      </c>
      <c r="CQ133" s="475">
        <f t="shared" si="41"/>
        <v>-222</v>
      </c>
      <c r="CR133" s="475">
        <f t="shared" si="42"/>
        <v>-222</v>
      </c>
      <c r="CS133" s="475">
        <f t="shared" si="43"/>
        <v>-222</v>
      </c>
      <c r="CT133" s="475">
        <f t="shared" si="44"/>
        <v>0</v>
      </c>
      <c r="CU133" s="475">
        <f t="shared" si="45"/>
        <v>222</v>
      </c>
      <c r="CV133" s="475">
        <f t="shared" si="46"/>
        <v>-222</v>
      </c>
      <c r="CW133" s="475">
        <f t="shared" si="98"/>
        <v>0</v>
      </c>
      <c r="CX133" s="573">
        <f t="shared" si="99"/>
        <v>0</v>
      </c>
      <c r="CY133" s="475">
        <f t="shared" si="81"/>
        <v>20.945945945945947</v>
      </c>
      <c r="CZ133" s="475">
        <f t="shared" si="100"/>
        <v>20.945945945945947</v>
      </c>
      <c r="DA133" s="475">
        <v>-13</v>
      </c>
      <c r="DB133" s="739">
        <f t="shared" si="82"/>
        <v>15.955563444498802</v>
      </c>
      <c r="DC133" s="740">
        <f t="shared" si="47"/>
        <v>15.955563444498802</v>
      </c>
    </row>
    <row r="134" spans="1:107" s="619" customFormat="1" ht="12" customHeight="1">
      <c r="A134" s="732">
        <v>-12</v>
      </c>
      <c r="B134" s="917">
        <f>Klimadaten!O18/8760*$K$68</f>
        <v>0</v>
      </c>
      <c r="C134" s="762">
        <f>Klimadaten!Q18</f>
        <v>0</v>
      </c>
      <c r="D134" s="763">
        <f>Klimadaten!N18</f>
        <v>0</v>
      </c>
      <c r="E134" s="491">
        <f t="shared" si="48"/>
        <v>0</v>
      </c>
      <c r="F134" s="438">
        <f t="shared" si="49"/>
        <v>0</v>
      </c>
      <c r="G134" s="733">
        <f t="shared" si="9"/>
        <v>-12</v>
      </c>
      <c r="H134" s="527">
        <f t="shared" si="50"/>
        <v>32.918918918918919</v>
      </c>
      <c r="I134" s="733">
        <f t="shared" si="51"/>
        <v>15.329729729729731</v>
      </c>
      <c r="J134" s="473">
        <f t="shared" si="52"/>
        <v>15.329729729729731</v>
      </c>
      <c r="K134" s="491">
        <f t="shared" si="53"/>
        <v>0.8</v>
      </c>
      <c r="L134" s="473">
        <f t="shared" si="54"/>
        <v>15.329729729729731</v>
      </c>
      <c r="M134" s="473">
        <f t="shared" si="83"/>
        <v>0</v>
      </c>
      <c r="N134" s="473">
        <f t="shared" si="84"/>
        <v>15.42170810810811</v>
      </c>
      <c r="O134" s="473">
        <f t="shared" si="55"/>
        <v>15.42170810810811</v>
      </c>
      <c r="P134" s="734">
        <f t="shared" si="10"/>
        <v>0</v>
      </c>
      <c r="Q134" s="473">
        <f t="shared" si="85"/>
        <v>15.329729729729731</v>
      </c>
      <c r="R134" s="475">
        <f t="shared" si="101"/>
        <v>0</v>
      </c>
      <c r="S134" s="473">
        <f t="shared" si="86"/>
        <v>15.42170810810811</v>
      </c>
      <c r="T134" s="473">
        <f t="shared" si="11"/>
        <v>15.329729729729731</v>
      </c>
      <c r="U134" s="473">
        <f t="shared" si="12"/>
        <v>15.329729729729731</v>
      </c>
      <c r="V134" s="734">
        <f t="shared" si="13"/>
        <v>0</v>
      </c>
      <c r="W134" s="473">
        <f t="shared" si="56"/>
        <v>15.329729729729731</v>
      </c>
      <c r="X134" s="475">
        <f>(M134*(1-$V134)+BW134*$V134)</f>
        <v>0</v>
      </c>
      <c r="Y134" s="735">
        <f t="shared" si="58"/>
        <v>15.42170810810811</v>
      </c>
      <c r="Z134" s="475">
        <f t="shared" si="59"/>
        <v>9</v>
      </c>
      <c r="AA134" s="475">
        <f>IF($E$36=$D$36,MIN(AbsFeuchte(Z134,100%,$N$19),R134),MIN(AbsFeuchte(Z134,100%,$N$19),X134))</f>
        <v>0</v>
      </c>
      <c r="AB134" s="735">
        <f t="shared" si="60"/>
        <v>9.0540000000000003</v>
      </c>
      <c r="AC134" s="475">
        <f t="shared" si="61"/>
        <v>9</v>
      </c>
      <c r="AD134" s="475">
        <v>12</v>
      </c>
      <c r="AE134" s="735">
        <f t="shared" si="62"/>
        <v>39.274079999999998</v>
      </c>
      <c r="AF134" s="735">
        <f t="shared" si="63"/>
        <v>9</v>
      </c>
      <c r="AG134" s="735">
        <f t="shared" si="87"/>
        <v>9.9999999999999992E+22</v>
      </c>
      <c r="AH134" s="475">
        <f t="shared" si="88"/>
        <v>15.329729729729731</v>
      </c>
      <c r="AI134" s="475">
        <f t="shared" si="64"/>
        <v>0</v>
      </c>
      <c r="AJ134" s="735">
        <f t="shared" si="65"/>
        <v>15.42170810810811</v>
      </c>
      <c r="AK134" s="475">
        <f t="shared" si="66"/>
        <v>15.329729729729731</v>
      </c>
      <c r="AL134" s="475">
        <f t="shared" si="67"/>
        <v>1.191891891891892E-22</v>
      </c>
      <c r="AM134" s="735">
        <f t="shared" si="68"/>
        <v>15.42170810810811</v>
      </c>
      <c r="AN134" s="475">
        <f t="shared" si="89"/>
        <v>20.918918918918919</v>
      </c>
      <c r="AO134" s="475">
        <f t="shared" si="69"/>
        <v>0</v>
      </c>
      <c r="AP134" s="735">
        <f t="shared" si="90"/>
        <v>21.044432432432433</v>
      </c>
      <c r="AQ134" s="475" t="e">
        <f t="shared" ca="1" si="14"/>
        <v>#NAME?</v>
      </c>
      <c r="AR134" s="475">
        <f t="shared" si="91"/>
        <v>0</v>
      </c>
      <c r="AS134" s="735" t="e">
        <f t="shared" ca="1" si="15"/>
        <v>#VALUE!</v>
      </c>
      <c r="AT134" s="475">
        <f t="shared" si="92"/>
        <v>20.918918918918919</v>
      </c>
      <c r="AU134" s="475">
        <f t="shared" si="16"/>
        <v>0</v>
      </c>
      <c r="AV134" s="735">
        <f t="shared" si="17"/>
        <v>21.044432432432433</v>
      </c>
      <c r="AW134" s="529">
        <f t="shared" si="70"/>
        <v>1</v>
      </c>
      <c r="AX134" s="735">
        <f t="shared" si="71"/>
        <v>1</v>
      </c>
      <c r="AY134" s="735">
        <f t="shared" si="18"/>
        <v>1</v>
      </c>
      <c r="AZ134" s="735">
        <f t="shared" si="72"/>
        <v>1</v>
      </c>
      <c r="BA134" s="735">
        <f t="shared" si="73"/>
        <v>1</v>
      </c>
      <c r="BB134" s="735">
        <f>IF($E$36=$D$36,IF(AW134=1,Fall1Tzul(AX134,AY134,BJ134,Q134),0),IF(AW134=1,Fall1Tzul(AX134,AY134,BJ134,W134),0))</f>
        <v>20.918918918918919</v>
      </c>
      <c r="BC134" s="735">
        <f>IF($E$36=$D$36,IF(AW134=1,Fall1xzul(AX134,AY134,BL134,R134),0),IF(AW134=1,Fall1xzul(AX134,AY134,BL134,X134),0))</f>
        <v>0</v>
      </c>
      <c r="BD134" s="735">
        <f>IF($E$36=$D$36,IF(AW134=2,Fall2Tzul(AX134, AZ134, BJ134,Q134, Z134),0),IF(AW134=2,Fall2Tzul(AX134, AZ134, BJ134,W134, Z134),0))</f>
        <v>0</v>
      </c>
      <c r="BE134" s="735">
        <f>IF($E$36=$D$36,IF(AW134=2,Fall2xzul(AX134,AZ134,BL134,R134,AA134),0),IF(AW134=2,Fall2xzul(AX134,AZ134,BL134,X134,AA134),0))</f>
        <v>0</v>
      </c>
      <c r="BF134" s="735">
        <f t="shared" si="19"/>
        <v>0</v>
      </c>
      <c r="BG134" s="735">
        <f t="shared" si="20"/>
        <v>0</v>
      </c>
      <c r="BH134" s="735">
        <f t="shared" si="21"/>
        <v>0</v>
      </c>
      <c r="BI134" s="735">
        <f t="shared" si="22"/>
        <v>0</v>
      </c>
      <c r="BJ134" s="473">
        <f t="shared" si="93"/>
        <v>20.918918918918919</v>
      </c>
      <c r="BK134" s="491">
        <f t="shared" si="23"/>
        <v>0</v>
      </c>
      <c r="BL134" s="475">
        <f>AbsFeuchte(BJ134,BK134,$N$19)</f>
        <v>0</v>
      </c>
      <c r="BM134" s="735">
        <f t="shared" si="24"/>
        <v>21.044432432432433</v>
      </c>
      <c r="BN134" s="473">
        <f t="shared" si="94"/>
        <v>20.918918918918919</v>
      </c>
      <c r="BO134" s="491">
        <f t="shared" si="25"/>
        <v>0</v>
      </c>
      <c r="BP134" s="475">
        <f t="shared" si="74"/>
        <v>0</v>
      </c>
      <c r="BQ134" s="735">
        <f t="shared" si="26"/>
        <v>21.044432432432433</v>
      </c>
      <c r="BR134" s="473">
        <f t="shared" si="75"/>
        <v>22.162162162162161</v>
      </c>
      <c r="BS134" s="491">
        <f t="shared" si="76"/>
        <v>0</v>
      </c>
      <c r="BT134" s="475">
        <f>AbsFeuchte(BR134,BS134,$N$19)</f>
        <v>0</v>
      </c>
      <c r="BU134" s="576">
        <f>IF($I$21=0,IF(E$13=$S$10,BR134+$N$18,BR134),IF(E$13=$S$10,BR134+$N$18+#REF!,BR134+$I$21))</f>
        <v>22.162162162162161</v>
      </c>
      <c r="BV134" s="736">
        <f t="shared" si="77"/>
        <v>0</v>
      </c>
      <c r="BW134" s="726">
        <f t="shared" si="78"/>
        <v>0</v>
      </c>
      <c r="BX134" s="475">
        <f t="shared" si="95"/>
        <v>0</v>
      </c>
      <c r="BY134" s="475">
        <f t="shared" si="96"/>
        <v>5.6227243243243237</v>
      </c>
      <c r="BZ134" s="475">
        <f t="shared" si="79"/>
        <v>0</v>
      </c>
      <c r="CA134" s="475">
        <f t="shared" si="80"/>
        <v>0</v>
      </c>
      <c r="CB134" s="475">
        <f t="shared" si="27"/>
        <v>0</v>
      </c>
      <c r="CC134" s="475">
        <f t="shared" si="28"/>
        <v>5.6227243243243237</v>
      </c>
      <c r="CD134" s="475">
        <f t="shared" si="29"/>
        <v>0</v>
      </c>
      <c r="CE134" s="621">
        <f t="shared" si="30"/>
        <v>0</v>
      </c>
      <c r="CF134" s="621">
        <f t="shared" si="31"/>
        <v>0</v>
      </c>
      <c r="CG134" s="621">
        <f t="shared" si="32"/>
        <v>0</v>
      </c>
      <c r="CH134" s="573">
        <f t="shared" si="33"/>
        <v>0</v>
      </c>
      <c r="CI134" s="621">
        <f t="shared" si="34"/>
        <v>0</v>
      </c>
      <c r="CJ134" s="621">
        <f t="shared" si="35"/>
        <v>0</v>
      </c>
      <c r="CK134" s="621">
        <f t="shared" si="36"/>
        <v>0</v>
      </c>
      <c r="CL134" s="737">
        <f t="shared" si="37"/>
        <v>0</v>
      </c>
      <c r="CM134" s="738">
        <f t="shared" si="38"/>
        <v>0</v>
      </c>
      <c r="CN134" s="475">
        <f t="shared" si="39"/>
        <v>222</v>
      </c>
      <c r="CO134" s="475">
        <f t="shared" si="40"/>
        <v>222</v>
      </c>
      <c r="CP134" s="475">
        <f t="shared" si="97"/>
        <v>222</v>
      </c>
      <c r="CQ134" s="475">
        <f t="shared" si="41"/>
        <v>-222</v>
      </c>
      <c r="CR134" s="475">
        <f t="shared" si="42"/>
        <v>-222</v>
      </c>
      <c r="CS134" s="475">
        <f t="shared" si="43"/>
        <v>-222</v>
      </c>
      <c r="CT134" s="475">
        <f t="shared" si="44"/>
        <v>0</v>
      </c>
      <c r="CU134" s="475">
        <f t="shared" si="45"/>
        <v>222</v>
      </c>
      <c r="CV134" s="475">
        <f t="shared" si="46"/>
        <v>-222</v>
      </c>
      <c r="CW134" s="475">
        <f t="shared" si="98"/>
        <v>0</v>
      </c>
      <c r="CX134" s="573">
        <f t="shared" si="99"/>
        <v>0</v>
      </c>
      <c r="CY134" s="475">
        <f t="shared" si="81"/>
        <v>20.918918918918919</v>
      </c>
      <c r="CZ134" s="475">
        <f t="shared" si="100"/>
        <v>20.918918918918919</v>
      </c>
      <c r="DA134" s="475">
        <v>-12</v>
      </c>
      <c r="DB134" s="739">
        <f t="shared" si="82"/>
        <v>15.955563444498802</v>
      </c>
      <c r="DC134" s="740">
        <f t="shared" si="47"/>
        <v>14.728212410306588</v>
      </c>
    </row>
    <row r="135" spans="1:107" s="619" customFormat="1" ht="12" customHeight="1">
      <c r="A135" s="732">
        <v>-11</v>
      </c>
      <c r="B135" s="917">
        <f>Klimadaten!O19/8760*$K$68</f>
        <v>0</v>
      </c>
      <c r="C135" s="762">
        <f>Klimadaten!Q19</f>
        <v>0</v>
      </c>
      <c r="D135" s="763">
        <f>Klimadaten!N19</f>
        <v>0</v>
      </c>
      <c r="E135" s="491">
        <f t="shared" si="48"/>
        <v>0</v>
      </c>
      <c r="F135" s="438">
        <f t="shared" si="49"/>
        <v>0</v>
      </c>
      <c r="G135" s="733">
        <f t="shared" si="9"/>
        <v>-11</v>
      </c>
      <c r="H135" s="527">
        <f t="shared" si="50"/>
        <v>31.891891891891891</v>
      </c>
      <c r="I135" s="733">
        <f t="shared" si="51"/>
        <v>15.572972972972977</v>
      </c>
      <c r="J135" s="473">
        <f t="shared" si="52"/>
        <v>15.572972972972977</v>
      </c>
      <c r="K135" s="491">
        <f t="shared" si="53"/>
        <v>0.8</v>
      </c>
      <c r="L135" s="473">
        <f t="shared" si="54"/>
        <v>15.572972972972977</v>
      </c>
      <c r="M135" s="473">
        <f t="shared" si="83"/>
        <v>0</v>
      </c>
      <c r="N135" s="473">
        <f t="shared" si="84"/>
        <v>15.666410810810815</v>
      </c>
      <c r="O135" s="473">
        <f t="shared" si="55"/>
        <v>15.666410810810815</v>
      </c>
      <c r="P135" s="734">
        <f t="shared" si="10"/>
        <v>0</v>
      </c>
      <c r="Q135" s="473">
        <f t="shared" si="85"/>
        <v>15.572972972972977</v>
      </c>
      <c r="R135" s="475">
        <f t="shared" si="101"/>
        <v>0</v>
      </c>
      <c r="S135" s="473">
        <f t="shared" si="86"/>
        <v>15.666410810810815</v>
      </c>
      <c r="T135" s="473">
        <f t="shared" si="11"/>
        <v>15.572972972972977</v>
      </c>
      <c r="U135" s="473">
        <f t="shared" si="12"/>
        <v>15.572972972972977</v>
      </c>
      <c r="V135" s="734">
        <f t="shared" si="13"/>
        <v>0</v>
      </c>
      <c r="W135" s="473">
        <f t="shared" si="56"/>
        <v>15.572972972972977</v>
      </c>
      <c r="X135" s="475">
        <f t="shared" si="57"/>
        <v>0</v>
      </c>
      <c r="Y135" s="735">
        <f t="shared" si="58"/>
        <v>15.666410810810815</v>
      </c>
      <c r="Z135" s="475">
        <f t="shared" si="59"/>
        <v>9</v>
      </c>
      <c r="AA135" s="475">
        <f>IF($E$36=$D$36,MIN(AbsFeuchte(Z135,100%,$N$19),R135),MIN(AbsFeuchte(Z135,100%,$N$19),X135))</f>
        <v>0</v>
      </c>
      <c r="AB135" s="735">
        <f t="shared" si="60"/>
        <v>9.0540000000000003</v>
      </c>
      <c r="AC135" s="475">
        <f t="shared" si="61"/>
        <v>9</v>
      </c>
      <c r="AD135" s="475">
        <v>13</v>
      </c>
      <c r="AE135" s="735">
        <f t="shared" si="62"/>
        <v>41.79242</v>
      </c>
      <c r="AF135" s="735">
        <f t="shared" si="63"/>
        <v>9</v>
      </c>
      <c r="AG135" s="735">
        <f t="shared" si="87"/>
        <v>9.9999999999999992E+22</v>
      </c>
      <c r="AH135" s="475">
        <f t="shared" si="88"/>
        <v>15.572972972972977</v>
      </c>
      <c r="AI135" s="475">
        <f t="shared" si="64"/>
        <v>0</v>
      </c>
      <c r="AJ135" s="735">
        <f t="shared" si="65"/>
        <v>15.666410810810815</v>
      </c>
      <c r="AK135" s="475">
        <f t="shared" si="66"/>
        <v>15.572972972972977</v>
      </c>
      <c r="AL135" s="475">
        <f t="shared" si="67"/>
        <v>1.1891891891891891E-22</v>
      </c>
      <c r="AM135" s="735">
        <f t="shared" si="68"/>
        <v>15.666410810810815</v>
      </c>
      <c r="AN135" s="475">
        <f t="shared" si="89"/>
        <v>20.891891891891891</v>
      </c>
      <c r="AO135" s="475">
        <f t="shared" si="69"/>
        <v>0</v>
      </c>
      <c r="AP135" s="735">
        <f t="shared" si="90"/>
        <v>21.017243243243243</v>
      </c>
      <c r="AQ135" s="475" t="e">
        <f t="shared" ca="1" si="14"/>
        <v>#NAME?</v>
      </c>
      <c r="AR135" s="475">
        <f t="shared" si="91"/>
        <v>0</v>
      </c>
      <c r="AS135" s="735" t="e">
        <f t="shared" ca="1" si="15"/>
        <v>#VALUE!</v>
      </c>
      <c r="AT135" s="475">
        <f t="shared" si="92"/>
        <v>20.891891891891891</v>
      </c>
      <c r="AU135" s="475">
        <f t="shared" si="16"/>
        <v>0</v>
      </c>
      <c r="AV135" s="735">
        <f t="shared" si="17"/>
        <v>21.017243243243243</v>
      </c>
      <c r="AW135" s="529">
        <f t="shared" si="70"/>
        <v>1</v>
      </c>
      <c r="AX135" s="735">
        <f t="shared" si="71"/>
        <v>1</v>
      </c>
      <c r="AY135" s="735">
        <f t="shared" si="18"/>
        <v>1</v>
      </c>
      <c r="AZ135" s="735">
        <f t="shared" si="72"/>
        <v>1</v>
      </c>
      <c r="BA135" s="735">
        <f t="shared" si="73"/>
        <v>1</v>
      </c>
      <c r="BB135" s="735">
        <f>IF($E$36=$D$36,IF(AW135=1,Fall1Tzul(AX135,AY135,BJ135,Q135),0),IF(AW135=1,Fall1Tzul(AX135,AY135,BJ135,W135),0))</f>
        <v>20.891891891891891</v>
      </c>
      <c r="BC135" s="735">
        <f>IF($E$36=$D$36,IF(AW135=1,Fall1xzul(AX135,AY135,BL135,R135),0),IF(AW135=1,Fall1xzul(AX135,AY135,BL135,X135),0))</f>
        <v>0</v>
      </c>
      <c r="BD135" s="735">
        <f>IF($E$36=$D$36,IF(AW135=2,Fall2Tzul(AX135, AZ135, BJ135,Q135, Z135),0),IF(AW135=2,Fall2Tzul(AX135, AZ135, BJ135,W135, Z135),0))</f>
        <v>0</v>
      </c>
      <c r="BE135" s="735">
        <f>IF($E$36=$D$36,IF(AW135=2,Fall2xzul(AX135,AZ135,BL135,R135,AA135),0),IF(AW135=2,Fall2xzul(AX135,AZ135,BL135,X135,AA135),0))</f>
        <v>0</v>
      </c>
      <c r="BF135" s="735">
        <f t="shared" si="19"/>
        <v>0</v>
      </c>
      <c r="BG135" s="735">
        <f t="shared" si="20"/>
        <v>0</v>
      </c>
      <c r="BH135" s="735">
        <f t="shared" si="21"/>
        <v>0</v>
      </c>
      <c r="BI135" s="735">
        <f t="shared" si="22"/>
        <v>0</v>
      </c>
      <c r="BJ135" s="473">
        <f t="shared" si="93"/>
        <v>20.891891891891891</v>
      </c>
      <c r="BK135" s="491">
        <f t="shared" si="23"/>
        <v>0</v>
      </c>
      <c r="BL135" s="475">
        <f>AbsFeuchte(BJ135,BK135,$N$19)</f>
        <v>0</v>
      </c>
      <c r="BM135" s="735">
        <f t="shared" si="24"/>
        <v>21.017243243243243</v>
      </c>
      <c r="BN135" s="473">
        <f t="shared" si="94"/>
        <v>20.891891891891891</v>
      </c>
      <c r="BO135" s="491">
        <f t="shared" si="25"/>
        <v>0</v>
      </c>
      <c r="BP135" s="475">
        <f t="shared" si="74"/>
        <v>0</v>
      </c>
      <c r="BQ135" s="735">
        <f t="shared" si="26"/>
        <v>21.017243243243243</v>
      </c>
      <c r="BR135" s="473">
        <f t="shared" si="75"/>
        <v>22.216216216216218</v>
      </c>
      <c r="BS135" s="491">
        <f t="shared" si="76"/>
        <v>0</v>
      </c>
      <c r="BT135" s="475">
        <f>AbsFeuchte(BR135,BS135,$N$19)</f>
        <v>0</v>
      </c>
      <c r="BU135" s="576">
        <f>IF($I$21=0,IF(E$13=$S$10,BR135+$N$18,BR135),IF(E$13=$S$10,BR135+$N$18+#REF!,BR135+$I$21))</f>
        <v>22.216216216216218</v>
      </c>
      <c r="BV135" s="736">
        <f t="shared" si="77"/>
        <v>0</v>
      </c>
      <c r="BW135" s="726">
        <f t="shared" si="78"/>
        <v>0</v>
      </c>
      <c r="BX135" s="475">
        <f t="shared" si="95"/>
        <v>0</v>
      </c>
      <c r="BY135" s="475">
        <f t="shared" si="96"/>
        <v>5.3508324324324281</v>
      </c>
      <c r="BZ135" s="475">
        <f t="shared" si="79"/>
        <v>0</v>
      </c>
      <c r="CA135" s="475">
        <f t="shared" si="80"/>
        <v>0</v>
      </c>
      <c r="CB135" s="475">
        <f t="shared" si="27"/>
        <v>0</v>
      </c>
      <c r="CC135" s="475">
        <f t="shared" si="28"/>
        <v>5.3508324324324281</v>
      </c>
      <c r="CD135" s="475">
        <f t="shared" si="29"/>
        <v>0</v>
      </c>
      <c r="CE135" s="621">
        <f t="shared" si="30"/>
        <v>0</v>
      </c>
      <c r="CF135" s="621">
        <f t="shared" si="31"/>
        <v>0</v>
      </c>
      <c r="CG135" s="621">
        <f t="shared" si="32"/>
        <v>0</v>
      </c>
      <c r="CH135" s="573">
        <f t="shared" si="33"/>
        <v>0</v>
      </c>
      <c r="CI135" s="621">
        <f t="shared" si="34"/>
        <v>0</v>
      </c>
      <c r="CJ135" s="621">
        <f t="shared" si="35"/>
        <v>0</v>
      </c>
      <c r="CK135" s="621">
        <f t="shared" si="36"/>
        <v>0</v>
      </c>
      <c r="CL135" s="737">
        <f t="shared" si="37"/>
        <v>0</v>
      </c>
      <c r="CM135" s="738">
        <f t="shared" si="38"/>
        <v>0</v>
      </c>
      <c r="CN135" s="475">
        <f t="shared" si="39"/>
        <v>222</v>
      </c>
      <c r="CO135" s="475">
        <f t="shared" si="40"/>
        <v>222</v>
      </c>
      <c r="CP135" s="475">
        <f t="shared" si="97"/>
        <v>222</v>
      </c>
      <c r="CQ135" s="475">
        <f t="shared" si="41"/>
        <v>-222</v>
      </c>
      <c r="CR135" s="475">
        <f t="shared" si="42"/>
        <v>-222</v>
      </c>
      <c r="CS135" s="475">
        <f t="shared" si="43"/>
        <v>-222</v>
      </c>
      <c r="CT135" s="475">
        <f t="shared" si="44"/>
        <v>0</v>
      </c>
      <c r="CU135" s="475">
        <f t="shared" si="45"/>
        <v>222</v>
      </c>
      <c r="CV135" s="475">
        <f t="shared" si="46"/>
        <v>-222</v>
      </c>
      <c r="CW135" s="475">
        <f t="shared" si="98"/>
        <v>0</v>
      </c>
      <c r="CX135" s="573">
        <f t="shared" si="99"/>
        <v>0</v>
      </c>
      <c r="CY135" s="475">
        <f t="shared" si="81"/>
        <v>20.891891891891891</v>
      </c>
      <c r="CZ135" s="475">
        <f t="shared" si="100"/>
        <v>20.891891891891891</v>
      </c>
      <c r="DA135" s="475">
        <v>-11</v>
      </c>
      <c r="DB135" s="739">
        <f t="shared" si="82"/>
        <v>15.955563444498802</v>
      </c>
      <c r="DC135" s="740">
        <f t="shared" si="47"/>
        <v>13.500861376114372</v>
      </c>
    </row>
    <row r="136" spans="1:107" s="619" customFormat="1" ht="12" customHeight="1">
      <c r="A136" s="732">
        <v>-10</v>
      </c>
      <c r="B136" s="917">
        <f>Klimadaten!O20/8760*$K$68</f>
        <v>2.6712328767123288</v>
      </c>
      <c r="C136" s="762">
        <f>Klimadaten!Q20</f>
        <v>1.5015163465752519</v>
      </c>
      <c r="D136" s="763">
        <f>Klimadaten!N20</f>
        <v>0.88166666666666671</v>
      </c>
      <c r="E136" s="491">
        <f t="shared" si="48"/>
        <v>8.5006474632293924E-2</v>
      </c>
      <c r="F136" s="438">
        <f t="shared" si="49"/>
        <v>0</v>
      </c>
      <c r="G136" s="733">
        <f t="shared" si="9"/>
        <v>-10</v>
      </c>
      <c r="H136" s="527">
        <f t="shared" si="50"/>
        <v>30.864864864864863</v>
      </c>
      <c r="I136" s="733">
        <f t="shared" si="51"/>
        <v>15.816216216216219</v>
      </c>
      <c r="J136" s="473">
        <f t="shared" si="52"/>
        <v>15.816216216216219</v>
      </c>
      <c r="K136" s="491">
        <f t="shared" si="53"/>
        <v>0.8</v>
      </c>
      <c r="L136" s="473">
        <f t="shared" si="54"/>
        <v>15.816216216216219</v>
      </c>
      <c r="M136" s="473">
        <f t="shared" si="83"/>
        <v>1.5015163465752519</v>
      </c>
      <c r="N136" s="473">
        <f t="shared" si="84"/>
        <v>19.711478657478853</v>
      </c>
      <c r="O136" s="473">
        <f t="shared" si="55"/>
        <v>19.711478657478853</v>
      </c>
      <c r="P136" s="734">
        <f t="shared" si="10"/>
        <v>0</v>
      </c>
      <c r="Q136" s="473">
        <f t="shared" si="85"/>
        <v>15.816216216216219</v>
      </c>
      <c r="R136" s="475">
        <f t="shared" si="101"/>
        <v>1.5015163465752519</v>
      </c>
      <c r="S136" s="473">
        <f t="shared" si="86"/>
        <v>19.711478657478853</v>
      </c>
      <c r="T136" s="473">
        <f t="shared" si="11"/>
        <v>15.816216216216219</v>
      </c>
      <c r="U136" s="473">
        <f t="shared" si="12"/>
        <v>15.816216216216219</v>
      </c>
      <c r="V136" s="734">
        <f t="shared" si="13"/>
        <v>0</v>
      </c>
      <c r="W136" s="473">
        <f t="shared" si="56"/>
        <v>15.816216216216219</v>
      </c>
      <c r="X136" s="475">
        <f t="shared" si="57"/>
        <v>1.5015163465752519</v>
      </c>
      <c r="Y136" s="735">
        <f t="shared" si="58"/>
        <v>19.711478657478853</v>
      </c>
      <c r="Z136" s="475">
        <f t="shared" si="59"/>
        <v>9</v>
      </c>
      <c r="AA136" s="475">
        <f>IF($E$36=$D$36,MIN(AbsFeuchte(Z136,100%,$N$19),R136),MIN(AbsFeuchte(Z136,100%,$N$19),X136))</f>
        <v>1.5015163465752519</v>
      </c>
      <c r="AB136" s="735">
        <f t="shared" si="60"/>
        <v>12.835328676234319</v>
      </c>
      <c r="AC136" s="475">
        <f t="shared" si="61"/>
        <v>9</v>
      </c>
      <c r="AD136" s="475">
        <v>14</v>
      </c>
      <c r="AE136" s="735">
        <f t="shared" si="62"/>
        <v>44.310760000000002</v>
      </c>
      <c r="AF136" s="735">
        <f t="shared" si="63"/>
        <v>9</v>
      </c>
      <c r="AG136" s="735">
        <f t="shared" si="87"/>
        <v>9.9999999999999992E+22</v>
      </c>
      <c r="AH136" s="475">
        <f t="shared" si="88"/>
        <v>15.816216216216219</v>
      </c>
      <c r="AI136" s="475">
        <f t="shared" si="64"/>
        <v>1.5015163465752517</v>
      </c>
      <c r="AJ136" s="735">
        <f t="shared" si="65"/>
        <v>19.711478657478853</v>
      </c>
      <c r="AK136" s="475">
        <f t="shared" si="66"/>
        <v>15.816216216216219</v>
      </c>
      <c r="AL136" s="475">
        <f t="shared" si="67"/>
        <v>1.5015163465752519</v>
      </c>
      <c r="AM136" s="735">
        <f t="shared" si="68"/>
        <v>19.711478657478853</v>
      </c>
      <c r="AN136" s="475">
        <f t="shared" si="89"/>
        <v>20.864864864864867</v>
      </c>
      <c r="AO136" s="475">
        <f t="shared" si="69"/>
        <v>1.5015163465752519</v>
      </c>
      <c r="AP136" s="735">
        <f t="shared" si="90"/>
        <v>24.804519166981144</v>
      </c>
      <c r="AQ136" s="475" t="e">
        <f t="shared" ca="1" si="14"/>
        <v>#NAME?</v>
      </c>
      <c r="AR136" s="475">
        <f t="shared" si="91"/>
        <v>1.5015163465752517</v>
      </c>
      <c r="AS136" s="735" t="e">
        <f t="shared" ca="1" si="15"/>
        <v>#VALUE!</v>
      </c>
      <c r="AT136" s="475">
        <f t="shared" si="92"/>
        <v>20.864864864864863</v>
      </c>
      <c r="AU136" s="475">
        <f t="shared" si="16"/>
        <v>1.5015163465752519</v>
      </c>
      <c r="AV136" s="735">
        <f t="shared" si="17"/>
        <v>24.804519166981144</v>
      </c>
      <c r="AW136" s="529">
        <f t="shared" si="70"/>
        <v>1</v>
      </c>
      <c r="AX136" s="735">
        <f t="shared" si="71"/>
        <v>1</v>
      </c>
      <c r="AY136" s="735">
        <f t="shared" si="18"/>
        <v>1</v>
      </c>
      <c r="AZ136" s="735">
        <f t="shared" si="72"/>
        <v>1</v>
      </c>
      <c r="BA136" s="735">
        <f t="shared" si="73"/>
        <v>1</v>
      </c>
      <c r="BB136" s="735">
        <f>IF($E$36=$D$36,IF(AW136=1,Fall1Tzul(AX136,AY136,BJ136,Q136),0),IF(AW136=1,Fall1Tzul(AX136,AY136,BJ136,W136),0))</f>
        <v>20.864864864864863</v>
      </c>
      <c r="BC136" s="735">
        <f>IF($E$36=$D$36,IF(AW136=1,Fall1xzul(AX136,AY136,BL136,R136),0),IF(AW136=1,Fall1xzul(AX136,AY136,BL136,X136),0))</f>
        <v>1.5015163465752517</v>
      </c>
      <c r="BD136" s="735">
        <f>IF($E$36=$D$36,IF(AW136=2,Fall2Tzul(AX136, AZ136, BJ136,Q136, Z136),0),IF(AW136=2,Fall2Tzul(AX136, AZ136, BJ136,W136, Z136),0))</f>
        <v>0</v>
      </c>
      <c r="BE136" s="735">
        <f>IF($E$36=$D$36,IF(AW136=2,Fall2xzul(AX136,AZ136,BL136,R136,AA136),0),IF(AW136=2,Fall2xzul(AX136,AZ136,BL136,X136,AA136),0))</f>
        <v>0</v>
      </c>
      <c r="BF136" s="735">
        <f t="shared" si="19"/>
        <v>0</v>
      </c>
      <c r="BG136" s="735">
        <f t="shared" si="20"/>
        <v>0</v>
      </c>
      <c r="BH136" s="735">
        <f t="shared" si="21"/>
        <v>0</v>
      </c>
      <c r="BI136" s="735">
        <f t="shared" si="22"/>
        <v>0</v>
      </c>
      <c r="BJ136" s="473">
        <f t="shared" si="93"/>
        <v>20.864864864864863</v>
      </c>
      <c r="BK136" s="491">
        <f t="shared" si="23"/>
        <v>9.2641495419131026E-2</v>
      </c>
      <c r="BL136" s="475">
        <f>AbsFeuchte(BJ136,BK136,$N$19)</f>
        <v>1.5015163465752517</v>
      </c>
      <c r="BM136" s="735">
        <f t="shared" si="24"/>
        <v>24.804519166981144</v>
      </c>
      <c r="BN136" s="473">
        <f t="shared" si="94"/>
        <v>20.864864864864863</v>
      </c>
      <c r="BO136" s="491">
        <f t="shared" si="25"/>
        <v>9.2641495419131026E-2</v>
      </c>
      <c r="BP136" s="475">
        <f t="shared" si="74"/>
        <v>1.5015163465752517</v>
      </c>
      <c r="BQ136" s="735">
        <f t="shared" si="26"/>
        <v>24.804519166981144</v>
      </c>
      <c r="BR136" s="473">
        <f t="shared" si="75"/>
        <v>22.27027027027027</v>
      </c>
      <c r="BS136" s="491">
        <f t="shared" si="76"/>
        <v>8.5006474632293924E-2</v>
      </c>
      <c r="BT136" s="475">
        <f>AbsFeuchte(BR136,BS136,$N$19)</f>
        <v>1.5015163465752517</v>
      </c>
      <c r="BU136" s="576">
        <f>IF($I$21=0,IF(E$13=$S$10,BR136+$N$18,BR136),IF(E$13=$S$10,BR136+$N$18+#REF!,BR136+$I$21))</f>
        <v>22.27027027027027</v>
      </c>
      <c r="BV136" s="736">
        <f t="shared" si="77"/>
        <v>8.500647463229391E-2</v>
      </c>
      <c r="BW136" s="726">
        <f t="shared" si="78"/>
        <v>1.5015163465752517</v>
      </c>
      <c r="BX136" s="475">
        <f t="shared" si="95"/>
        <v>0</v>
      </c>
      <c r="BY136" s="475">
        <f t="shared" si="96"/>
        <v>5.0930405095022913</v>
      </c>
      <c r="BZ136" s="475">
        <f t="shared" si="79"/>
        <v>0</v>
      </c>
      <c r="CA136" s="475">
        <f t="shared" si="80"/>
        <v>0</v>
      </c>
      <c r="CB136" s="475">
        <f t="shared" si="27"/>
        <v>0</v>
      </c>
      <c r="CC136" s="475">
        <f t="shared" si="28"/>
        <v>5.0930405095022913</v>
      </c>
      <c r="CD136" s="475">
        <f t="shared" si="29"/>
        <v>0</v>
      </c>
      <c r="CE136" s="621">
        <f t="shared" si="30"/>
        <v>0</v>
      </c>
      <c r="CF136" s="621">
        <f t="shared" si="31"/>
        <v>0</v>
      </c>
      <c r="CG136" s="621">
        <f t="shared" si="32"/>
        <v>0</v>
      </c>
      <c r="CH136" s="573">
        <f t="shared" si="33"/>
        <v>0</v>
      </c>
      <c r="CI136" s="621">
        <f t="shared" si="34"/>
        <v>0</v>
      </c>
      <c r="CJ136" s="621">
        <f t="shared" si="35"/>
        <v>0</v>
      </c>
      <c r="CK136" s="621">
        <f t="shared" si="36"/>
        <v>1.6598150339354214E-2</v>
      </c>
      <c r="CL136" s="737">
        <f t="shared" si="37"/>
        <v>2.6051053432155078E-15</v>
      </c>
      <c r="CM136" s="738">
        <f t="shared" si="38"/>
        <v>0</v>
      </c>
      <c r="CN136" s="475">
        <f t="shared" si="39"/>
        <v>9.2641495419131026E-2</v>
      </c>
      <c r="CO136" s="475">
        <f t="shared" si="40"/>
        <v>9.2641495419131026E-2</v>
      </c>
      <c r="CP136" s="475">
        <f t="shared" si="97"/>
        <v>15.816216216216219</v>
      </c>
      <c r="CQ136" s="475">
        <f t="shared" si="41"/>
        <v>15.816216216216219</v>
      </c>
      <c r="CR136" s="475">
        <f t="shared" si="42"/>
        <v>5.0930405095022913</v>
      </c>
      <c r="CS136" s="475">
        <f t="shared" si="43"/>
        <v>0</v>
      </c>
      <c r="CT136" s="475">
        <f t="shared" si="44"/>
        <v>1.8332289628180041E-2</v>
      </c>
      <c r="CU136" s="475">
        <f t="shared" si="45"/>
        <v>20.864864864864863</v>
      </c>
      <c r="CV136" s="475">
        <f t="shared" si="46"/>
        <v>20.864864864864863</v>
      </c>
      <c r="CW136" s="475">
        <f t="shared" si="98"/>
        <v>3.4930439967534255E-2</v>
      </c>
      <c r="CX136" s="573">
        <f t="shared" si="99"/>
        <v>-2.6051053432155078E-15</v>
      </c>
      <c r="CY136" s="475">
        <f t="shared" si="81"/>
        <v>20.864864864864863</v>
      </c>
      <c r="CZ136" s="475">
        <f t="shared" si="100"/>
        <v>20.864864864864863</v>
      </c>
      <c r="DA136" s="475">
        <v>-10</v>
      </c>
      <c r="DB136" s="739">
        <f t="shared" si="82"/>
        <v>15.955563444498802</v>
      </c>
      <c r="DC136" s="740">
        <f t="shared" si="47"/>
        <v>12.273510341922156</v>
      </c>
    </row>
    <row r="137" spans="1:107" s="619" customFormat="1" ht="12" customHeight="1">
      <c r="A137" s="732">
        <v>-9</v>
      </c>
      <c r="B137" s="917">
        <f>Klimadaten!O21/8760*$K$68</f>
        <v>20.034246575342465</v>
      </c>
      <c r="C137" s="762">
        <f>Klimadaten!Q21</f>
        <v>1.6443161150095276</v>
      </c>
      <c r="D137" s="763">
        <f>Klimadaten!N21</f>
        <v>0.88355555555555554</v>
      </c>
      <c r="E137" s="491">
        <f t="shared" si="48"/>
        <v>9.2763937540883384E-2</v>
      </c>
      <c r="F137" s="438">
        <f t="shared" si="49"/>
        <v>0</v>
      </c>
      <c r="G137" s="733">
        <f t="shared" si="9"/>
        <v>-9</v>
      </c>
      <c r="H137" s="527">
        <f t="shared" si="50"/>
        <v>29.837837837837839</v>
      </c>
      <c r="I137" s="733">
        <f t="shared" si="51"/>
        <v>16.059459459459461</v>
      </c>
      <c r="J137" s="473">
        <f t="shared" si="52"/>
        <v>16.059459459459461</v>
      </c>
      <c r="K137" s="491">
        <f t="shared" si="53"/>
        <v>0.8</v>
      </c>
      <c r="L137" s="473">
        <f t="shared" si="54"/>
        <v>16.059459459459461</v>
      </c>
      <c r="M137" s="473">
        <f t="shared" si="83"/>
        <v>1.6443161150095276</v>
      </c>
      <c r="N137" s="473">
        <f t="shared" si="84"/>
        <v>20.318354109580859</v>
      </c>
      <c r="O137" s="473">
        <f t="shared" si="55"/>
        <v>20.318354109580859</v>
      </c>
      <c r="P137" s="734">
        <f t="shared" si="10"/>
        <v>0</v>
      </c>
      <c r="Q137" s="473">
        <f t="shared" si="85"/>
        <v>16.059459459459461</v>
      </c>
      <c r="R137" s="475">
        <f t="shared" si="101"/>
        <v>1.6443161150095276</v>
      </c>
      <c r="S137" s="473">
        <f t="shared" si="86"/>
        <v>20.318354109580859</v>
      </c>
      <c r="T137" s="473">
        <f t="shared" si="11"/>
        <v>16.059459459459461</v>
      </c>
      <c r="U137" s="473">
        <f t="shared" si="12"/>
        <v>16.059459459459461</v>
      </c>
      <c r="V137" s="734">
        <f t="shared" si="13"/>
        <v>0</v>
      </c>
      <c r="W137" s="473">
        <f t="shared" si="56"/>
        <v>16.059459459459461</v>
      </c>
      <c r="X137" s="475">
        <f t="shared" si="57"/>
        <v>1.6443161150095276</v>
      </c>
      <c r="Y137" s="735">
        <f t="shared" si="58"/>
        <v>20.318354109580859</v>
      </c>
      <c r="Z137" s="475">
        <f t="shared" si="59"/>
        <v>9</v>
      </c>
      <c r="AA137" s="475">
        <f>IF($E$36=$D$36,MIN(AbsFeuchte(Z137,100%,$N$19),R137),MIN(AbsFeuchte(Z137,100%,$N$19),X137))</f>
        <v>1.6443161150095276</v>
      </c>
      <c r="AB137" s="735">
        <f t="shared" si="60"/>
        <v>13.194947045073093</v>
      </c>
      <c r="AC137" s="475">
        <f t="shared" si="61"/>
        <v>9</v>
      </c>
      <c r="AD137" s="475">
        <v>15</v>
      </c>
      <c r="AE137" s="735">
        <f t="shared" si="62"/>
        <v>46.829099999999997</v>
      </c>
      <c r="AF137" s="735">
        <f t="shared" si="63"/>
        <v>9</v>
      </c>
      <c r="AG137" s="735">
        <f t="shared" si="87"/>
        <v>9.9999999999999992E+22</v>
      </c>
      <c r="AH137" s="475">
        <f t="shared" si="88"/>
        <v>16.059459459459461</v>
      </c>
      <c r="AI137" s="475">
        <f t="shared" si="64"/>
        <v>1.644316115009528</v>
      </c>
      <c r="AJ137" s="735">
        <f t="shared" si="65"/>
        <v>20.318354109580859</v>
      </c>
      <c r="AK137" s="475">
        <f t="shared" si="66"/>
        <v>16.059459459459461</v>
      </c>
      <c r="AL137" s="475">
        <f t="shared" si="67"/>
        <v>1.6443161150095276</v>
      </c>
      <c r="AM137" s="735">
        <f t="shared" si="68"/>
        <v>20.318354109580859</v>
      </c>
      <c r="AN137" s="475">
        <f t="shared" si="89"/>
        <v>20.837837837837842</v>
      </c>
      <c r="AO137" s="475">
        <f t="shared" si="69"/>
        <v>1.6443161150095276</v>
      </c>
      <c r="AP137" s="735">
        <f t="shared" si="90"/>
        <v>25.140017084331905</v>
      </c>
      <c r="AQ137" s="475" t="e">
        <f t="shared" ca="1" si="14"/>
        <v>#NAME?</v>
      </c>
      <c r="AR137" s="475">
        <f t="shared" si="91"/>
        <v>1.644316115009528</v>
      </c>
      <c r="AS137" s="735" t="e">
        <f t="shared" ca="1" si="15"/>
        <v>#VALUE!</v>
      </c>
      <c r="AT137" s="475">
        <f t="shared" si="92"/>
        <v>20.837837837837839</v>
      </c>
      <c r="AU137" s="475">
        <f t="shared" si="16"/>
        <v>1.6443161150095276</v>
      </c>
      <c r="AV137" s="735">
        <f t="shared" si="17"/>
        <v>25.140017084331905</v>
      </c>
      <c r="AW137" s="529">
        <f t="shared" si="70"/>
        <v>1</v>
      </c>
      <c r="AX137" s="735">
        <f t="shared" si="71"/>
        <v>1</v>
      </c>
      <c r="AY137" s="735">
        <f t="shared" si="18"/>
        <v>1</v>
      </c>
      <c r="AZ137" s="735">
        <f t="shared" si="72"/>
        <v>1</v>
      </c>
      <c r="BA137" s="735">
        <f t="shared" si="73"/>
        <v>1</v>
      </c>
      <c r="BB137" s="735">
        <f>IF($E$36=$D$36,IF(AW137=1,Fall1Tzul(AX137,AY137,BJ137,Q137),0),IF(AW137=1,Fall1Tzul(AX137,AY137,BJ137,W137),0))</f>
        <v>20.837837837837839</v>
      </c>
      <c r="BC137" s="735">
        <f>IF($E$36=$D$36,IF(AW137=1,Fall1xzul(AX137,AY137,BL137,R137),0),IF(AW137=1,Fall1xzul(AX137,AY137,BL137,X137),0))</f>
        <v>1.644316115009528</v>
      </c>
      <c r="BD137" s="735">
        <f>IF($E$36=$D$36,IF(AW137=2,Fall2Tzul(AX137, AZ137, BJ137,Q137, Z137),0),IF(AW137=2,Fall2Tzul(AX137, AZ137, BJ137,W137, Z137),0))</f>
        <v>0</v>
      </c>
      <c r="BE137" s="735">
        <f>IF($E$36=$D$36,IF(AW137=2,Fall2xzul(AX137,AZ137,BL137,R137,AA137),0),IF(AW137=2,Fall2xzul(AX137,AZ137,BL137,X137,AA137),0))</f>
        <v>0</v>
      </c>
      <c r="BF137" s="735">
        <f t="shared" si="19"/>
        <v>0</v>
      </c>
      <c r="BG137" s="735">
        <f t="shared" si="20"/>
        <v>0</v>
      </c>
      <c r="BH137" s="735">
        <f t="shared" si="21"/>
        <v>0</v>
      </c>
      <c r="BI137" s="735">
        <f t="shared" si="22"/>
        <v>0</v>
      </c>
      <c r="BJ137" s="473">
        <f t="shared" si="93"/>
        <v>20.837837837837839</v>
      </c>
      <c r="BK137" s="491">
        <f t="shared" si="23"/>
        <v>0.1015976492358132</v>
      </c>
      <c r="BL137" s="475">
        <f>AbsFeuchte(BJ137,BK137,$N$19)</f>
        <v>1.644316115009528</v>
      </c>
      <c r="BM137" s="735">
        <f t="shared" si="24"/>
        <v>25.140017084331905</v>
      </c>
      <c r="BN137" s="473">
        <f t="shared" si="94"/>
        <v>20.837837837837839</v>
      </c>
      <c r="BO137" s="491">
        <f t="shared" si="25"/>
        <v>0.10159764923581321</v>
      </c>
      <c r="BP137" s="475">
        <f t="shared" si="74"/>
        <v>1.644316115009528</v>
      </c>
      <c r="BQ137" s="735">
        <f t="shared" si="26"/>
        <v>25.140017084331905</v>
      </c>
      <c r="BR137" s="473">
        <f t="shared" si="75"/>
        <v>22.324324324324323</v>
      </c>
      <c r="BS137" s="491">
        <f t="shared" si="76"/>
        <v>9.2763937540883384E-2</v>
      </c>
      <c r="BT137" s="475">
        <f>AbsFeuchte(BR137,BS137,$N$19)</f>
        <v>1.6443161150095278</v>
      </c>
      <c r="BU137" s="576">
        <f>IF($I$21=0,IF(E$13=$S$10,BR137+$N$18,BR137),IF(E$13=$S$10,BR137+$N$18+#REF!,BR137+$I$21))</f>
        <v>22.324324324324323</v>
      </c>
      <c r="BV137" s="736">
        <f t="shared" si="77"/>
        <v>9.2763937540883398E-2</v>
      </c>
      <c r="BW137" s="726">
        <f t="shared" si="78"/>
        <v>1.6443161150095278</v>
      </c>
      <c r="BX137" s="475">
        <f t="shared" si="95"/>
        <v>0</v>
      </c>
      <c r="BY137" s="475">
        <f t="shared" si="96"/>
        <v>4.821662974751046</v>
      </c>
      <c r="BZ137" s="475">
        <f t="shared" si="79"/>
        <v>0</v>
      </c>
      <c r="CA137" s="475">
        <f t="shared" si="80"/>
        <v>0</v>
      </c>
      <c r="CB137" s="475">
        <f t="shared" si="27"/>
        <v>0</v>
      </c>
      <c r="CC137" s="475">
        <f t="shared" si="28"/>
        <v>4.821662974751046</v>
      </c>
      <c r="CD137" s="475">
        <f t="shared" si="29"/>
        <v>0</v>
      </c>
      <c r="CE137" s="621">
        <f t="shared" si="30"/>
        <v>0</v>
      </c>
      <c r="CF137" s="621">
        <f t="shared" si="31"/>
        <v>0</v>
      </c>
      <c r="CG137" s="621">
        <f t="shared" si="32"/>
        <v>0</v>
      </c>
      <c r="CH137" s="573">
        <f t="shared" si="33"/>
        <v>3.9076580148232618E-14</v>
      </c>
      <c r="CI137" s="621">
        <f t="shared" si="34"/>
        <v>2.8581261996753139E-17</v>
      </c>
      <c r="CJ137" s="621">
        <f t="shared" si="35"/>
        <v>0</v>
      </c>
      <c r="CK137" s="621">
        <f t="shared" si="36"/>
        <v>0.11785300959902917</v>
      </c>
      <c r="CL137" s="737">
        <f t="shared" si="37"/>
        <v>0</v>
      </c>
      <c r="CM137" s="738">
        <f t="shared" si="38"/>
        <v>0</v>
      </c>
      <c r="CN137" s="475">
        <f t="shared" si="39"/>
        <v>0.1015976492358132</v>
      </c>
      <c r="CO137" s="475">
        <f t="shared" si="40"/>
        <v>0.10159764923581321</v>
      </c>
      <c r="CP137" s="475">
        <f t="shared" si="97"/>
        <v>16.059459459459461</v>
      </c>
      <c r="CQ137" s="475">
        <f t="shared" si="41"/>
        <v>16.059459459459461</v>
      </c>
      <c r="CR137" s="475">
        <f t="shared" si="42"/>
        <v>4.821662974751046</v>
      </c>
      <c r="CS137" s="475">
        <f t="shared" si="43"/>
        <v>0</v>
      </c>
      <c r="CT137" s="475">
        <f t="shared" si="44"/>
        <v>0.13749217221135029</v>
      </c>
      <c r="CU137" s="475">
        <f t="shared" si="45"/>
        <v>20.837837837837839</v>
      </c>
      <c r="CV137" s="475">
        <f t="shared" si="46"/>
        <v>20.837837837837839</v>
      </c>
      <c r="CW137" s="475">
        <f t="shared" si="98"/>
        <v>0.25534518181037946</v>
      </c>
      <c r="CX137" s="573">
        <f t="shared" si="99"/>
        <v>0</v>
      </c>
      <c r="CY137" s="475">
        <f t="shared" si="81"/>
        <v>20.837837837837839</v>
      </c>
      <c r="CZ137" s="475">
        <f t="shared" si="100"/>
        <v>20.837837837837839</v>
      </c>
      <c r="DA137" s="475">
        <v>-9</v>
      </c>
      <c r="DB137" s="739">
        <f t="shared" si="82"/>
        <v>15.955563444498802</v>
      </c>
      <c r="DC137" s="740">
        <f t="shared" si="47"/>
        <v>11.04615930772994</v>
      </c>
    </row>
    <row r="138" spans="1:107" s="619" customFormat="1" ht="12" customHeight="1">
      <c r="A138" s="732">
        <v>-8</v>
      </c>
      <c r="B138" s="917">
        <f>Klimadaten!O22/8760*$K$68</f>
        <v>21.36986301369863</v>
      </c>
      <c r="C138" s="762">
        <f>Klimadaten!Q22</f>
        <v>1.7250087090245703</v>
      </c>
      <c r="D138" s="763">
        <f>Klimadaten!N22</f>
        <v>0.84875</v>
      </c>
      <c r="E138" s="491">
        <f t="shared" si="48"/>
        <v>9.6984187769261973E-2</v>
      </c>
      <c r="F138" s="438">
        <f t="shared" si="49"/>
        <v>0</v>
      </c>
      <c r="G138" s="733">
        <f t="shared" si="9"/>
        <v>-8</v>
      </c>
      <c r="H138" s="527">
        <f t="shared" si="50"/>
        <v>28.810810810810811</v>
      </c>
      <c r="I138" s="733">
        <f t="shared" si="51"/>
        <v>16.302702702702703</v>
      </c>
      <c r="J138" s="473">
        <f t="shared" si="52"/>
        <v>16.302702702702703</v>
      </c>
      <c r="K138" s="491">
        <f t="shared" si="53"/>
        <v>0.8</v>
      </c>
      <c r="L138" s="473">
        <f t="shared" si="54"/>
        <v>16.302702702702703</v>
      </c>
      <c r="M138" s="473">
        <f t="shared" si="83"/>
        <v>1.7250087090245703</v>
      </c>
      <c r="N138" s="473">
        <f t="shared" si="84"/>
        <v>20.768108191120394</v>
      </c>
      <c r="O138" s="473">
        <f t="shared" si="55"/>
        <v>20.768108191120394</v>
      </c>
      <c r="P138" s="734">
        <f t="shared" si="10"/>
        <v>0</v>
      </c>
      <c r="Q138" s="473">
        <f t="shared" si="85"/>
        <v>16.302702702702703</v>
      </c>
      <c r="R138" s="475">
        <f t="shared" si="101"/>
        <v>1.7250087090245703</v>
      </c>
      <c r="S138" s="473">
        <f t="shared" si="86"/>
        <v>20.768108191120394</v>
      </c>
      <c r="T138" s="473">
        <f t="shared" si="11"/>
        <v>16.302702702702703</v>
      </c>
      <c r="U138" s="473">
        <f t="shared" si="12"/>
        <v>16.302702702702703</v>
      </c>
      <c r="V138" s="734">
        <f t="shared" si="13"/>
        <v>0</v>
      </c>
      <c r="W138" s="473">
        <f t="shared" si="56"/>
        <v>16.302702702702703</v>
      </c>
      <c r="X138" s="475">
        <f t="shared" si="57"/>
        <v>1.7250087090245703</v>
      </c>
      <c r="Y138" s="735">
        <f t="shared" si="58"/>
        <v>20.768108191120394</v>
      </c>
      <c r="Z138" s="475">
        <f t="shared" si="59"/>
        <v>9</v>
      </c>
      <c r="AA138" s="475">
        <f>IF($E$36=$D$36,MIN(AbsFeuchte(Z138,100%,$N$19),R138),MIN(AbsFeuchte(Z138,100%,$N$19),X138))</f>
        <v>1.7250087090245703</v>
      </c>
      <c r="AB138" s="735">
        <f t="shared" si="60"/>
        <v>13.398158432284937</v>
      </c>
      <c r="AC138" s="475">
        <f t="shared" si="61"/>
        <v>9</v>
      </c>
      <c r="AD138" s="475">
        <v>16</v>
      </c>
      <c r="AE138" s="735">
        <f t="shared" si="62"/>
        <v>49.347439999999999</v>
      </c>
      <c r="AF138" s="735">
        <f t="shared" si="63"/>
        <v>9</v>
      </c>
      <c r="AG138" s="735">
        <f t="shared" si="87"/>
        <v>9.9999999999999992E+22</v>
      </c>
      <c r="AH138" s="475">
        <f t="shared" si="88"/>
        <v>16.302702702702703</v>
      </c>
      <c r="AI138" s="475">
        <f t="shared" si="64"/>
        <v>1.7250087090245698</v>
      </c>
      <c r="AJ138" s="735">
        <f t="shared" si="65"/>
        <v>20.76810819112039</v>
      </c>
      <c r="AK138" s="475">
        <f t="shared" si="66"/>
        <v>16.302702702702703</v>
      </c>
      <c r="AL138" s="475">
        <f t="shared" si="67"/>
        <v>1.7250087090245703</v>
      </c>
      <c r="AM138" s="735">
        <f t="shared" si="68"/>
        <v>20.768108191120394</v>
      </c>
      <c r="AN138" s="475">
        <f t="shared" si="89"/>
        <v>20.810810810810811</v>
      </c>
      <c r="AO138" s="475">
        <f t="shared" si="69"/>
        <v>1.7250087090245703</v>
      </c>
      <c r="AP138" s="735">
        <f t="shared" si="90"/>
        <v>25.317729285767889</v>
      </c>
      <c r="AQ138" s="475" t="e">
        <f t="shared" ca="1" si="14"/>
        <v>#NAME?</v>
      </c>
      <c r="AR138" s="475">
        <f t="shared" si="91"/>
        <v>1.7250087090245698</v>
      </c>
      <c r="AS138" s="735" t="e">
        <f t="shared" ca="1" si="15"/>
        <v>#VALUE!</v>
      </c>
      <c r="AT138" s="475">
        <f t="shared" si="92"/>
        <v>20.810810810810811</v>
      </c>
      <c r="AU138" s="475">
        <f t="shared" si="16"/>
        <v>1.7250087090245703</v>
      </c>
      <c r="AV138" s="735">
        <f t="shared" si="17"/>
        <v>25.317729285767889</v>
      </c>
      <c r="AW138" s="529">
        <f t="shared" si="70"/>
        <v>1</v>
      </c>
      <c r="AX138" s="735">
        <f t="shared" si="71"/>
        <v>1</v>
      </c>
      <c r="AY138" s="735">
        <f t="shared" si="18"/>
        <v>1</v>
      </c>
      <c r="AZ138" s="735">
        <f t="shared" si="72"/>
        <v>1</v>
      </c>
      <c r="BA138" s="735">
        <f t="shared" si="73"/>
        <v>1</v>
      </c>
      <c r="BB138" s="735">
        <f>IF($E$36=$D$36,IF(AW138=1,Fall1Tzul(AX138,AY138,BJ138,Q138),0),IF(AW138=1,Fall1Tzul(AX138,AY138,BJ138,W138),0))</f>
        <v>20.810810810810811</v>
      </c>
      <c r="BC138" s="735">
        <f>IF($E$36=$D$36,IF(AW138=1,Fall1xzul(AX138,AY138,BL138,R138),0),IF(AW138=1,Fall1xzul(AX138,AY138,BL138,X138),0))</f>
        <v>1.7250087090245698</v>
      </c>
      <c r="BD138" s="735">
        <f>IF($E$36=$D$36,IF(AW138=2,Fall2Tzul(AX138, AZ138, BJ138,Q138, Z138),0),IF(AW138=2,Fall2Tzul(AX138, AZ138, BJ138,W138, Z138),0))</f>
        <v>0</v>
      </c>
      <c r="BE138" s="735">
        <f>IF($E$36=$D$36,IF(AW138=2,Fall2xzul(AX138,AZ138,BL138,R138,AA138),0),IF(AW138=2,Fall2xzul(AX138,AZ138,BL138,X138,AA138),0))</f>
        <v>0</v>
      </c>
      <c r="BF138" s="735">
        <f t="shared" si="19"/>
        <v>0</v>
      </c>
      <c r="BG138" s="735">
        <f t="shared" si="20"/>
        <v>0</v>
      </c>
      <c r="BH138" s="735">
        <f t="shared" si="21"/>
        <v>0</v>
      </c>
      <c r="BI138" s="735">
        <f t="shared" si="22"/>
        <v>0</v>
      </c>
      <c r="BJ138" s="473">
        <f t="shared" si="93"/>
        <v>20.810810810810811</v>
      </c>
      <c r="BK138" s="491">
        <f t="shared" si="23"/>
        <v>0.10674705647740221</v>
      </c>
      <c r="BL138" s="475">
        <f>AbsFeuchte(BJ138,BK138,$N$19)</f>
        <v>1.7250087090245698</v>
      </c>
      <c r="BM138" s="735">
        <f t="shared" si="24"/>
        <v>25.317729285767889</v>
      </c>
      <c r="BN138" s="473">
        <f t="shared" si="94"/>
        <v>20.810810810810811</v>
      </c>
      <c r="BO138" s="491">
        <f t="shared" si="25"/>
        <v>0.10674705647740219</v>
      </c>
      <c r="BP138" s="475">
        <f t="shared" si="74"/>
        <v>1.7250087090245698</v>
      </c>
      <c r="BQ138" s="735">
        <f t="shared" si="26"/>
        <v>25.317729285767889</v>
      </c>
      <c r="BR138" s="473">
        <f t="shared" si="75"/>
        <v>22.378378378378379</v>
      </c>
      <c r="BS138" s="491">
        <f t="shared" si="76"/>
        <v>9.6984187769261973E-2</v>
      </c>
      <c r="BT138" s="475">
        <f>AbsFeuchte(BR138,BS138,$N$19)</f>
        <v>1.7250087090245703</v>
      </c>
      <c r="BU138" s="576">
        <f>IF($I$21=0,IF(E$13=$S$10,BR138+$N$18,BR138),IF(E$13=$S$10,BR138+$N$18+#REF!,BR138+$I$21))</f>
        <v>22.378378378378379</v>
      </c>
      <c r="BV138" s="736">
        <f t="shared" si="77"/>
        <v>9.6984187769261973E-2</v>
      </c>
      <c r="BW138" s="726">
        <f t="shared" si="78"/>
        <v>1.7250087090245703</v>
      </c>
      <c r="BX138" s="475">
        <f t="shared" si="95"/>
        <v>0</v>
      </c>
      <c r="BY138" s="475">
        <f t="shared" si="96"/>
        <v>4.5496210946474953</v>
      </c>
      <c r="BZ138" s="475">
        <f t="shared" si="79"/>
        <v>0</v>
      </c>
      <c r="CA138" s="475">
        <f t="shared" si="80"/>
        <v>0</v>
      </c>
      <c r="CB138" s="475">
        <f t="shared" si="27"/>
        <v>0</v>
      </c>
      <c r="CC138" s="475">
        <f t="shared" si="28"/>
        <v>4.5496210946474953</v>
      </c>
      <c r="CD138" s="475">
        <f t="shared" si="29"/>
        <v>0</v>
      </c>
      <c r="CE138" s="621">
        <f t="shared" si="30"/>
        <v>0</v>
      </c>
      <c r="CF138" s="621">
        <f t="shared" si="31"/>
        <v>0</v>
      </c>
      <c r="CG138" s="621">
        <f t="shared" si="32"/>
        <v>0</v>
      </c>
      <c r="CH138" s="573">
        <f t="shared" si="33"/>
        <v>0</v>
      </c>
      <c r="CI138" s="621">
        <f t="shared" si="34"/>
        <v>0</v>
      </c>
      <c r="CJ138" s="621">
        <f t="shared" si="35"/>
        <v>0</v>
      </c>
      <c r="CK138" s="621">
        <f t="shared" si="36"/>
        <v>0.11861723035607431</v>
      </c>
      <c r="CL138" s="737">
        <f t="shared" si="37"/>
        <v>4.1681685491448124E-14</v>
      </c>
      <c r="CM138" s="738">
        <f t="shared" si="38"/>
        <v>0</v>
      </c>
      <c r="CN138" s="475">
        <f t="shared" si="39"/>
        <v>0.10674705647740221</v>
      </c>
      <c r="CO138" s="475">
        <f t="shared" si="40"/>
        <v>0.10674705647740219</v>
      </c>
      <c r="CP138" s="475">
        <f t="shared" si="97"/>
        <v>16.302702702702703</v>
      </c>
      <c r="CQ138" s="475">
        <f t="shared" si="41"/>
        <v>16.302702702702703</v>
      </c>
      <c r="CR138" s="475">
        <f t="shared" si="42"/>
        <v>4.5496210946474953</v>
      </c>
      <c r="CS138" s="475">
        <f t="shared" si="43"/>
        <v>0</v>
      </c>
      <c r="CT138" s="475">
        <f t="shared" si="44"/>
        <v>0.14665831702544033</v>
      </c>
      <c r="CU138" s="475">
        <f t="shared" si="45"/>
        <v>20.810810810810811</v>
      </c>
      <c r="CV138" s="475">
        <f t="shared" si="46"/>
        <v>20.810810810810811</v>
      </c>
      <c r="CW138" s="475">
        <f t="shared" si="98"/>
        <v>0.26527554738151465</v>
      </c>
      <c r="CX138" s="573">
        <f t="shared" si="99"/>
        <v>-4.1681685491448124E-14</v>
      </c>
      <c r="CY138" s="475">
        <f t="shared" si="81"/>
        <v>20.810810810810811</v>
      </c>
      <c r="CZ138" s="475">
        <f t="shared" si="100"/>
        <v>20.810810810810811</v>
      </c>
      <c r="DA138" s="475">
        <v>-8</v>
      </c>
      <c r="DB138" s="739">
        <f t="shared" si="82"/>
        <v>15.955563444498802</v>
      </c>
      <c r="DC138" s="740">
        <f t="shared" si="47"/>
        <v>9.8188082735377247</v>
      </c>
    </row>
    <row r="139" spans="1:107" s="619" customFormat="1" ht="12" customHeight="1">
      <c r="A139" s="732">
        <v>-7</v>
      </c>
      <c r="B139" s="917">
        <f>Klimadaten!O23/8760*$K$68</f>
        <v>30.273972602739725</v>
      </c>
      <c r="C139" s="762">
        <f>Klimadaten!Q23</f>
        <v>1.8427124559848516</v>
      </c>
      <c r="D139" s="763">
        <f>Klimadaten!N23</f>
        <v>0.83058823529411763</v>
      </c>
      <c r="E139" s="491">
        <f t="shared" si="48"/>
        <v>0.10324233668063285</v>
      </c>
      <c r="F139" s="438">
        <f t="shared" si="49"/>
        <v>0</v>
      </c>
      <c r="G139" s="733">
        <f t="shared" si="9"/>
        <v>-7</v>
      </c>
      <c r="H139" s="527">
        <f t="shared" si="50"/>
        <v>27.783783783783782</v>
      </c>
      <c r="I139" s="733">
        <f t="shared" si="51"/>
        <v>16.545945945945945</v>
      </c>
      <c r="J139" s="473">
        <f t="shared" si="52"/>
        <v>16.545945945945945</v>
      </c>
      <c r="K139" s="491">
        <f t="shared" si="53"/>
        <v>0.8</v>
      </c>
      <c r="L139" s="473">
        <f t="shared" si="54"/>
        <v>16.545945945945945</v>
      </c>
      <c r="M139" s="473">
        <f t="shared" si="83"/>
        <v>1.8427124559848516</v>
      </c>
      <c r="N139" s="473">
        <f t="shared" si="84"/>
        <v>21.311661423997926</v>
      </c>
      <c r="O139" s="473">
        <f t="shared" si="55"/>
        <v>21.311661423997926</v>
      </c>
      <c r="P139" s="734">
        <f t="shared" si="10"/>
        <v>0</v>
      </c>
      <c r="Q139" s="473">
        <f t="shared" si="85"/>
        <v>16.545945945945945</v>
      </c>
      <c r="R139" s="475">
        <f t="shared" si="101"/>
        <v>1.8427124559848516</v>
      </c>
      <c r="S139" s="473">
        <f t="shared" si="86"/>
        <v>21.311661423997926</v>
      </c>
      <c r="T139" s="473">
        <f t="shared" si="11"/>
        <v>16.545945945945945</v>
      </c>
      <c r="U139" s="473">
        <f t="shared" si="12"/>
        <v>16.545945945945945</v>
      </c>
      <c r="V139" s="734">
        <f t="shared" si="13"/>
        <v>0</v>
      </c>
      <c r="W139" s="473">
        <f t="shared" si="56"/>
        <v>16.545945945945945</v>
      </c>
      <c r="X139" s="475">
        <f t="shared" si="57"/>
        <v>1.8427124559848516</v>
      </c>
      <c r="Y139" s="735">
        <f t="shared" si="58"/>
        <v>21.311661423997926</v>
      </c>
      <c r="Z139" s="475">
        <f t="shared" si="59"/>
        <v>9</v>
      </c>
      <c r="AA139" s="475">
        <f>IF($E$36=$D$36,MIN(AbsFeuchte(Z139,100%,$N$19),R139),MIN(AbsFeuchte(Z139,100%,$N$19),X139))</f>
        <v>1.8427124559848516</v>
      </c>
      <c r="AB139" s="735">
        <f t="shared" si="60"/>
        <v>13.694576486404891</v>
      </c>
      <c r="AC139" s="475">
        <f t="shared" si="61"/>
        <v>9</v>
      </c>
      <c r="AD139" s="475">
        <v>17</v>
      </c>
      <c r="AE139" s="735">
        <f t="shared" si="62"/>
        <v>51.865780000000001</v>
      </c>
      <c r="AF139" s="735">
        <f t="shared" si="63"/>
        <v>9</v>
      </c>
      <c r="AG139" s="735">
        <f t="shared" si="87"/>
        <v>9.9999999999999992E+22</v>
      </c>
      <c r="AH139" s="475">
        <f t="shared" si="88"/>
        <v>16.545945945945945</v>
      </c>
      <c r="AI139" s="475">
        <f t="shared" si="64"/>
        <v>1.8427124559848524</v>
      </c>
      <c r="AJ139" s="735">
        <f t="shared" si="65"/>
        <v>21.311661423997929</v>
      </c>
      <c r="AK139" s="475">
        <f t="shared" si="66"/>
        <v>16.545945945945945</v>
      </c>
      <c r="AL139" s="475">
        <f t="shared" si="67"/>
        <v>1.8427124559848516</v>
      </c>
      <c r="AM139" s="735">
        <f t="shared" si="68"/>
        <v>21.311661423997926</v>
      </c>
      <c r="AN139" s="475">
        <f t="shared" si="89"/>
        <v>20.783783783783786</v>
      </c>
      <c r="AO139" s="475">
        <f t="shared" si="69"/>
        <v>1.8427124559848516</v>
      </c>
      <c r="AP139" s="735">
        <f t="shared" si="90"/>
        <v>25.589451245683417</v>
      </c>
      <c r="AQ139" s="475" t="e">
        <f t="shared" ca="1" si="14"/>
        <v>#NAME?</v>
      </c>
      <c r="AR139" s="475">
        <f t="shared" si="91"/>
        <v>1.8427124559848524</v>
      </c>
      <c r="AS139" s="735" t="e">
        <f t="shared" ca="1" si="15"/>
        <v>#VALUE!</v>
      </c>
      <c r="AT139" s="475">
        <f t="shared" si="92"/>
        <v>20.783783783783782</v>
      </c>
      <c r="AU139" s="475">
        <f t="shared" si="16"/>
        <v>1.8427124559848516</v>
      </c>
      <c r="AV139" s="735">
        <f t="shared" si="17"/>
        <v>25.589451245683414</v>
      </c>
      <c r="AW139" s="529">
        <f t="shared" si="70"/>
        <v>1</v>
      </c>
      <c r="AX139" s="735">
        <f t="shared" si="71"/>
        <v>1</v>
      </c>
      <c r="AY139" s="735">
        <f t="shared" si="18"/>
        <v>1</v>
      </c>
      <c r="AZ139" s="735">
        <f t="shared" si="72"/>
        <v>1</v>
      </c>
      <c r="BA139" s="735">
        <f t="shared" si="73"/>
        <v>1</v>
      </c>
      <c r="BB139" s="735">
        <f>IF($E$36=$D$36,IF(AW139=1,Fall1Tzul(AX139,AY139,BJ139,Q139),0),IF(AW139=1,Fall1Tzul(AX139,AY139,BJ139,W139),0))</f>
        <v>20.783783783783782</v>
      </c>
      <c r="BC139" s="735">
        <f>IF($E$36=$D$36,IF(AW139=1,Fall1xzul(AX139,AY139,BL139,R139),0),IF(AW139=1,Fall1xzul(AX139,AY139,BL139,X139),0))</f>
        <v>1.8427124559848524</v>
      </c>
      <c r="BD139" s="735">
        <f>IF($E$36=$D$36,IF(AW139=2,Fall2Tzul(AX139, AZ139, BJ139,Q139, Z139),0),IF(AW139=2,Fall2Tzul(AX139, AZ139, BJ139,W139, Z139),0))</f>
        <v>0</v>
      </c>
      <c r="BE139" s="735">
        <f>IF($E$36=$D$36,IF(AW139=2,Fall2xzul(AX139,AZ139,BL139,R139,AA139),0),IF(AW139=2,Fall2xzul(AX139,AZ139,BL139,X139,AA139),0))</f>
        <v>0</v>
      </c>
      <c r="BF139" s="735">
        <f t="shared" si="19"/>
        <v>0</v>
      </c>
      <c r="BG139" s="735">
        <f t="shared" si="20"/>
        <v>0</v>
      </c>
      <c r="BH139" s="735">
        <f t="shared" si="21"/>
        <v>0</v>
      </c>
      <c r="BI139" s="735">
        <f t="shared" si="22"/>
        <v>0</v>
      </c>
      <c r="BJ139" s="473">
        <f t="shared" si="93"/>
        <v>20.783783783783782</v>
      </c>
      <c r="BK139" s="491">
        <f t="shared" si="23"/>
        <v>0.1141991441702556</v>
      </c>
      <c r="BL139" s="475">
        <f>AbsFeuchte(BJ139,BK139,$N$19)</f>
        <v>1.8427124559848524</v>
      </c>
      <c r="BM139" s="735">
        <f t="shared" si="24"/>
        <v>25.589451245683417</v>
      </c>
      <c r="BN139" s="473">
        <f t="shared" si="94"/>
        <v>20.783783783783782</v>
      </c>
      <c r="BO139" s="491">
        <f t="shared" si="25"/>
        <v>0.11419914417025563</v>
      </c>
      <c r="BP139" s="475">
        <f t="shared" si="74"/>
        <v>1.8427124559848524</v>
      </c>
      <c r="BQ139" s="735">
        <f t="shared" si="26"/>
        <v>25.589451245683417</v>
      </c>
      <c r="BR139" s="473">
        <f t="shared" si="75"/>
        <v>22.432432432432432</v>
      </c>
      <c r="BS139" s="491">
        <f t="shared" si="76"/>
        <v>0.10324233668063285</v>
      </c>
      <c r="BT139" s="475">
        <f>AbsFeuchte(BR139,BS139,$N$19)</f>
        <v>1.842712455984852</v>
      </c>
      <c r="BU139" s="576">
        <f>IF($I$21=0,IF(E$13=$S$10,BR139+$N$18,BR139),IF(E$13=$S$10,BR139+$N$18+#REF!,BR139+$I$21))</f>
        <v>22.432432432432432</v>
      </c>
      <c r="BV139" s="736">
        <f t="shared" si="77"/>
        <v>0.10324233668063287</v>
      </c>
      <c r="BW139" s="726">
        <f t="shared" si="78"/>
        <v>1.842712455984852</v>
      </c>
      <c r="BX139" s="475">
        <f t="shared" si="95"/>
        <v>0</v>
      </c>
      <c r="BY139" s="475">
        <f t="shared" si="96"/>
        <v>4.2777898216854915</v>
      </c>
      <c r="BZ139" s="475">
        <f t="shared" si="79"/>
        <v>0</v>
      </c>
      <c r="CA139" s="475">
        <f t="shared" si="80"/>
        <v>0</v>
      </c>
      <c r="CB139" s="475">
        <f t="shared" si="27"/>
        <v>0</v>
      </c>
      <c r="CC139" s="475">
        <f t="shared" si="28"/>
        <v>4.2777898216854879</v>
      </c>
      <c r="CD139" s="475">
        <f t="shared" si="29"/>
        <v>3.5527136788005009E-15</v>
      </c>
      <c r="CE139" s="621">
        <f t="shared" si="30"/>
        <v>0</v>
      </c>
      <c r="CF139" s="621">
        <f t="shared" si="31"/>
        <v>0</v>
      </c>
      <c r="CG139" s="621">
        <f t="shared" si="32"/>
        <v>1.3122012099159596E-16</v>
      </c>
      <c r="CH139" s="573">
        <f t="shared" si="33"/>
        <v>1.1809810889243636E-13</v>
      </c>
      <c r="CI139" s="621">
        <f t="shared" si="34"/>
        <v>8.6378925145742823E-17</v>
      </c>
      <c r="CJ139" s="621">
        <f t="shared" si="35"/>
        <v>0</v>
      </c>
      <c r="CK139" s="621">
        <f t="shared" si="36"/>
        <v>0.15800093920535394</v>
      </c>
      <c r="CL139" s="737">
        <f t="shared" si="37"/>
        <v>0</v>
      </c>
      <c r="CM139" s="738">
        <f t="shared" si="38"/>
        <v>1.3122012099159596E-16</v>
      </c>
      <c r="CN139" s="475">
        <f t="shared" si="39"/>
        <v>0.1141991441702556</v>
      </c>
      <c r="CO139" s="475">
        <f t="shared" si="40"/>
        <v>0.11419914417025563</v>
      </c>
      <c r="CP139" s="475">
        <f t="shared" si="97"/>
        <v>16.545945945945945</v>
      </c>
      <c r="CQ139" s="475">
        <f t="shared" si="41"/>
        <v>16.545945945945945</v>
      </c>
      <c r="CR139" s="475">
        <f t="shared" si="42"/>
        <v>4.2777898216854915</v>
      </c>
      <c r="CS139" s="475">
        <f t="shared" si="43"/>
        <v>0</v>
      </c>
      <c r="CT139" s="475">
        <f t="shared" si="44"/>
        <v>0.20776594911937379</v>
      </c>
      <c r="CU139" s="475">
        <f t="shared" si="45"/>
        <v>20.783783783783782</v>
      </c>
      <c r="CV139" s="475">
        <f t="shared" si="46"/>
        <v>20.783783783783782</v>
      </c>
      <c r="CW139" s="475">
        <f t="shared" si="98"/>
        <v>0.36576688832472787</v>
      </c>
      <c r="CX139" s="573">
        <f t="shared" si="99"/>
        <v>0</v>
      </c>
      <c r="CY139" s="475">
        <f>IF(I139=0,CY140,BJ139)</f>
        <v>20.783783783783782</v>
      </c>
      <c r="CZ139" s="475">
        <f t="shared" si="100"/>
        <v>20.783783783783782</v>
      </c>
      <c r="DA139" s="475">
        <v>-7</v>
      </c>
      <c r="DB139" s="739">
        <f t="shared" si="82"/>
        <v>15.955563444498802</v>
      </c>
      <c r="DC139" s="740">
        <f t="shared" si="47"/>
        <v>8.5914572393455089</v>
      </c>
    </row>
    <row r="140" spans="1:107" s="619" customFormat="1" ht="12" customHeight="1">
      <c r="A140" s="732">
        <v>-6</v>
      </c>
      <c r="B140" s="917">
        <f>Klimadaten!O24/8760*$K$68</f>
        <v>20.034246575342465</v>
      </c>
      <c r="C140" s="762">
        <f>Klimadaten!Q24</f>
        <v>1.8990637446325369</v>
      </c>
      <c r="D140" s="763">
        <f>Klimadaten!N24</f>
        <v>0.78466666666666673</v>
      </c>
      <c r="E140" s="491">
        <f t="shared" si="48"/>
        <v>0.10604097752548136</v>
      </c>
      <c r="F140" s="438">
        <f t="shared" si="49"/>
        <v>0</v>
      </c>
      <c r="G140" s="733">
        <f t="shared" si="9"/>
        <v>-6</v>
      </c>
      <c r="H140" s="527">
        <f t="shared" si="50"/>
        <v>26.756756756756758</v>
      </c>
      <c r="I140" s="733">
        <f t="shared" si="51"/>
        <v>16.789189189189191</v>
      </c>
      <c r="J140" s="473">
        <f t="shared" si="52"/>
        <v>16.789189189189191</v>
      </c>
      <c r="K140" s="491">
        <f t="shared" si="53"/>
        <v>0.8</v>
      </c>
      <c r="L140" s="473">
        <f t="shared" si="54"/>
        <v>16.789189189189191</v>
      </c>
      <c r="M140" s="473">
        <f t="shared" si="83"/>
        <v>1.8990637446325369</v>
      </c>
      <c r="N140" s="473">
        <f t="shared" si="84"/>
        <v>21.699925945210275</v>
      </c>
      <c r="O140" s="473">
        <f t="shared" si="55"/>
        <v>21.699925945210275</v>
      </c>
      <c r="P140" s="734">
        <f t="shared" si="10"/>
        <v>0</v>
      </c>
      <c r="Q140" s="473">
        <f t="shared" si="85"/>
        <v>16.789189189189191</v>
      </c>
      <c r="R140" s="475">
        <f t="shared" si="101"/>
        <v>1.8990637446325369</v>
      </c>
      <c r="S140" s="473">
        <f t="shared" si="86"/>
        <v>21.699925945210275</v>
      </c>
      <c r="T140" s="473">
        <f t="shared" si="11"/>
        <v>16.789189189189191</v>
      </c>
      <c r="U140" s="473">
        <f t="shared" si="12"/>
        <v>16.789189189189191</v>
      </c>
      <c r="V140" s="734">
        <f t="shared" si="13"/>
        <v>0</v>
      </c>
      <c r="W140" s="473">
        <f t="shared" si="56"/>
        <v>16.789189189189191</v>
      </c>
      <c r="X140" s="475">
        <f t="shared" si="57"/>
        <v>1.8990637446325369</v>
      </c>
      <c r="Y140" s="735">
        <f t="shared" si="58"/>
        <v>21.699925945210275</v>
      </c>
      <c r="Z140" s="475">
        <f t="shared" si="59"/>
        <v>9</v>
      </c>
      <c r="AA140" s="475">
        <f>IF($E$36=$D$36,MIN(AbsFeuchte(Z140,100%,$N$19),R140),MIN(AbsFeuchte(Z140,100%,$N$19),X140))</f>
        <v>1.8990637446325369</v>
      </c>
      <c r="AB140" s="735">
        <f t="shared" si="60"/>
        <v>13.836488190657903</v>
      </c>
      <c r="AC140" s="475">
        <f t="shared" si="61"/>
        <v>9</v>
      </c>
      <c r="AD140" s="475">
        <v>18</v>
      </c>
      <c r="AE140" s="735">
        <f t="shared" si="62"/>
        <v>54.384119999999996</v>
      </c>
      <c r="AF140" s="735">
        <f t="shared" si="63"/>
        <v>9</v>
      </c>
      <c r="AG140" s="735">
        <f t="shared" si="87"/>
        <v>9.9999999999999992E+22</v>
      </c>
      <c r="AH140" s="475">
        <f t="shared" si="88"/>
        <v>16.789189189189191</v>
      </c>
      <c r="AI140" s="475">
        <f t="shared" si="64"/>
        <v>1.8990637446325374</v>
      </c>
      <c r="AJ140" s="735">
        <f t="shared" si="65"/>
        <v>21.699925945210278</v>
      </c>
      <c r="AK140" s="475">
        <f t="shared" si="66"/>
        <v>16.789189189189191</v>
      </c>
      <c r="AL140" s="475">
        <f t="shared" si="67"/>
        <v>1.8990637446325369</v>
      </c>
      <c r="AM140" s="735">
        <f t="shared" si="68"/>
        <v>21.699925945210275</v>
      </c>
      <c r="AN140" s="475">
        <f t="shared" si="89"/>
        <v>20.756756756756758</v>
      </c>
      <c r="AO140" s="475">
        <f t="shared" si="69"/>
        <v>1.8990637446325369</v>
      </c>
      <c r="AP140" s="735">
        <f t="shared" si="90"/>
        <v>25.705313392706071</v>
      </c>
      <c r="AQ140" s="475" t="e">
        <f t="shared" ca="1" si="14"/>
        <v>#NAME?</v>
      </c>
      <c r="AR140" s="475">
        <f t="shared" si="91"/>
        <v>1.8990637446325374</v>
      </c>
      <c r="AS140" s="735" t="e">
        <f t="shared" ca="1" si="15"/>
        <v>#VALUE!</v>
      </c>
      <c r="AT140" s="475">
        <f t="shared" si="92"/>
        <v>20.756756756756758</v>
      </c>
      <c r="AU140" s="475">
        <f t="shared" si="16"/>
        <v>1.8990637446325369</v>
      </c>
      <c r="AV140" s="735">
        <f t="shared" si="17"/>
        <v>25.705313392706071</v>
      </c>
      <c r="AW140" s="529">
        <f t="shared" si="70"/>
        <v>1</v>
      </c>
      <c r="AX140" s="735">
        <f t="shared" si="71"/>
        <v>1</v>
      </c>
      <c r="AY140" s="735">
        <f t="shared" si="18"/>
        <v>1</v>
      </c>
      <c r="AZ140" s="735">
        <f t="shared" si="72"/>
        <v>1</v>
      </c>
      <c r="BA140" s="735">
        <f t="shared" si="73"/>
        <v>1</v>
      </c>
      <c r="BB140" s="735">
        <f>IF($E$36=$D$36,IF(AW140=1,Fall1Tzul(AX140,AY140,BJ140,Q140),0),IF(AW140=1,Fall1Tzul(AX140,AY140,BJ140,W140),0))</f>
        <v>20.756756756756758</v>
      </c>
      <c r="BC140" s="735">
        <f>IF($E$36=$D$36,IF(AW140=1,Fall1xzul(AX140,AY140,BL140,R140),0),IF(AW140=1,Fall1xzul(AX140,AY140,BL140,X140),0))</f>
        <v>1.8990637446325374</v>
      </c>
      <c r="BD140" s="735">
        <f>IF($E$36=$D$36,IF(AW140=2,Fall2Tzul(AX140, AZ140, BJ140,Q140, Z140),0),IF(AW140=2,Fall2Tzul(AX140, AZ140, BJ140,W140, Z140),0))</f>
        <v>0</v>
      </c>
      <c r="BE140" s="735">
        <f>IF($E$36=$D$36,IF(AW140=2,Fall2xzul(AX140,AZ140,BL140,R140,AA140),0),IF(AW140=2,Fall2xzul(AX140,AZ140,BL140,X140,AA140),0))</f>
        <v>0</v>
      </c>
      <c r="BF140" s="735">
        <f t="shared" si="19"/>
        <v>0</v>
      </c>
      <c r="BG140" s="735">
        <f t="shared" si="20"/>
        <v>0</v>
      </c>
      <c r="BH140" s="735">
        <f t="shared" si="21"/>
        <v>0</v>
      </c>
      <c r="BI140" s="735">
        <f t="shared" si="22"/>
        <v>0</v>
      </c>
      <c r="BJ140" s="473">
        <f t="shared" si="93"/>
        <v>20.756756756756758</v>
      </c>
      <c r="BK140" s="491">
        <f t="shared" si="23"/>
        <v>0.11787680424501536</v>
      </c>
      <c r="BL140" s="475">
        <f>AbsFeuchte(BJ140,BK140,$N$19)</f>
        <v>1.8990637446325374</v>
      </c>
      <c r="BM140" s="735">
        <f t="shared" si="24"/>
        <v>25.705313392706071</v>
      </c>
      <c r="BN140" s="473">
        <f t="shared" si="94"/>
        <v>20.756756756756758</v>
      </c>
      <c r="BO140" s="491">
        <f t="shared" si="25"/>
        <v>0.11787680424501536</v>
      </c>
      <c r="BP140" s="475">
        <f t="shared" si="74"/>
        <v>1.8990637446325374</v>
      </c>
      <c r="BQ140" s="735">
        <f t="shared" si="26"/>
        <v>25.705313392706071</v>
      </c>
      <c r="BR140" s="473">
        <f t="shared" si="75"/>
        <v>22.486486486486488</v>
      </c>
      <c r="BS140" s="491">
        <f t="shared" si="76"/>
        <v>0.10604097752548136</v>
      </c>
      <c r="BT140" s="475">
        <f>AbsFeuchte(BR140,BS140,$N$19)</f>
        <v>1.8990637446325374</v>
      </c>
      <c r="BU140" s="576">
        <f>IF($I$21=0,IF(E$13=$S$10,BR140+$N$18,BR140),IF(E$13=$S$10,BR140+$N$18+#REF!,BR140+$I$21))</f>
        <v>22.486486486486488</v>
      </c>
      <c r="BV140" s="736">
        <f t="shared" si="77"/>
        <v>0.10604097752548139</v>
      </c>
      <c r="BW140" s="726">
        <f t="shared" si="78"/>
        <v>1.8990637446325374</v>
      </c>
      <c r="BX140" s="475">
        <f t="shared" si="95"/>
        <v>0</v>
      </c>
      <c r="BY140" s="475">
        <f t="shared" si="96"/>
        <v>4.0053874474957958</v>
      </c>
      <c r="BZ140" s="475">
        <f t="shared" si="79"/>
        <v>0</v>
      </c>
      <c r="CA140" s="475">
        <f t="shared" si="80"/>
        <v>0</v>
      </c>
      <c r="CB140" s="475">
        <f t="shared" si="27"/>
        <v>0</v>
      </c>
      <c r="CC140" s="475">
        <f t="shared" si="28"/>
        <v>4.0053874474957958</v>
      </c>
      <c r="CD140" s="475">
        <f t="shared" si="29"/>
        <v>0</v>
      </c>
      <c r="CE140" s="621">
        <f t="shared" si="30"/>
        <v>0</v>
      </c>
      <c r="CF140" s="621">
        <f t="shared" si="31"/>
        <v>0</v>
      </c>
      <c r="CG140" s="621">
        <f t="shared" si="32"/>
        <v>0</v>
      </c>
      <c r="CH140" s="573">
        <f t="shared" si="33"/>
        <v>3.9076580148232618E-14</v>
      </c>
      <c r="CI140" s="621">
        <f t="shared" si="34"/>
        <v>2.8581261996753139E-17</v>
      </c>
      <c r="CJ140" s="621">
        <f t="shared" si="35"/>
        <v>0</v>
      </c>
      <c r="CK140" s="621">
        <f t="shared" si="36"/>
        <v>9.7901277581916829E-2</v>
      </c>
      <c r="CL140" s="737">
        <f t="shared" si="37"/>
        <v>0</v>
      </c>
      <c r="CM140" s="738">
        <f t="shared" si="38"/>
        <v>0</v>
      </c>
      <c r="CN140" s="475">
        <f t="shared" si="39"/>
        <v>0.11787680424501536</v>
      </c>
      <c r="CO140" s="475">
        <f t="shared" si="40"/>
        <v>0.11787680424501536</v>
      </c>
      <c r="CP140" s="475">
        <f t="shared" si="97"/>
        <v>16.789189189189191</v>
      </c>
      <c r="CQ140" s="475">
        <f t="shared" si="41"/>
        <v>16.789189189189191</v>
      </c>
      <c r="CR140" s="475">
        <f t="shared" si="42"/>
        <v>4.0053874474957958</v>
      </c>
      <c r="CS140" s="475">
        <f t="shared" si="43"/>
        <v>0</v>
      </c>
      <c r="CT140" s="475">
        <f t="shared" si="44"/>
        <v>0.13749217221135029</v>
      </c>
      <c r="CU140" s="475">
        <f t="shared" si="45"/>
        <v>20.756756756756758</v>
      </c>
      <c r="CV140" s="475">
        <f t="shared" si="46"/>
        <v>20.756756756756758</v>
      </c>
      <c r="CW140" s="475">
        <f t="shared" si="98"/>
        <v>0.23539344979326712</v>
      </c>
      <c r="CX140" s="573">
        <f t="shared" si="99"/>
        <v>0</v>
      </c>
      <c r="CY140" s="475">
        <f t="shared" ref="CY140:CY181" si="102">IF(I140=0,CY141,BJ140)</f>
        <v>20.756756756756758</v>
      </c>
      <c r="CZ140" s="475">
        <f t="shared" si="100"/>
        <v>20.756756756756758</v>
      </c>
      <c r="DA140" s="475">
        <v>-6</v>
      </c>
      <c r="DB140" s="739">
        <f t="shared" si="82"/>
        <v>15.955563444498802</v>
      </c>
      <c r="DC140" s="740">
        <f t="shared" si="47"/>
        <v>7.3641062051532939</v>
      </c>
    </row>
    <row r="141" spans="1:107" s="619" customFormat="1" ht="12" customHeight="1">
      <c r="A141" s="732">
        <v>-5</v>
      </c>
      <c r="B141" s="917">
        <f>Klimadaten!O25/8760*$K$68</f>
        <v>25.376712328767123</v>
      </c>
      <c r="C141" s="762">
        <f>Klimadaten!Q25</f>
        <v>2.1295882217699158</v>
      </c>
      <c r="D141" s="763">
        <f>Klimadaten!N25</f>
        <v>0.80684210526315792</v>
      </c>
      <c r="E141" s="491">
        <f t="shared" si="48"/>
        <v>0.11847947585438742</v>
      </c>
      <c r="F141" s="438">
        <f t="shared" si="49"/>
        <v>0</v>
      </c>
      <c r="G141" s="733">
        <f t="shared" si="9"/>
        <v>-5</v>
      </c>
      <c r="H141" s="527">
        <f t="shared" si="50"/>
        <v>25.72972972972973</v>
      </c>
      <c r="I141" s="733">
        <f t="shared" si="51"/>
        <v>17.032432432432433</v>
      </c>
      <c r="J141" s="473">
        <f t="shared" si="52"/>
        <v>17.032432432432433</v>
      </c>
      <c r="K141" s="491">
        <f t="shared" si="53"/>
        <v>0.8</v>
      </c>
      <c r="L141" s="473">
        <f t="shared" si="54"/>
        <v>17.032432432432433</v>
      </c>
      <c r="M141" s="473">
        <f t="shared" si="83"/>
        <v>2.1295882217699158</v>
      </c>
      <c r="N141" s="473">
        <f t="shared" si="84"/>
        <v>22.529470968149578</v>
      </c>
      <c r="O141" s="473">
        <f t="shared" si="55"/>
        <v>22.529470968149578</v>
      </c>
      <c r="P141" s="734">
        <f t="shared" si="10"/>
        <v>0</v>
      </c>
      <c r="Q141" s="473">
        <f t="shared" si="85"/>
        <v>17.032432432432433</v>
      </c>
      <c r="R141" s="475">
        <f t="shared" si="101"/>
        <v>2.1295882217699158</v>
      </c>
      <c r="S141" s="473">
        <f t="shared" si="86"/>
        <v>22.529470968149578</v>
      </c>
      <c r="T141" s="473">
        <f t="shared" si="11"/>
        <v>17.032432432432433</v>
      </c>
      <c r="U141" s="473">
        <f t="shared" si="12"/>
        <v>17.032432432432433</v>
      </c>
      <c r="V141" s="734">
        <f t="shared" si="13"/>
        <v>0</v>
      </c>
      <c r="W141" s="473">
        <f t="shared" si="56"/>
        <v>17.032432432432433</v>
      </c>
      <c r="X141" s="475">
        <f t="shared" si="57"/>
        <v>2.1295882217699158</v>
      </c>
      <c r="Y141" s="735">
        <f t="shared" si="58"/>
        <v>22.529470968149578</v>
      </c>
      <c r="Z141" s="475">
        <f t="shared" si="59"/>
        <v>9</v>
      </c>
      <c r="AA141" s="475">
        <f>IF($E$36=$D$36,MIN(AbsFeuchte(Z141,100%,$N$19),R141),MIN(AbsFeuchte(Z141,100%,$N$19),X141))</f>
        <v>2.1295882217699158</v>
      </c>
      <c r="AB141" s="735">
        <f t="shared" si="60"/>
        <v>14.417027202412049</v>
      </c>
      <c r="AC141" s="475">
        <f t="shared" si="61"/>
        <v>9</v>
      </c>
      <c r="AD141" s="475">
        <v>19</v>
      </c>
      <c r="AE141" s="735">
        <f t="shared" si="62"/>
        <v>56.902459999999998</v>
      </c>
      <c r="AF141" s="735">
        <f t="shared" si="63"/>
        <v>9</v>
      </c>
      <c r="AG141" s="735">
        <f t="shared" si="87"/>
        <v>9.9999999999999992E+22</v>
      </c>
      <c r="AH141" s="475">
        <f t="shared" si="88"/>
        <v>9</v>
      </c>
      <c r="AI141" s="475">
        <f t="shared" si="64"/>
        <v>2.1295882217699158</v>
      </c>
      <c r="AJ141" s="735">
        <f t="shared" si="65"/>
        <v>14.417027202412049</v>
      </c>
      <c r="AK141" s="475">
        <f t="shared" si="66"/>
        <v>17.032432432432433</v>
      </c>
      <c r="AL141" s="475">
        <f t="shared" si="67"/>
        <v>2.1295882217699158</v>
      </c>
      <c r="AM141" s="735">
        <f t="shared" si="68"/>
        <v>22.529470968149578</v>
      </c>
      <c r="AN141" s="475">
        <f t="shared" si="89"/>
        <v>20.729729729729726</v>
      </c>
      <c r="AO141" s="475">
        <f t="shared" si="69"/>
        <v>2.1295882217699158</v>
      </c>
      <c r="AP141" s="735">
        <f t="shared" si="90"/>
        <v>26.263597169875332</v>
      </c>
      <c r="AQ141" s="475" t="e">
        <f t="shared" ca="1" si="14"/>
        <v>#NAME?</v>
      </c>
      <c r="AR141" s="475">
        <f t="shared" si="91"/>
        <v>2.1295882217699149</v>
      </c>
      <c r="AS141" s="735" t="e">
        <f t="shared" ca="1" si="15"/>
        <v>#VALUE!</v>
      </c>
      <c r="AT141" s="475">
        <f t="shared" si="92"/>
        <v>20.72972972972973</v>
      </c>
      <c r="AU141" s="475">
        <f t="shared" si="16"/>
        <v>2.1295882217699158</v>
      </c>
      <c r="AV141" s="735">
        <f t="shared" si="17"/>
        <v>26.263597169875332</v>
      </c>
      <c r="AW141" s="529">
        <f t="shared" si="70"/>
        <v>1</v>
      </c>
      <c r="AX141" s="735">
        <f t="shared" si="71"/>
        <v>1</v>
      </c>
      <c r="AY141" s="735">
        <f t="shared" si="18"/>
        <v>1</v>
      </c>
      <c r="AZ141" s="735">
        <f t="shared" si="72"/>
        <v>1</v>
      </c>
      <c r="BA141" s="735">
        <f t="shared" si="73"/>
        <v>1</v>
      </c>
      <c r="BB141" s="735">
        <f>IF($E$36=$D$36,IF(AW141=1,Fall1Tzul(AX141,AY141,BJ141,Q141),0),IF(AW141=1,Fall1Tzul(AX141,AY141,BJ141,W141),0))</f>
        <v>20.72972972972973</v>
      </c>
      <c r="BC141" s="735">
        <f>IF($E$36=$D$36,IF(AW141=1,Fall1xzul(AX141,AY141,BL141,R141),0),IF(AW141=1,Fall1xzul(AX141,AY141,BL141,X141),0))</f>
        <v>2.1295882217699149</v>
      </c>
      <c r="BD141" s="735">
        <f>IF($E$36=$D$36,IF(AW141=2,Fall2Tzul(AX141, AZ141, BJ141,Q141, Z141),0),IF(AW141=2,Fall2Tzul(AX141, AZ141, BJ141,W141, Z141),0))</f>
        <v>0</v>
      </c>
      <c r="BE141" s="735">
        <f>IF($E$36=$D$36,IF(AW141=2,Fall2xzul(AX141,AZ141,BL141,R141,AA141),0),IF(AW141=2,Fall2xzul(AX141,AZ141,BL141,X141,AA141),0))</f>
        <v>0</v>
      </c>
      <c r="BF141" s="735">
        <f t="shared" si="19"/>
        <v>0</v>
      </c>
      <c r="BG141" s="735">
        <f t="shared" si="20"/>
        <v>0</v>
      </c>
      <c r="BH141" s="735">
        <f t="shared" si="21"/>
        <v>0</v>
      </c>
      <c r="BI141" s="735">
        <f t="shared" si="22"/>
        <v>0</v>
      </c>
      <c r="BJ141" s="473">
        <f t="shared" si="93"/>
        <v>20.72972972972973</v>
      </c>
      <c r="BK141" s="491">
        <f t="shared" si="23"/>
        <v>0.13235700160062075</v>
      </c>
      <c r="BL141" s="475">
        <f>AbsFeuchte(BJ141,BK141,$N$19)</f>
        <v>2.1295882217699149</v>
      </c>
      <c r="BM141" s="735">
        <f t="shared" si="24"/>
        <v>26.263597169875332</v>
      </c>
      <c r="BN141" s="473">
        <f t="shared" si="94"/>
        <v>20.72972972972973</v>
      </c>
      <c r="BO141" s="491">
        <f t="shared" si="25"/>
        <v>0.13235700160062075</v>
      </c>
      <c r="BP141" s="475">
        <f t="shared" si="74"/>
        <v>2.1295882217699149</v>
      </c>
      <c r="BQ141" s="735">
        <f t="shared" si="26"/>
        <v>26.263597169875332</v>
      </c>
      <c r="BR141" s="473">
        <f t="shared" si="75"/>
        <v>22.54054054054054</v>
      </c>
      <c r="BS141" s="491">
        <f t="shared" si="76"/>
        <v>0.11847947585438742</v>
      </c>
      <c r="BT141" s="475">
        <f>AbsFeuchte(BR141,BS141,$N$19)</f>
        <v>2.1295882217699154</v>
      </c>
      <c r="BU141" s="576">
        <f>IF($I$21=0,IF(E$13=$S$10,BR141+$N$18,BR141),IF(E$13=$S$10,BR141+$N$18+#REF!,BR141+$I$21))</f>
        <v>22.54054054054054</v>
      </c>
      <c r="BV141" s="736">
        <f t="shared" si="77"/>
        <v>0.11847947585438739</v>
      </c>
      <c r="BW141" s="726">
        <f t="shared" si="78"/>
        <v>2.1295882217699154</v>
      </c>
      <c r="BX141" s="475">
        <f t="shared" si="95"/>
        <v>0</v>
      </c>
      <c r="BY141" s="475">
        <f t="shared" si="96"/>
        <v>3.7341262017257542</v>
      </c>
      <c r="BZ141" s="475">
        <f t="shared" si="79"/>
        <v>0</v>
      </c>
      <c r="CA141" s="475">
        <f t="shared" si="80"/>
        <v>0</v>
      </c>
      <c r="CB141" s="475">
        <f t="shared" si="27"/>
        <v>0</v>
      </c>
      <c r="CC141" s="475">
        <f t="shared" si="28"/>
        <v>3.7341262017257542</v>
      </c>
      <c r="CD141" s="475">
        <f t="shared" si="29"/>
        <v>0</v>
      </c>
      <c r="CE141" s="621">
        <f t="shared" si="30"/>
        <v>0</v>
      </c>
      <c r="CF141" s="621">
        <f t="shared" si="31"/>
        <v>0</v>
      </c>
      <c r="CG141" s="621">
        <f t="shared" si="32"/>
        <v>0</v>
      </c>
      <c r="CH141" s="573">
        <f t="shared" si="33"/>
        <v>0</v>
      </c>
      <c r="CI141" s="621">
        <f t="shared" si="34"/>
        <v>0</v>
      </c>
      <c r="CJ141" s="621">
        <f t="shared" si="35"/>
        <v>0</v>
      </c>
      <c r="CK141" s="621">
        <f t="shared" si="36"/>
        <v>0.11560993588877129</v>
      </c>
      <c r="CL141" s="737">
        <f t="shared" si="37"/>
        <v>9.8994003042189286E-14</v>
      </c>
      <c r="CM141" s="738">
        <f t="shared" si="38"/>
        <v>0</v>
      </c>
      <c r="CN141" s="475">
        <f t="shared" si="39"/>
        <v>0.13235700160062075</v>
      </c>
      <c r="CO141" s="475">
        <f t="shared" si="40"/>
        <v>0.13235700160062075</v>
      </c>
      <c r="CP141" s="475">
        <f t="shared" si="97"/>
        <v>17.032432432432433</v>
      </c>
      <c r="CQ141" s="475">
        <f t="shared" si="41"/>
        <v>17.032432432432433</v>
      </c>
      <c r="CR141" s="475">
        <f t="shared" si="42"/>
        <v>3.7341262017257542</v>
      </c>
      <c r="CS141" s="475">
        <f t="shared" si="43"/>
        <v>0</v>
      </c>
      <c r="CT141" s="475">
        <f t="shared" si="44"/>
        <v>0.1741567514677104</v>
      </c>
      <c r="CU141" s="475">
        <f t="shared" si="45"/>
        <v>20.72972972972973</v>
      </c>
      <c r="CV141" s="475">
        <f t="shared" si="46"/>
        <v>20.72972972972973</v>
      </c>
      <c r="CW141" s="475">
        <f t="shared" si="98"/>
        <v>0.2897666873564817</v>
      </c>
      <c r="CX141" s="573">
        <f t="shared" si="99"/>
        <v>-9.8994003042189286E-14</v>
      </c>
      <c r="CY141" s="475">
        <f t="shared" si="102"/>
        <v>20.72972972972973</v>
      </c>
      <c r="CZ141" s="475">
        <f t="shared" si="100"/>
        <v>20.72972972972973</v>
      </c>
      <c r="DA141" s="475">
        <v>-5</v>
      </c>
      <c r="DB141" s="739">
        <f t="shared" si="82"/>
        <v>15.955563444498802</v>
      </c>
      <c r="DC141" s="740">
        <f t="shared" si="47"/>
        <v>6.1367551709610781</v>
      </c>
    </row>
    <row r="142" spans="1:107" s="619" customFormat="1" ht="12" customHeight="1">
      <c r="A142" s="732">
        <v>-4</v>
      </c>
      <c r="B142" s="917">
        <f>Klimadaten!O26/8760*$K$68</f>
        <v>24.93150684931507</v>
      </c>
      <c r="C142" s="762">
        <f>Klimadaten!Q26</f>
        <v>2.2701678806245909</v>
      </c>
      <c r="D142" s="763">
        <f>Klimadaten!N26</f>
        <v>0.78928571428571426</v>
      </c>
      <c r="E142" s="491">
        <f t="shared" si="48"/>
        <v>0.12585833750071895</v>
      </c>
      <c r="F142" s="438">
        <f t="shared" si="49"/>
        <v>0</v>
      </c>
      <c r="G142" s="733">
        <f t="shared" si="9"/>
        <v>-4</v>
      </c>
      <c r="H142" s="527">
        <f t="shared" si="50"/>
        <v>24.702702702702702</v>
      </c>
      <c r="I142" s="733">
        <f t="shared" si="51"/>
        <v>17.275675675675675</v>
      </c>
      <c r="J142" s="473">
        <f t="shared" si="52"/>
        <v>17.275675675675675</v>
      </c>
      <c r="K142" s="491">
        <f t="shared" si="53"/>
        <v>0.8</v>
      </c>
      <c r="L142" s="473">
        <f t="shared" si="54"/>
        <v>17.275675675675675</v>
      </c>
      <c r="M142" s="473">
        <f t="shared" si="83"/>
        <v>2.2701678806245909</v>
      </c>
      <c r="N142" s="473">
        <f t="shared" si="84"/>
        <v>23.131328452205317</v>
      </c>
      <c r="O142" s="473">
        <f t="shared" si="55"/>
        <v>23.131328452205317</v>
      </c>
      <c r="P142" s="734">
        <f t="shared" si="10"/>
        <v>0</v>
      </c>
      <c r="Q142" s="473">
        <f t="shared" si="85"/>
        <v>17.275675675675675</v>
      </c>
      <c r="R142" s="475">
        <f t="shared" si="101"/>
        <v>2.2701678806245909</v>
      </c>
      <c r="S142" s="473">
        <f t="shared" si="86"/>
        <v>23.131328452205317</v>
      </c>
      <c r="T142" s="473">
        <f t="shared" si="11"/>
        <v>17.275675675675675</v>
      </c>
      <c r="U142" s="473">
        <f t="shared" si="12"/>
        <v>17.275675675675675</v>
      </c>
      <c r="V142" s="734">
        <f t="shared" si="13"/>
        <v>0</v>
      </c>
      <c r="W142" s="473">
        <f t="shared" si="56"/>
        <v>17.275675675675675</v>
      </c>
      <c r="X142" s="475">
        <f t="shared" si="57"/>
        <v>2.2701678806245909</v>
      </c>
      <c r="Y142" s="735">
        <f t="shared" si="58"/>
        <v>23.131328452205317</v>
      </c>
      <c r="Z142" s="475">
        <f t="shared" si="59"/>
        <v>9</v>
      </c>
      <c r="AA142" s="475">
        <f>IF($E$36=$D$36,MIN(AbsFeuchte(Z142,100%,$N$19),R142),MIN(AbsFeuchte(Z142,100%,$N$19),X142))</f>
        <v>2.2701678806245909</v>
      </c>
      <c r="AB142" s="735">
        <f t="shared" si="60"/>
        <v>14.771054580492132</v>
      </c>
      <c r="AC142" s="475">
        <f t="shared" si="61"/>
        <v>9</v>
      </c>
      <c r="AD142" s="475">
        <v>20</v>
      </c>
      <c r="AE142" s="735">
        <f t="shared" si="62"/>
        <v>59.4208</v>
      </c>
      <c r="AF142" s="735">
        <f t="shared" si="63"/>
        <v>9</v>
      </c>
      <c r="AG142" s="735">
        <f t="shared" si="87"/>
        <v>9.9999999999999992E+22</v>
      </c>
      <c r="AH142" s="475">
        <f t="shared" si="88"/>
        <v>17.275675675675675</v>
      </c>
      <c r="AI142" s="475">
        <f t="shared" si="64"/>
        <v>2.2701678806245904</v>
      </c>
      <c r="AJ142" s="735">
        <f t="shared" si="65"/>
        <v>23.131328452205317</v>
      </c>
      <c r="AK142" s="475">
        <f t="shared" si="66"/>
        <v>17.275675675675675</v>
      </c>
      <c r="AL142" s="475">
        <f t="shared" si="67"/>
        <v>2.2701678806245909</v>
      </c>
      <c r="AM142" s="735">
        <f t="shared" si="68"/>
        <v>23.131328452205317</v>
      </c>
      <c r="AN142" s="475">
        <f t="shared" si="89"/>
        <v>20.702702702702698</v>
      </c>
      <c r="AO142" s="475">
        <f t="shared" si="69"/>
        <v>2.2701678806245909</v>
      </c>
      <c r="AP142" s="735">
        <f t="shared" si="90"/>
        <v>26.59338830502449</v>
      </c>
      <c r="AQ142" s="475" t="e">
        <f t="shared" ca="1" si="14"/>
        <v>#NAME?</v>
      </c>
      <c r="AR142" s="475">
        <f t="shared" si="91"/>
        <v>2.2701678806245904</v>
      </c>
      <c r="AS142" s="735" t="e">
        <f t="shared" ca="1" si="15"/>
        <v>#VALUE!</v>
      </c>
      <c r="AT142" s="475">
        <f t="shared" si="92"/>
        <v>20.702702702702702</v>
      </c>
      <c r="AU142" s="475">
        <f t="shared" si="16"/>
        <v>2.2701678806245909</v>
      </c>
      <c r="AV142" s="735">
        <f t="shared" si="17"/>
        <v>26.593388305024494</v>
      </c>
      <c r="AW142" s="529">
        <f t="shared" si="70"/>
        <v>1</v>
      </c>
      <c r="AX142" s="735">
        <f t="shared" si="71"/>
        <v>1</v>
      </c>
      <c r="AY142" s="735">
        <f t="shared" si="18"/>
        <v>1</v>
      </c>
      <c r="AZ142" s="735">
        <f t="shared" si="72"/>
        <v>1</v>
      </c>
      <c r="BA142" s="735">
        <f t="shared" si="73"/>
        <v>1</v>
      </c>
      <c r="BB142" s="735">
        <f>IF($E$36=$D$36,IF(AW142=1,Fall1Tzul(AX142,AY142,BJ142,Q142),0),IF(AW142=1,Fall1Tzul(AX142,AY142,BJ142,W142),0))</f>
        <v>20.702702702702702</v>
      </c>
      <c r="BC142" s="735">
        <f>IF($E$36=$D$36,IF(AW142=1,Fall1xzul(AX142,AY142,BL142,R142),0),IF(AW142=1,Fall1xzul(AX142,AY142,BL142,X142),0))</f>
        <v>2.2701678806245904</v>
      </c>
      <c r="BD142" s="735">
        <f>IF($E$36=$D$36,IF(AW142=2,Fall2Tzul(AX142, AZ142, BJ142,Q142, Z142),0),IF(AW142=2,Fall2Tzul(AX142, AZ142, BJ142,W142, Z142),0))</f>
        <v>0</v>
      </c>
      <c r="BE142" s="735">
        <f>IF($E$36=$D$36,IF(AW142=2,Fall2xzul(AX142,AZ142,BL142,R142,AA142),0),IF(AW142=2,Fall2xzul(AX142,AZ142,BL142,X142,AA142),0))</f>
        <v>0</v>
      </c>
      <c r="BF142" s="735">
        <f t="shared" si="19"/>
        <v>0</v>
      </c>
      <c r="BG142" s="735">
        <f t="shared" si="20"/>
        <v>0</v>
      </c>
      <c r="BH142" s="735">
        <f t="shared" si="21"/>
        <v>0</v>
      </c>
      <c r="BI142" s="735">
        <f t="shared" si="22"/>
        <v>0</v>
      </c>
      <c r="BJ142" s="473">
        <f t="shared" si="93"/>
        <v>20.702702702702702</v>
      </c>
      <c r="BK142" s="491">
        <f t="shared" si="23"/>
        <v>0.141297510737071</v>
      </c>
      <c r="BL142" s="475">
        <f>AbsFeuchte(BJ142,BK142,$N$19)</f>
        <v>2.2701678806245904</v>
      </c>
      <c r="BM142" s="735">
        <f t="shared" si="24"/>
        <v>26.59338830502449</v>
      </c>
      <c r="BN142" s="473">
        <f t="shared" si="94"/>
        <v>20.702702702702702</v>
      </c>
      <c r="BO142" s="491">
        <f t="shared" si="25"/>
        <v>0.141297510737071</v>
      </c>
      <c r="BP142" s="475">
        <f t="shared" si="74"/>
        <v>2.2701678806245904</v>
      </c>
      <c r="BQ142" s="735">
        <f t="shared" si="26"/>
        <v>26.59338830502449</v>
      </c>
      <c r="BR142" s="473">
        <f t="shared" si="75"/>
        <v>22.594594594594593</v>
      </c>
      <c r="BS142" s="491">
        <f t="shared" si="76"/>
        <v>0.12585833750071895</v>
      </c>
      <c r="BT142" s="475">
        <f>AbsFeuchte(BR142,BS142,$N$19)</f>
        <v>2.2701678806245904</v>
      </c>
      <c r="BU142" s="576">
        <f>IF($I$21=0,IF(E$13=$S$10,BR142+$N$18,BR142),IF(E$13=$S$10,BR142+$N$18+#REF!,BR142+$I$21))</f>
        <v>22.594594594594593</v>
      </c>
      <c r="BV142" s="736">
        <f t="shared" si="77"/>
        <v>0.12585833750071893</v>
      </c>
      <c r="BW142" s="726">
        <f t="shared" si="78"/>
        <v>2.2701678806245904</v>
      </c>
      <c r="BX142" s="475">
        <f t="shared" si="95"/>
        <v>0</v>
      </c>
      <c r="BY142" s="475">
        <f t="shared" si="96"/>
        <v>3.4620598528191735</v>
      </c>
      <c r="BZ142" s="475">
        <f t="shared" si="79"/>
        <v>0</v>
      </c>
      <c r="CA142" s="475">
        <f t="shared" si="80"/>
        <v>0</v>
      </c>
      <c r="CB142" s="475">
        <f t="shared" si="27"/>
        <v>0</v>
      </c>
      <c r="CC142" s="475">
        <f t="shared" si="28"/>
        <v>3.4620598528191771</v>
      </c>
      <c r="CD142" s="475">
        <f t="shared" si="29"/>
        <v>-3.5527136788005009E-15</v>
      </c>
      <c r="CE142" s="621">
        <f t="shared" si="30"/>
        <v>0</v>
      </c>
      <c r="CF142" s="621">
        <f t="shared" si="31"/>
        <v>0</v>
      </c>
      <c r="CG142" s="621">
        <f t="shared" si="32"/>
        <v>-1.0806362905190255E-16</v>
      </c>
      <c r="CH142" s="573">
        <f t="shared" si="33"/>
        <v>0</v>
      </c>
      <c r="CI142" s="621">
        <f t="shared" si="34"/>
        <v>0</v>
      </c>
      <c r="CJ142" s="621">
        <f t="shared" si="35"/>
        <v>0</v>
      </c>
      <c r="CK142" s="621">
        <f t="shared" si="36"/>
        <v>0.10530619281902012</v>
      </c>
      <c r="CL142" s="737">
        <f t="shared" si="37"/>
        <v>4.8628633073356154E-14</v>
      </c>
      <c r="CM142" s="738">
        <f t="shared" si="38"/>
        <v>-1.0806362905190255E-16</v>
      </c>
      <c r="CN142" s="475">
        <f t="shared" si="39"/>
        <v>0.141297510737071</v>
      </c>
      <c r="CO142" s="475">
        <f t="shared" si="40"/>
        <v>0.141297510737071</v>
      </c>
      <c r="CP142" s="475">
        <f t="shared" si="97"/>
        <v>17.275675675675675</v>
      </c>
      <c r="CQ142" s="475">
        <f t="shared" si="41"/>
        <v>17.275675675675675</v>
      </c>
      <c r="CR142" s="475">
        <f t="shared" si="42"/>
        <v>3.4620598528191735</v>
      </c>
      <c r="CS142" s="475">
        <f t="shared" si="43"/>
        <v>0</v>
      </c>
      <c r="CT142" s="475">
        <f t="shared" si="44"/>
        <v>0.17110136986301372</v>
      </c>
      <c r="CU142" s="475">
        <f t="shared" si="45"/>
        <v>20.702702702702702</v>
      </c>
      <c r="CV142" s="475">
        <f t="shared" si="46"/>
        <v>20.702702702702702</v>
      </c>
      <c r="CW142" s="475">
        <f t="shared" si="98"/>
        <v>0.2764075626820337</v>
      </c>
      <c r="CX142" s="573">
        <f t="shared" si="99"/>
        <v>-4.8628633073356154E-14</v>
      </c>
      <c r="CY142" s="475">
        <f t="shared" si="102"/>
        <v>20.702702702702702</v>
      </c>
      <c r="CZ142" s="475">
        <f t="shared" si="100"/>
        <v>20.702702702702702</v>
      </c>
      <c r="DA142" s="475">
        <v>-4</v>
      </c>
      <c r="DB142" s="739">
        <f t="shared" si="82"/>
        <v>15.955563444498802</v>
      </c>
      <c r="DC142" s="740">
        <f t="shared" si="47"/>
        <v>4.9094041367688623</v>
      </c>
    </row>
    <row r="143" spans="1:107" s="619" customFormat="1" ht="12" customHeight="1">
      <c r="A143" s="732">
        <v>-3</v>
      </c>
      <c r="B143" s="917">
        <f>Klimadaten!O27/8760*$K$68</f>
        <v>56.986301369863014</v>
      </c>
      <c r="C143" s="762">
        <f>Klimadaten!Q27</f>
        <v>2.6026589843261188</v>
      </c>
      <c r="D143" s="763">
        <f>Klimadaten!N27</f>
        <v>0.83070312499999999</v>
      </c>
      <c r="E143" s="491">
        <f t="shared" si="48"/>
        <v>0.14374242466466031</v>
      </c>
      <c r="F143" s="438">
        <f t="shared" si="49"/>
        <v>0</v>
      </c>
      <c r="G143" s="733">
        <f t="shared" si="9"/>
        <v>-3</v>
      </c>
      <c r="H143" s="527">
        <f t="shared" si="50"/>
        <v>23.675675675675677</v>
      </c>
      <c r="I143" s="733">
        <f t="shared" si="51"/>
        <v>17.518918918918921</v>
      </c>
      <c r="J143" s="473">
        <f t="shared" si="52"/>
        <v>17.518918918918921</v>
      </c>
      <c r="K143" s="491">
        <f t="shared" si="53"/>
        <v>0.8</v>
      </c>
      <c r="L143" s="473">
        <f t="shared" si="54"/>
        <v>17.518918918918921</v>
      </c>
      <c r="M143" s="473">
        <f t="shared" si="83"/>
        <v>2.6026589843261188</v>
      </c>
      <c r="N143" s="473">
        <f t="shared" si="84"/>
        <v>24.219652283021862</v>
      </c>
      <c r="O143" s="473">
        <f t="shared" si="55"/>
        <v>24.219652283021862</v>
      </c>
      <c r="P143" s="734">
        <f t="shared" si="10"/>
        <v>0</v>
      </c>
      <c r="Q143" s="473">
        <f t="shared" si="85"/>
        <v>17.518918918918921</v>
      </c>
      <c r="R143" s="475">
        <f t="shared" si="101"/>
        <v>2.6026589843261188</v>
      </c>
      <c r="S143" s="473">
        <f t="shared" si="86"/>
        <v>24.219652283021862</v>
      </c>
      <c r="T143" s="473">
        <f t="shared" si="11"/>
        <v>17.518918918918921</v>
      </c>
      <c r="U143" s="473">
        <f t="shared" si="12"/>
        <v>17.518918918918921</v>
      </c>
      <c r="V143" s="734">
        <f t="shared" si="13"/>
        <v>0</v>
      </c>
      <c r="W143" s="473">
        <f t="shared" si="56"/>
        <v>17.518918918918921</v>
      </c>
      <c r="X143" s="475">
        <f t="shared" si="57"/>
        <v>2.6026589843261188</v>
      </c>
      <c r="Y143" s="735">
        <f t="shared" si="58"/>
        <v>24.219652283021862</v>
      </c>
      <c r="Z143" s="475">
        <f t="shared" si="59"/>
        <v>9</v>
      </c>
      <c r="AA143" s="475">
        <f>IF($E$36=$D$36,MIN(AbsFeuchte(Z143,100%,$N$19),R143),MIN(AbsFeuchte(Z143,100%,$N$19),X143))</f>
        <v>2.6026589843261188</v>
      </c>
      <c r="AB143" s="735">
        <f t="shared" si="60"/>
        <v>15.608380226587837</v>
      </c>
      <c r="AC143" s="475">
        <f t="shared" si="61"/>
        <v>9</v>
      </c>
      <c r="AD143" s="475">
        <v>21</v>
      </c>
      <c r="AE143" s="735">
        <f t="shared" si="62"/>
        <v>61.939140000000002</v>
      </c>
      <c r="AF143" s="735">
        <f t="shared" si="63"/>
        <v>9</v>
      </c>
      <c r="AG143" s="735">
        <f t="shared" si="87"/>
        <v>9.9999999999999992E+22</v>
      </c>
      <c r="AH143" s="475">
        <f t="shared" si="88"/>
        <v>17.518918918918921</v>
      </c>
      <c r="AI143" s="475">
        <f t="shared" si="64"/>
        <v>2.6026589843261188</v>
      </c>
      <c r="AJ143" s="735">
        <f t="shared" si="65"/>
        <v>24.219652283021862</v>
      </c>
      <c r="AK143" s="475">
        <f t="shared" si="66"/>
        <v>17.518918918918921</v>
      </c>
      <c r="AL143" s="475">
        <f t="shared" si="67"/>
        <v>2.6026589843261188</v>
      </c>
      <c r="AM143" s="735">
        <f t="shared" si="68"/>
        <v>24.219652283021862</v>
      </c>
      <c r="AN143" s="475">
        <f t="shared" si="89"/>
        <v>20.675675675675677</v>
      </c>
      <c r="AO143" s="475">
        <f t="shared" si="69"/>
        <v>2.6026589843261188</v>
      </c>
      <c r="AP143" s="735">
        <f t="shared" si="90"/>
        <v>27.410631268400966</v>
      </c>
      <c r="AQ143" s="475" t="e">
        <f t="shared" ca="1" si="14"/>
        <v>#NAME?</v>
      </c>
      <c r="AR143" s="475">
        <f t="shared" si="91"/>
        <v>2.6026589843261188</v>
      </c>
      <c r="AS143" s="735" t="e">
        <f t="shared" ca="1" si="15"/>
        <v>#VALUE!</v>
      </c>
      <c r="AT143" s="475">
        <f t="shared" si="92"/>
        <v>20.675675675675677</v>
      </c>
      <c r="AU143" s="475">
        <f t="shared" si="16"/>
        <v>2.6026589843261188</v>
      </c>
      <c r="AV143" s="735">
        <f t="shared" si="17"/>
        <v>27.410631268400966</v>
      </c>
      <c r="AW143" s="529">
        <f t="shared" si="70"/>
        <v>1</v>
      </c>
      <c r="AX143" s="735">
        <f t="shared" si="71"/>
        <v>1</v>
      </c>
      <c r="AY143" s="735">
        <f t="shared" si="18"/>
        <v>1</v>
      </c>
      <c r="AZ143" s="735">
        <f t="shared" si="72"/>
        <v>1</v>
      </c>
      <c r="BA143" s="735">
        <f t="shared" si="73"/>
        <v>1</v>
      </c>
      <c r="BB143" s="735">
        <f>IF($E$36=$D$36,IF(AW143=1,Fall1Tzul(AX143,AY143,BJ143,Q143),0),IF(AW143=1,Fall1Tzul(AX143,AY143,BJ143,W143),0))</f>
        <v>20.675675675675677</v>
      </c>
      <c r="BC143" s="735">
        <f>IF($E$36=$D$36,IF(AW143=1,Fall1xzul(AX143,AY143,BL143,R143),0),IF(AW143=1,Fall1xzul(AX143,AY143,BL143,X143),0))</f>
        <v>2.6026589843261188</v>
      </c>
      <c r="BD143" s="735">
        <f>IF($E$36=$D$36,IF(AW143=2,Fall2Tzul(AX143, AZ143, BJ143,Q143, Z143),0),IF(AW143=2,Fall2Tzul(AX143, AZ143, BJ143,W143, Z143),0))</f>
        <v>0</v>
      </c>
      <c r="BE143" s="735">
        <f>IF($E$36=$D$36,IF(AW143=2,Fall2xzul(AX143,AZ143,BL143,R143,AA143),0),IF(AW143=2,Fall2xzul(AX143,AZ143,BL143,X143,AA143),0))</f>
        <v>0</v>
      </c>
      <c r="BF143" s="735">
        <f t="shared" si="19"/>
        <v>0</v>
      </c>
      <c r="BG143" s="735">
        <f t="shared" si="20"/>
        <v>0</v>
      </c>
      <c r="BH143" s="735">
        <f t="shared" si="21"/>
        <v>0</v>
      </c>
      <c r="BI143" s="735">
        <f t="shared" si="22"/>
        <v>0</v>
      </c>
      <c r="BJ143" s="473">
        <f t="shared" si="93"/>
        <v>20.675675675675677</v>
      </c>
      <c r="BK143" s="491">
        <f t="shared" si="23"/>
        <v>0.16217569583357827</v>
      </c>
      <c r="BL143" s="475">
        <f>AbsFeuchte(BJ143,BK143,$N$19)</f>
        <v>2.6026589843261188</v>
      </c>
      <c r="BM143" s="735">
        <f t="shared" si="24"/>
        <v>27.410631268400966</v>
      </c>
      <c r="BN143" s="473">
        <f t="shared" si="94"/>
        <v>20.675675675675677</v>
      </c>
      <c r="BO143" s="491">
        <f t="shared" si="25"/>
        <v>0.16217569583357827</v>
      </c>
      <c r="BP143" s="475">
        <f t="shared" si="74"/>
        <v>2.6026589843261188</v>
      </c>
      <c r="BQ143" s="735">
        <f t="shared" si="26"/>
        <v>27.410631268400966</v>
      </c>
      <c r="BR143" s="473">
        <f t="shared" si="75"/>
        <v>22.648648648648649</v>
      </c>
      <c r="BS143" s="491">
        <f t="shared" si="76"/>
        <v>0.14374242466466031</v>
      </c>
      <c r="BT143" s="475">
        <f>AbsFeuchte(BR143,BS143,$N$19)</f>
        <v>2.6026589843261188</v>
      </c>
      <c r="BU143" s="576">
        <f>IF($I$21=0,IF(E$13=$S$10,BR143+$N$18,BR143),IF(E$13=$S$10,BR143+$N$18+#REF!,BR143+$I$21))</f>
        <v>22.648648648648649</v>
      </c>
      <c r="BV143" s="736">
        <f t="shared" si="77"/>
        <v>0.14374242466466031</v>
      </c>
      <c r="BW143" s="726">
        <f t="shared" si="78"/>
        <v>2.6026589843261188</v>
      </c>
      <c r="BX143" s="475">
        <f t="shared" si="95"/>
        <v>0</v>
      </c>
      <c r="BY143" s="475">
        <f t="shared" si="96"/>
        <v>3.190978985379104</v>
      </c>
      <c r="BZ143" s="475">
        <f t="shared" si="79"/>
        <v>0</v>
      </c>
      <c r="CA143" s="475">
        <f t="shared" si="80"/>
        <v>0</v>
      </c>
      <c r="CB143" s="475">
        <f t="shared" si="27"/>
        <v>0</v>
      </c>
      <c r="CC143" s="475">
        <f t="shared" si="28"/>
        <v>3.190978985379104</v>
      </c>
      <c r="CD143" s="475">
        <f t="shared" si="29"/>
        <v>0</v>
      </c>
      <c r="CE143" s="621">
        <f t="shared" si="30"/>
        <v>0</v>
      </c>
      <c r="CF143" s="621">
        <f t="shared" si="31"/>
        <v>0</v>
      </c>
      <c r="CG143" s="621">
        <f t="shared" si="32"/>
        <v>0</v>
      </c>
      <c r="CH143" s="573">
        <f t="shared" si="33"/>
        <v>0</v>
      </c>
      <c r="CI143" s="621">
        <f t="shared" si="34"/>
        <v>0</v>
      </c>
      <c r="CJ143" s="621">
        <f t="shared" si="35"/>
        <v>0</v>
      </c>
      <c r="CK143" s="621">
        <f t="shared" si="36"/>
        <v>0.22185295961776175</v>
      </c>
      <c r="CL143" s="737">
        <f t="shared" si="37"/>
        <v>0</v>
      </c>
      <c r="CM143" s="738">
        <f t="shared" si="38"/>
        <v>0</v>
      </c>
      <c r="CN143" s="475">
        <f t="shared" si="39"/>
        <v>0.16217569583357827</v>
      </c>
      <c r="CO143" s="475">
        <f t="shared" si="40"/>
        <v>0.16217569583357827</v>
      </c>
      <c r="CP143" s="475">
        <f t="shared" si="97"/>
        <v>17.518918918918921</v>
      </c>
      <c r="CQ143" s="475">
        <f t="shared" si="41"/>
        <v>17.518918918918921</v>
      </c>
      <c r="CR143" s="475">
        <f t="shared" si="42"/>
        <v>3.190978985379104</v>
      </c>
      <c r="CS143" s="475">
        <f t="shared" si="43"/>
        <v>0</v>
      </c>
      <c r="CT143" s="475">
        <f t="shared" si="44"/>
        <v>0.39108884540117422</v>
      </c>
      <c r="CU143" s="475">
        <f t="shared" si="45"/>
        <v>20.675675675675677</v>
      </c>
      <c r="CV143" s="475">
        <f t="shared" si="46"/>
        <v>20.675675675675677</v>
      </c>
      <c r="CW143" s="475">
        <f t="shared" si="98"/>
        <v>0.61294180501893591</v>
      </c>
      <c r="CX143" s="573">
        <f t="shared" si="99"/>
        <v>0</v>
      </c>
      <c r="CY143" s="475">
        <f t="shared" si="102"/>
        <v>20.675675675675677</v>
      </c>
      <c r="CZ143" s="475">
        <f t="shared" si="100"/>
        <v>20.675675675675677</v>
      </c>
      <c r="DA143" s="475">
        <v>-3</v>
      </c>
      <c r="DB143" s="739">
        <f t="shared" si="82"/>
        <v>15.955563444498802</v>
      </c>
      <c r="DC143" s="740">
        <f t="shared" si="47"/>
        <v>3.682053102576647</v>
      </c>
    </row>
    <row r="144" spans="1:107" s="619" customFormat="1" ht="12" customHeight="1">
      <c r="A144" s="732">
        <v>-2</v>
      </c>
      <c r="B144" s="917">
        <f>Klimadaten!O28/8760*$K$68</f>
        <v>80.136986301369859</v>
      </c>
      <c r="C144" s="762">
        <f>Klimadaten!Q28</f>
        <v>2.9561836544515754</v>
      </c>
      <c r="D144" s="763">
        <f>Klimadaten!N28</f>
        <v>0.86683333333333334</v>
      </c>
      <c r="E144" s="491">
        <f t="shared" si="48"/>
        <v>0.16264057061648055</v>
      </c>
      <c r="F144" s="438">
        <f t="shared" si="49"/>
        <v>0</v>
      </c>
      <c r="G144" s="733">
        <f t="shared" si="9"/>
        <v>-2</v>
      </c>
      <c r="H144" s="527">
        <f t="shared" si="50"/>
        <v>22.648648648648649</v>
      </c>
      <c r="I144" s="733">
        <f t="shared" si="51"/>
        <v>17.762162162162163</v>
      </c>
      <c r="J144" s="473">
        <f t="shared" si="52"/>
        <v>17.762162162162163</v>
      </c>
      <c r="K144" s="491">
        <f t="shared" si="53"/>
        <v>0.8</v>
      </c>
      <c r="L144" s="473">
        <f t="shared" si="54"/>
        <v>17.762162162162163</v>
      </c>
      <c r="M144" s="473">
        <f t="shared" si="83"/>
        <v>2.9561836544515754</v>
      </c>
      <c r="N144" s="473">
        <f t="shared" si="84"/>
        <v>25.361589442130992</v>
      </c>
      <c r="O144" s="473">
        <f t="shared" si="55"/>
        <v>25.361589442130992</v>
      </c>
      <c r="P144" s="734">
        <f t="shared" si="10"/>
        <v>0</v>
      </c>
      <c r="Q144" s="473">
        <f t="shared" si="85"/>
        <v>17.762162162162163</v>
      </c>
      <c r="R144" s="475">
        <f t="shared" si="101"/>
        <v>2.9561836544515754</v>
      </c>
      <c r="S144" s="473">
        <f t="shared" si="86"/>
        <v>25.361589442130992</v>
      </c>
      <c r="T144" s="473">
        <f t="shared" si="11"/>
        <v>17.762162162162163</v>
      </c>
      <c r="U144" s="473">
        <f t="shared" si="12"/>
        <v>17.762162162162163</v>
      </c>
      <c r="V144" s="734">
        <f t="shared" si="13"/>
        <v>0</v>
      </c>
      <c r="W144" s="473">
        <f t="shared" si="56"/>
        <v>17.762162162162163</v>
      </c>
      <c r="X144" s="475">
        <f t="shared" si="57"/>
        <v>2.9561836544515754</v>
      </c>
      <c r="Y144" s="735">
        <f t="shared" si="58"/>
        <v>25.361589442130992</v>
      </c>
      <c r="Z144" s="475">
        <f t="shared" si="59"/>
        <v>9</v>
      </c>
      <c r="AA144" s="475">
        <f>IF($E$36=$D$36,MIN(AbsFeuchte(Z144,100%,$N$19),R144),MIN(AbsFeuchte(Z144,100%,$N$19),X144))</f>
        <v>2.9561836544515754</v>
      </c>
      <c r="AB144" s="735">
        <f t="shared" si="60"/>
        <v>16.498675544351578</v>
      </c>
      <c r="AC144" s="475">
        <f t="shared" si="61"/>
        <v>9</v>
      </c>
      <c r="AD144" s="475">
        <v>22</v>
      </c>
      <c r="AE144" s="735">
        <f t="shared" si="62"/>
        <v>64.45747999999999</v>
      </c>
      <c r="AF144" s="735">
        <f t="shared" si="63"/>
        <v>9</v>
      </c>
      <c r="AG144" s="735">
        <f t="shared" si="87"/>
        <v>9.9999999999999992E+22</v>
      </c>
      <c r="AH144" s="475">
        <f t="shared" si="88"/>
        <v>17.762162162162163</v>
      </c>
      <c r="AI144" s="475">
        <f t="shared" si="64"/>
        <v>2.9561836544515754</v>
      </c>
      <c r="AJ144" s="735">
        <f t="shared" si="65"/>
        <v>25.361589442130992</v>
      </c>
      <c r="AK144" s="475">
        <f t="shared" si="66"/>
        <v>17.762162162162163</v>
      </c>
      <c r="AL144" s="475">
        <f t="shared" si="67"/>
        <v>2.9561836544515754</v>
      </c>
      <c r="AM144" s="735">
        <f t="shared" si="68"/>
        <v>25.361589442130992</v>
      </c>
      <c r="AN144" s="475">
        <f t="shared" si="89"/>
        <v>20.648648648648646</v>
      </c>
      <c r="AO144" s="475">
        <f t="shared" si="69"/>
        <v>2.9561836544515754</v>
      </c>
      <c r="AP144" s="735">
        <f t="shared" si="90"/>
        <v>28.281266198092865</v>
      </c>
      <c r="AQ144" s="475" t="e">
        <f t="shared" ca="1" si="14"/>
        <v>#NAME?</v>
      </c>
      <c r="AR144" s="475">
        <f t="shared" si="91"/>
        <v>2.9561836544515754</v>
      </c>
      <c r="AS144" s="735" t="e">
        <f t="shared" ca="1" si="15"/>
        <v>#VALUE!</v>
      </c>
      <c r="AT144" s="475">
        <f t="shared" si="92"/>
        <v>20.648648648648649</v>
      </c>
      <c r="AU144" s="475">
        <f t="shared" si="16"/>
        <v>2.9561836544515754</v>
      </c>
      <c r="AV144" s="735">
        <f t="shared" si="17"/>
        <v>28.281266198092865</v>
      </c>
      <c r="AW144" s="529">
        <f t="shared" si="70"/>
        <v>1</v>
      </c>
      <c r="AX144" s="735">
        <f t="shared" si="71"/>
        <v>1</v>
      </c>
      <c r="AY144" s="735">
        <f t="shared" si="18"/>
        <v>1</v>
      </c>
      <c r="AZ144" s="735">
        <f t="shared" si="72"/>
        <v>1</v>
      </c>
      <c r="BA144" s="735">
        <f t="shared" si="73"/>
        <v>1</v>
      </c>
      <c r="BB144" s="735">
        <f>IF($E$36=$D$36,IF(AW144=1,Fall1Tzul(AX144,AY144,BJ144,Q144),0),IF(AW144=1,Fall1Tzul(AX144,AY144,BJ144,W144),0))</f>
        <v>20.648648648648649</v>
      </c>
      <c r="BC144" s="735">
        <f>IF($E$36=$D$36,IF(AW144=1,Fall1xzul(AX144,AY144,BL144,R144),0),IF(AW144=1,Fall1xzul(AX144,AY144,BL144,X144),0))</f>
        <v>2.9561836544515754</v>
      </c>
      <c r="BD144" s="735">
        <f>IF($E$36=$D$36,IF(AW144=2,Fall2Tzul(AX144, AZ144, BJ144,Q144, Z144),0),IF(AW144=2,Fall2Tzul(AX144, AZ144, BJ144,W144, Z144),0))</f>
        <v>0</v>
      </c>
      <c r="BE144" s="735">
        <f>IF($E$36=$D$36,IF(AW144=2,Fall2xzul(AX144,AZ144,BL144,R144,AA144),0),IF(AW144=2,Fall2xzul(AX144,AZ144,BL144,X144,AA144),0))</f>
        <v>0</v>
      </c>
      <c r="BF144" s="735">
        <f t="shared" si="19"/>
        <v>0</v>
      </c>
      <c r="BG144" s="735">
        <f t="shared" si="20"/>
        <v>0</v>
      </c>
      <c r="BH144" s="735">
        <f t="shared" si="21"/>
        <v>0</v>
      </c>
      <c r="BI144" s="735">
        <f t="shared" si="22"/>
        <v>0</v>
      </c>
      <c r="BJ144" s="473">
        <f t="shared" si="93"/>
        <v>20.648648648648649</v>
      </c>
      <c r="BK144" s="491">
        <f t="shared" si="23"/>
        <v>0.18440705672735885</v>
      </c>
      <c r="BL144" s="475">
        <f>AbsFeuchte(BJ144,BK144,$N$19)</f>
        <v>2.9561836544515754</v>
      </c>
      <c r="BM144" s="735">
        <f t="shared" si="24"/>
        <v>28.281266198092865</v>
      </c>
      <c r="BN144" s="473">
        <f t="shared" si="94"/>
        <v>20.648648648648649</v>
      </c>
      <c r="BO144" s="491">
        <f t="shared" si="25"/>
        <v>0.18440705672735885</v>
      </c>
      <c r="BP144" s="475">
        <f t="shared" si="74"/>
        <v>2.9561836544515754</v>
      </c>
      <c r="BQ144" s="735">
        <f t="shared" si="26"/>
        <v>28.281266198092865</v>
      </c>
      <c r="BR144" s="473">
        <f t="shared" si="75"/>
        <v>22.702702702702702</v>
      </c>
      <c r="BS144" s="491">
        <f t="shared" si="76"/>
        <v>0.16264057061648055</v>
      </c>
      <c r="BT144" s="475">
        <f>AbsFeuchte(BR144,BS144,$N$19)</f>
        <v>2.9561836544515754</v>
      </c>
      <c r="BU144" s="576">
        <f>IF($I$21=0,IF(E$13=$S$10,BR144+$N$18,BR144),IF(E$13=$S$10,BR144+$N$18+#REF!,BR144+$I$21))</f>
        <v>22.702702702702702</v>
      </c>
      <c r="BV144" s="736">
        <f t="shared" si="77"/>
        <v>0.16264057061648055</v>
      </c>
      <c r="BW144" s="726">
        <f t="shared" si="78"/>
        <v>2.9561836544515754</v>
      </c>
      <c r="BX144" s="475">
        <f t="shared" si="95"/>
        <v>0</v>
      </c>
      <c r="BY144" s="475">
        <f t="shared" si="96"/>
        <v>2.9196767559618735</v>
      </c>
      <c r="BZ144" s="475">
        <f t="shared" si="79"/>
        <v>0</v>
      </c>
      <c r="CA144" s="475">
        <f t="shared" si="80"/>
        <v>0</v>
      </c>
      <c r="CB144" s="475">
        <f t="shared" si="27"/>
        <v>0</v>
      </c>
      <c r="CC144" s="475">
        <f t="shared" si="28"/>
        <v>2.9196767559618735</v>
      </c>
      <c r="CD144" s="475">
        <f t="shared" si="29"/>
        <v>0</v>
      </c>
      <c r="CE144" s="621">
        <f t="shared" si="30"/>
        <v>0</v>
      </c>
      <c r="CF144" s="621">
        <f t="shared" si="31"/>
        <v>0</v>
      </c>
      <c r="CG144" s="621">
        <f t="shared" si="32"/>
        <v>0</v>
      </c>
      <c r="CH144" s="573">
        <f t="shared" si="33"/>
        <v>0</v>
      </c>
      <c r="CI144" s="621">
        <f t="shared" si="34"/>
        <v>0</v>
      </c>
      <c r="CJ144" s="621">
        <f t="shared" si="35"/>
        <v>0</v>
      </c>
      <c r="CK144" s="621">
        <f t="shared" si="36"/>
        <v>0.28545561525000895</v>
      </c>
      <c r="CL144" s="737">
        <f t="shared" si="37"/>
        <v>0</v>
      </c>
      <c r="CM144" s="738">
        <f t="shared" si="38"/>
        <v>0</v>
      </c>
      <c r="CN144" s="475">
        <f t="shared" si="39"/>
        <v>0.18440705672735885</v>
      </c>
      <c r="CO144" s="475">
        <f t="shared" si="40"/>
        <v>0.18440705672735885</v>
      </c>
      <c r="CP144" s="475">
        <f t="shared" si="97"/>
        <v>17.762162162162163</v>
      </c>
      <c r="CQ144" s="475">
        <f t="shared" si="41"/>
        <v>17.762162162162163</v>
      </c>
      <c r="CR144" s="475">
        <f t="shared" si="42"/>
        <v>2.9196767559618735</v>
      </c>
      <c r="CS144" s="475">
        <f t="shared" si="43"/>
        <v>0</v>
      </c>
      <c r="CT144" s="475">
        <f t="shared" si="44"/>
        <v>0.54996868884540118</v>
      </c>
      <c r="CU144" s="475">
        <f t="shared" si="45"/>
        <v>20.648648648648649</v>
      </c>
      <c r="CV144" s="475">
        <f t="shared" si="46"/>
        <v>20.648648648648649</v>
      </c>
      <c r="CW144" s="475">
        <f t="shared" si="98"/>
        <v>0.83542430409541013</v>
      </c>
      <c r="CX144" s="573">
        <f t="shared" si="99"/>
        <v>0</v>
      </c>
      <c r="CY144" s="475">
        <f t="shared" si="102"/>
        <v>20.648648648648649</v>
      </c>
      <c r="CZ144" s="475">
        <f t="shared" si="100"/>
        <v>20.648648648648649</v>
      </c>
      <c r="DA144" s="475">
        <v>-2</v>
      </c>
      <c r="DB144" s="739">
        <f t="shared" si="82"/>
        <v>15.955563444498802</v>
      </c>
      <c r="DC144" s="740">
        <f t="shared" si="47"/>
        <v>2.4547020683844312</v>
      </c>
    </row>
    <row r="145" spans="1:107" s="619" customFormat="1" ht="12" customHeight="1">
      <c r="A145" s="732">
        <v>-1</v>
      </c>
      <c r="B145" s="917">
        <f>Klimadaten!O29/8760*$K$68</f>
        <v>87.705479452054789</v>
      </c>
      <c r="C145" s="762">
        <f>Klimadaten!Q29</f>
        <v>3.2480380336969135</v>
      </c>
      <c r="D145" s="763">
        <f>Klimadaten!N29</f>
        <v>0.87583756345177666</v>
      </c>
      <c r="E145" s="491">
        <f t="shared" si="48"/>
        <v>0.17802948167056246</v>
      </c>
      <c r="F145" s="438">
        <f t="shared" si="49"/>
        <v>0</v>
      </c>
      <c r="G145" s="733">
        <f t="shared" si="9"/>
        <v>-1</v>
      </c>
      <c r="H145" s="527">
        <f t="shared" si="50"/>
        <v>21.621621621621621</v>
      </c>
      <c r="I145" s="733">
        <f t="shared" si="51"/>
        <v>18.005405405405408</v>
      </c>
      <c r="J145" s="473">
        <f t="shared" si="52"/>
        <v>18.005405405405408</v>
      </c>
      <c r="K145" s="491">
        <f t="shared" si="53"/>
        <v>0.8</v>
      </c>
      <c r="L145" s="473">
        <f t="shared" si="54"/>
        <v>18.005405405405408</v>
      </c>
      <c r="M145" s="473">
        <f t="shared" si="83"/>
        <v>3.2480380336969135</v>
      </c>
      <c r="N145" s="473">
        <f t="shared" si="84"/>
        <v>26.347506752252169</v>
      </c>
      <c r="O145" s="473">
        <f t="shared" si="55"/>
        <v>26.347506752252169</v>
      </c>
      <c r="P145" s="734">
        <f t="shared" si="10"/>
        <v>0</v>
      </c>
      <c r="Q145" s="473">
        <f t="shared" si="85"/>
        <v>18.005405405405408</v>
      </c>
      <c r="R145" s="475">
        <f t="shared" si="101"/>
        <v>3.2480380336969135</v>
      </c>
      <c r="S145" s="473">
        <f t="shared" si="86"/>
        <v>26.347506752252169</v>
      </c>
      <c r="T145" s="473">
        <f t="shared" si="11"/>
        <v>18.005405405405408</v>
      </c>
      <c r="U145" s="473">
        <f t="shared" si="12"/>
        <v>18.005405405405408</v>
      </c>
      <c r="V145" s="734">
        <f t="shared" si="13"/>
        <v>0</v>
      </c>
      <c r="W145" s="473">
        <f t="shared" si="56"/>
        <v>18.005405405405408</v>
      </c>
      <c r="X145" s="475">
        <f t="shared" si="57"/>
        <v>3.2480380336969135</v>
      </c>
      <c r="Y145" s="735">
        <f t="shared" si="58"/>
        <v>26.347506752252169</v>
      </c>
      <c r="Z145" s="475">
        <f t="shared" si="59"/>
        <v>9</v>
      </c>
      <c r="AA145" s="475">
        <f>IF($E$36=$D$36,MIN(AbsFeuchte(Z145,100%,$N$19),R145),MIN(AbsFeuchte(Z145,100%,$N$19),X145))</f>
        <v>3.2480380336969135</v>
      </c>
      <c r="AB145" s="735">
        <f t="shared" si="60"/>
        <v>17.233664101780285</v>
      </c>
      <c r="AC145" s="475">
        <f t="shared" si="61"/>
        <v>9</v>
      </c>
      <c r="AD145" s="475">
        <v>23</v>
      </c>
      <c r="AE145" s="735">
        <f t="shared" si="62"/>
        <v>66.975819999999985</v>
      </c>
      <c r="AF145" s="735">
        <f t="shared" si="63"/>
        <v>9</v>
      </c>
      <c r="AG145" s="735">
        <f t="shared" si="87"/>
        <v>9.9999999999999992E+22</v>
      </c>
      <c r="AH145" s="475">
        <f t="shared" si="88"/>
        <v>18.005405405405408</v>
      </c>
      <c r="AI145" s="475">
        <f t="shared" si="64"/>
        <v>3.2480380336969135</v>
      </c>
      <c r="AJ145" s="735">
        <f t="shared" si="65"/>
        <v>26.347506752252169</v>
      </c>
      <c r="AK145" s="475">
        <f t="shared" si="66"/>
        <v>18.005405405405408</v>
      </c>
      <c r="AL145" s="475">
        <f t="shared" si="67"/>
        <v>3.2480380336969135</v>
      </c>
      <c r="AM145" s="735">
        <f t="shared" si="68"/>
        <v>26.347506752252169</v>
      </c>
      <c r="AN145" s="475">
        <f t="shared" si="89"/>
        <v>20.621621621621621</v>
      </c>
      <c r="AO145" s="475">
        <f t="shared" si="69"/>
        <v>3.2480380336969135</v>
      </c>
      <c r="AP145" s="735">
        <f t="shared" si="90"/>
        <v>28.99522574554652</v>
      </c>
      <c r="AQ145" s="475" t="e">
        <f t="shared" ca="1" si="14"/>
        <v>#NAME?</v>
      </c>
      <c r="AR145" s="475">
        <f t="shared" si="91"/>
        <v>3.2480380336969135</v>
      </c>
      <c r="AS145" s="735" t="e">
        <f t="shared" ca="1" si="15"/>
        <v>#VALUE!</v>
      </c>
      <c r="AT145" s="475">
        <f t="shared" si="92"/>
        <v>20.621621621621621</v>
      </c>
      <c r="AU145" s="475">
        <f t="shared" si="16"/>
        <v>3.2480380336969135</v>
      </c>
      <c r="AV145" s="735">
        <f t="shared" si="17"/>
        <v>28.99522574554652</v>
      </c>
      <c r="AW145" s="529">
        <f t="shared" si="70"/>
        <v>1</v>
      </c>
      <c r="AX145" s="735">
        <f t="shared" si="71"/>
        <v>1</v>
      </c>
      <c r="AY145" s="735">
        <f t="shared" si="18"/>
        <v>1</v>
      </c>
      <c r="AZ145" s="735">
        <f t="shared" si="72"/>
        <v>1</v>
      </c>
      <c r="BA145" s="735">
        <f t="shared" si="73"/>
        <v>1</v>
      </c>
      <c r="BB145" s="735">
        <f>IF($E$36=$D$36,IF(AW145=1,Fall1Tzul(AX145,AY145,BJ145,Q145),0),IF(AW145=1,Fall1Tzul(AX145,AY145,BJ145,W145),0))</f>
        <v>20.621621621621621</v>
      </c>
      <c r="BC145" s="735">
        <f>IF($E$36=$D$36,IF(AW145=1,Fall1xzul(AX145,AY145,BL145,R145),0),IF(AW145=1,Fall1xzul(AX145,AY145,BL145,X145),0))</f>
        <v>3.2480380336969135</v>
      </c>
      <c r="BD145" s="735">
        <f>IF($E$36=$D$36,IF(AW145=2,Fall2Tzul(AX145, AZ145, BJ145,Q145, Z145),0),IF(AW145=2,Fall2Tzul(AX145, AZ145, BJ145,W145, Z145),0))</f>
        <v>0</v>
      </c>
      <c r="BE145" s="735">
        <f>IF($E$36=$D$36,IF(AW145=2,Fall2xzul(AX145,AZ145,BL145,R145,AA145),0),IF(AW145=2,Fall2xzul(AX145,AZ145,BL145,X145,AA145),0))</f>
        <v>0</v>
      </c>
      <c r="BF145" s="735">
        <f t="shared" si="19"/>
        <v>0</v>
      </c>
      <c r="BG145" s="735">
        <f t="shared" si="20"/>
        <v>0</v>
      </c>
      <c r="BH145" s="735">
        <f t="shared" si="21"/>
        <v>0</v>
      </c>
      <c r="BI145" s="735">
        <f t="shared" si="22"/>
        <v>0</v>
      </c>
      <c r="BJ145" s="473">
        <f t="shared" si="93"/>
        <v>20.621621621621621</v>
      </c>
      <c r="BK145" s="491">
        <f t="shared" si="23"/>
        <v>0.2028560560283087</v>
      </c>
      <c r="BL145" s="475">
        <f>AbsFeuchte(BJ145,BK145,$N$19)</f>
        <v>3.2480380336969135</v>
      </c>
      <c r="BM145" s="735">
        <f t="shared" si="24"/>
        <v>28.99522574554652</v>
      </c>
      <c r="BN145" s="473">
        <f t="shared" si="94"/>
        <v>20.621621621621621</v>
      </c>
      <c r="BO145" s="491">
        <f t="shared" si="25"/>
        <v>0.2028560560283087</v>
      </c>
      <c r="BP145" s="475">
        <f t="shared" si="74"/>
        <v>3.2480380336969135</v>
      </c>
      <c r="BQ145" s="735">
        <f t="shared" si="26"/>
        <v>28.99522574554652</v>
      </c>
      <c r="BR145" s="473">
        <f t="shared" si="75"/>
        <v>22.756756756756758</v>
      </c>
      <c r="BS145" s="491">
        <f t="shared" si="76"/>
        <v>0.17802948167056246</v>
      </c>
      <c r="BT145" s="475">
        <f>AbsFeuchte(BR145,BS145,$N$19)</f>
        <v>3.2480380336969135</v>
      </c>
      <c r="BU145" s="576">
        <f>IF($I$21=0,IF(E$13=$S$10,BR145+$N$18,BR145),IF(E$13=$S$10,BR145+$N$18+#REF!,BR145+$I$21))</f>
        <v>22.756756756756758</v>
      </c>
      <c r="BV145" s="736">
        <f t="shared" si="77"/>
        <v>0.17802948167056246</v>
      </c>
      <c r="BW145" s="726">
        <f t="shared" si="78"/>
        <v>3.2480380336969135</v>
      </c>
      <c r="BX145" s="475">
        <f t="shared" si="95"/>
        <v>0</v>
      </c>
      <c r="BY145" s="475">
        <f t="shared" si="96"/>
        <v>2.647718993294351</v>
      </c>
      <c r="BZ145" s="475">
        <f t="shared" si="79"/>
        <v>0</v>
      </c>
      <c r="CA145" s="475">
        <f t="shared" si="80"/>
        <v>0</v>
      </c>
      <c r="CB145" s="475">
        <f t="shared" si="27"/>
        <v>0</v>
      </c>
      <c r="CC145" s="475">
        <f t="shared" si="28"/>
        <v>2.647718993294351</v>
      </c>
      <c r="CD145" s="475">
        <f t="shared" si="29"/>
        <v>0</v>
      </c>
      <c r="CE145" s="621">
        <f t="shared" si="30"/>
        <v>0</v>
      </c>
      <c r="CF145" s="621">
        <f t="shared" si="31"/>
        <v>0</v>
      </c>
      <c r="CG145" s="621">
        <f t="shared" si="32"/>
        <v>0</v>
      </c>
      <c r="CH145" s="573">
        <f t="shared" si="33"/>
        <v>0</v>
      </c>
      <c r="CI145" s="621">
        <f t="shared" si="34"/>
        <v>0</v>
      </c>
      <c r="CJ145" s="621">
        <f t="shared" si="35"/>
        <v>0</v>
      </c>
      <c r="CK145" s="621">
        <f t="shared" si="36"/>
        <v>0.2833149095495644</v>
      </c>
      <c r="CL145" s="737">
        <f t="shared" si="37"/>
        <v>0</v>
      </c>
      <c r="CM145" s="738">
        <f t="shared" si="38"/>
        <v>0</v>
      </c>
      <c r="CN145" s="475">
        <f t="shared" si="39"/>
        <v>0.2028560560283087</v>
      </c>
      <c r="CO145" s="475">
        <f t="shared" si="40"/>
        <v>0.2028560560283087</v>
      </c>
      <c r="CP145" s="475">
        <f t="shared" si="97"/>
        <v>18.005405405405408</v>
      </c>
      <c r="CQ145" s="475">
        <f t="shared" si="41"/>
        <v>18.005405405405408</v>
      </c>
      <c r="CR145" s="475">
        <f t="shared" si="42"/>
        <v>2.647718993294351</v>
      </c>
      <c r="CS145" s="475">
        <f t="shared" si="43"/>
        <v>0</v>
      </c>
      <c r="CT145" s="475">
        <f t="shared" si="44"/>
        <v>0.60191017612524467</v>
      </c>
      <c r="CU145" s="475">
        <f t="shared" si="45"/>
        <v>20.621621621621621</v>
      </c>
      <c r="CV145" s="475">
        <f t="shared" si="46"/>
        <v>20.621621621621621</v>
      </c>
      <c r="CW145" s="475">
        <f t="shared" si="98"/>
        <v>0.88522508567480906</v>
      </c>
      <c r="CX145" s="573">
        <f t="shared" si="99"/>
        <v>0</v>
      </c>
      <c r="CY145" s="475">
        <f t="shared" si="102"/>
        <v>20.621621621621621</v>
      </c>
      <c r="CZ145" s="475">
        <f t="shared" si="100"/>
        <v>20.621621621621621</v>
      </c>
      <c r="DA145" s="475">
        <v>-1</v>
      </c>
      <c r="DB145" s="739">
        <f t="shared" si="82"/>
        <v>15.955563444498802</v>
      </c>
      <c r="DC145" s="740">
        <f t="shared" si="47"/>
        <v>1.2273510341922156</v>
      </c>
    </row>
    <row r="146" spans="1:107" s="619" customFormat="1" ht="12" customHeight="1">
      <c r="A146" s="732">
        <v>0</v>
      </c>
      <c r="B146" s="917">
        <f>Klimadaten!O30/8760*$K$68</f>
        <v>110.85616438356165</v>
      </c>
      <c r="C146" s="762">
        <f>Klimadaten!Q30</f>
        <v>3.4955488557543402</v>
      </c>
      <c r="D146" s="763">
        <f>Klimadaten!N30</f>
        <v>0.86771084337349391</v>
      </c>
      <c r="E146" s="491">
        <f t="shared" si="48"/>
        <v>0.19089344420192689</v>
      </c>
      <c r="F146" s="438">
        <f t="shared" si="49"/>
        <v>0</v>
      </c>
      <c r="G146" s="733">
        <f t="shared" si="9"/>
        <v>0</v>
      </c>
      <c r="H146" s="527">
        <f t="shared" si="50"/>
        <v>20.594594594594593</v>
      </c>
      <c r="I146" s="733">
        <f t="shared" si="51"/>
        <v>18.248648648648651</v>
      </c>
      <c r="J146" s="473">
        <f t="shared" si="52"/>
        <v>18.248648648648651</v>
      </c>
      <c r="K146" s="491">
        <f t="shared" si="53"/>
        <v>0.8</v>
      </c>
      <c r="L146" s="473">
        <f t="shared" si="54"/>
        <v>18.248648648648651</v>
      </c>
      <c r="M146" s="473">
        <f t="shared" si="83"/>
        <v>3.4955488557543402</v>
      </c>
      <c r="N146" s="473">
        <f t="shared" si="84"/>
        <v>27.221253177894894</v>
      </c>
      <c r="O146" s="473">
        <f t="shared" si="55"/>
        <v>27.221253177894894</v>
      </c>
      <c r="P146" s="734">
        <f t="shared" si="10"/>
        <v>0</v>
      </c>
      <c r="Q146" s="473">
        <f t="shared" si="85"/>
        <v>18.248648648648651</v>
      </c>
      <c r="R146" s="475">
        <f t="shared" si="101"/>
        <v>3.4955488557543402</v>
      </c>
      <c r="S146" s="473">
        <f t="shared" si="86"/>
        <v>27.221253177894894</v>
      </c>
      <c r="T146" s="473">
        <f t="shared" si="11"/>
        <v>18.248648648648651</v>
      </c>
      <c r="U146" s="473">
        <f t="shared" si="12"/>
        <v>18.248648648648651</v>
      </c>
      <c r="V146" s="734">
        <f t="shared" si="13"/>
        <v>0</v>
      </c>
      <c r="W146" s="473">
        <f t="shared" si="56"/>
        <v>18.248648648648651</v>
      </c>
      <c r="X146" s="475">
        <f t="shared" si="57"/>
        <v>3.4955488557543402</v>
      </c>
      <c r="Y146" s="735">
        <f t="shared" si="58"/>
        <v>27.221253177894894</v>
      </c>
      <c r="Z146" s="475">
        <f t="shared" si="59"/>
        <v>9</v>
      </c>
      <c r="AA146" s="475">
        <f>IF($E$36=$D$36,MIN(AbsFeuchte(Z146,100%,$N$19),R146),MIN(AbsFeuchte(Z146,100%,$N$19),X146))</f>
        <v>3.4955488557543402</v>
      </c>
      <c r="AB146" s="735">
        <f t="shared" si="60"/>
        <v>17.856980505400383</v>
      </c>
      <c r="AC146" s="475">
        <f t="shared" si="61"/>
        <v>9</v>
      </c>
      <c r="AD146" s="475">
        <v>24</v>
      </c>
      <c r="AE146" s="735">
        <f t="shared" si="62"/>
        <v>69.494159999999994</v>
      </c>
      <c r="AF146" s="735">
        <f t="shared" si="63"/>
        <v>9</v>
      </c>
      <c r="AG146" s="735">
        <f t="shared" si="87"/>
        <v>9.9999999999999992E+22</v>
      </c>
      <c r="AH146" s="475">
        <f t="shared" si="88"/>
        <v>18.248648648648651</v>
      </c>
      <c r="AI146" s="475">
        <f t="shared" si="64"/>
        <v>3.4955488557543402</v>
      </c>
      <c r="AJ146" s="735">
        <f t="shared" si="65"/>
        <v>27.221253177894894</v>
      </c>
      <c r="AK146" s="475">
        <f t="shared" si="66"/>
        <v>18.248648648648651</v>
      </c>
      <c r="AL146" s="475">
        <f t="shared" si="67"/>
        <v>3.4955488557543402</v>
      </c>
      <c r="AM146" s="735">
        <f t="shared" si="68"/>
        <v>27.221253177894894</v>
      </c>
      <c r="AN146" s="475">
        <f t="shared" si="89"/>
        <v>20.594594594594597</v>
      </c>
      <c r="AO146" s="475">
        <f t="shared" si="69"/>
        <v>3.4955488557543402</v>
      </c>
      <c r="AP146" s="735">
        <f t="shared" si="90"/>
        <v>29.596527485237157</v>
      </c>
      <c r="AQ146" s="475" t="e">
        <f t="shared" ca="1" si="14"/>
        <v>#NAME?</v>
      </c>
      <c r="AR146" s="475">
        <f t="shared" si="91"/>
        <v>3.4955488557543402</v>
      </c>
      <c r="AS146" s="735" t="e">
        <f t="shared" ca="1" si="15"/>
        <v>#VALUE!</v>
      </c>
      <c r="AT146" s="475">
        <f t="shared" si="92"/>
        <v>20.594594594594593</v>
      </c>
      <c r="AU146" s="475">
        <f t="shared" si="16"/>
        <v>3.4955488557543402</v>
      </c>
      <c r="AV146" s="735">
        <f t="shared" si="17"/>
        <v>29.596527485237157</v>
      </c>
      <c r="AW146" s="529">
        <f t="shared" si="70"/>
        <v>1</v>
      </c>
      <c r="AX146" s="735">
        <f t="shared" si="71"/>
        <v>1</v>
      </c>
      <c r="AY146" s="735">
        <f t="shared" si="18"/>
        <v>1</v>
      </c>
      <c r="AZ146" s="735">
        <f t="shared" si="72"/>
        <v>1</v>
      </c>
      <c r="BA146" s="735">
        <f t="shared" si="73"/>
        <v>1</v>
      </c>
      <c r="BB146" s="735">
        <f>IF($E$36=$D$36,IF(AW146=1,Fall1Tzul(AX146,AY146,BJ146,Q146),0),IF(AW146=1,Fall1Tzul(AX146,AY146,BJ146,W146),0))</f>
        <v>20.594594594594593</v>
      </c>
      <c r="BC146" s="735">
        <f>IF($E$36=$D$36,IF(AW146=1,Fall1xzul(AX146,AY146,BL146,R146),0),IF(AW146=1,Fall1xzul(AX146,AY146,BL146,X146),0))</f>
        <v>3.4955488557543402</v>
      </c>
      <c r="BD146" s="735">
        <f>IF($E$36=$D$36,IF(AW146=2,Fall2Tzul(AX146, AZ146, BJ146,Q146, Z146),0),IF(AW146=2,Fall2Tzul(AX146, AZ146, BJ146,W146, Z146),0))</f>
        <v>0</v>
      </c>
      <c r="BE146" s="735">
        <f>IF($E$36=$D$36,IF(AW146=2,Fall2xzul(AX146,AZ146,BL146,R146,AA146),0),IF(AW146=2,Fall2xzul(AX146,AZ146,BL146,X146,AA146),0))</f>
        <v>0</v>
      </c>
      <c r="BF146" s="735">
        <f t="shared" si="19"/>
        <v>0</v>
      </c>
      <c r="BG146" s="735">
        <f t="shared" si="20"/>
        <v>0</v>
      </c>
      <c r="BH146" s="735">
        <f t="shared" si="21"/>
        <v>0</v>
      </c>
      <c r="BI146" s="735">
        <f t="shared" si="22"/>
        <v>0</v>
      </c>
      <c r="BJ146" s="473">
        <f t="shared" si="93"/>
        <v>20.594594594594593</v>
      </c>
      <c r="BK146" s="491">
        <f t="shared" si="23"/>
        <v>0.21859188123569456</v>
      </c>
      <c r="BL146" s="475">
        <f>AbsFeuchte(BJ146,BK146,$N$19)</f>
        <v>3.4955488557543402</v>
      </c>
      <c r="BM146" s="735">
        <f t="shared" si="24"/>
        <v>29.596527485237157</v>
      </c>
      <c r="BN146" s="473">
        <f t="shared" si="94"/>
        <v>20.594594594594593</v>
      </c>
      <c r="BO146" s="491">
        <f t="shared" si="25"/>
        <v>0.21859188123569456</v>
      </c>
      <c r="BP146" s="475">
        <f t="shared" si="74"/>
        <v>3.4955488557543402</v>
      </c>
      <c r="BQ146" s="735">
        <f t="shared" si="26"/>
        <v>29.596527485237157</v>
      </c>
      <c r="BR146" s="473">
        <f t="shared" si="75"/>
        <v>22.810810810810811</v>
      </c>
      <c r="BS146" s="491">
        <f t="shared" si="76"/>
        <v>0.19089344420192689</v>
      </c>
      <c r="BT146" s="475">
        <f>AbsFeuchte(BR146,BS146,$N$19)</f>
        <v>3.4955488557543402</v>
      </c>
      <c r="BU146" s="576">
        <f>IF($I$21=0,IF(E$13=$S$10,BR146+$N$18,BR146),IF(E$13=$S$10,BR146+$N$18+#REF!,BR146+$I$21))</f>
        <v>22.810810810810811</v>
      </c>
      <c r="BV146" s="736">
        <f t="shared" si="77"/>
        <v>0.19089344420192689</v>
      </c>
      <c r="BW146" s="726">
        <f t="shared" si="78"/>
        <v>3.4955488557543402</v>
      </c>
      <c r="BX146" s="475">
        <f t="shared" si="95"/>
        <v>0</v>
      </c>
      <c r="BY146" s="475">
        <f t="shared" si="96"/>
        <v>2.3752743073422629</v>
      </c>
      <c r="BZ146" s="475">
        <f t="shared" si="79"/>
        <v>0</v>
      </c>
      <c r="CA146" s="475">
        <f t="shared" si="80"/>
        <v>0</v>
      </c>
      <c r="CB146" s="475">
        <f t="shared" si="27"/>
        <v>0</v>
      </c>
      <c r="CC146" s="475">
        <f t="shared" si="28"/>
        <v>2.3752743073422629</v>
      </c>
      <c r="CD146" s="475">
        <f t="shared" si="29"/>
        <v>0</v>
      </c>
      <c r="CE146" s="621">
        <f t="shared" si="30"/>
        <v>0</v>
      </c>
      <c r="CF146" s="621">
        <f t="shared" si="31"/>
        <v>0</v>
      </c>
      <c r="CG146" s="621">
        <f t="shared" si="32"/>
        <v>0</v>
      </c>
      <c r="CH146" s="573">
        <f t="shared" si="33"/>
        <v>0</v>
      </c>
      <c r="CI146" s="621">
        <f t="shared" si="34"/>
        <v>0</v>
      </c>
      <c r="CJ146" s="621">
        <f t="shared" si="35"/>
        <v>0</v>
      </c>
      <c r="CK146" s="621">
        <f t="shared" si="36"/>
        <v>0.32125095785945185</v>
      </c>
      <c r="CL146" s="737">
        <f t="shared" si="37"/>
        <v>0</v>
      </c>
      <c r="CM146" s="738">
        <f t="shared" si="38"/>
        <v>0</v>
      </c>
      <c r="CN146" s="475">
        <f t="shared" si="39"/>
        <v>0.21859188123569456</v>
      </c>
      <c r="CO146" s="475">
        <f t="shared" si="40"/>
        <v>0.21859188123569456</v>
      </c>
      <c r="CP146" s="475">
        <f t="shared" si="97"/>
        <v>18.248648648648651</v>
      </c>
      <c r="CQ146" s="475">
        <f t="shared" si="41"/>
        <v>18.248648648648651</v>
      </c>
      <c r="CR146" s="475">
        <f t="shared" si="42"/>
        <v>2.3752743073422629</v>
      </c>
      <c r="CS146" s="475">
        <f t="shared" si="43"/>
        <v>0</v>
      </c>
      <c r="CT146" s="475">
        <f t="shared" si="44"/>
        <v>0.76079001956947168</v>
      </c>
      <c r="CU146" s="475">
        <f t="shared" si="45"/>
        <v>20.594594594594593</v>
      </c>
      <c r="CV146" s="475">
        <f t="shared" si="46"/>
        <v>20.594594594594593</v>
      </c>
      <c r="CW146" s="475">
        <f t="shared" si="98"/>
        <v>1.0820409774289235</v>
      </c>
      <c r="CX146" s="573">
        <f t="shared" si="99"/>
        <v>0</v>
      </c>
      <c r="CY146" s="475">
        <f t="shared" si="102"/>
        <v>20.594594594594593</v>
      </c>
      <c r="CZ146" s="475">
        <f t="shared" si="100"/>
        <v>20.594594594594593</v>
      </c>
      <c r="DA146" s="475">
        <v>0</v>
      </c>
      <c r="DB146" s="739">
        <f t="shared" si="82"/>
        <v>15.955563444498802</v>
      </c>
      <c r="DC146" s="740">
        <f t="shared" si="47"/>
        <v>0</v>
      </c>
    </row>
    <row r="147" spans="1:107" s="619" customFormat="1" ht="12" customHeight="1">
      <c r="A147" s="732">
        <v>1</v>
      </c>
      <c r="B147" s="917">
        <f>Klimadaten!O31/8760*$K$68</f>
        <v>147.8082191780822</v>
      </c>
      <c r="C147" s="762">
        <f>Klimadaten!Q31</f>
        <v>3.6380720602590477</v>
      </c>
      <c r="D147" s="763">
        <f>Klimadaten!N31</f>
        <v>0.83966867469879514</v>
      </c>
      <c r="E147" s="491">
        <f t="shared" si="48"/>
        <v>0.19798180568959711</v>
      </c>
      <c r="F147" s="438">
        <f t="shared" si="49"/>
        <v>0</v>
      </c>
      <c r="G147" s="733">
        <f t="shared" si="9"/>
        <v>1</v>
      </c>
      <c r="H147" s="527">
        <f t="shared" si="50"/>
        <v>19.567567567567568</v>
      </c>
      <c r="I147" s="733">
        <f t="shared" si="51"/>
        <v>18.491891891891893</v>
      </c>
      <c r="J147" s="473">
        <f t="shared" si="52"/>
        <v>18.491891891891893</v>
      </c>
      <c r="K147" s="491">
        <f t="shared" si="53"/>
        <v>0.8</v>
      </c>
      <c r="L147" s="473">
        <f t="shared" si="54"/>
        <v>18.491891891891893</v>
      </c>
      <c r="M147" s="473">
        <f t="shared" si="83"/>
        <v>3.6380720602590477</v>
      </c>
      <c r="N147" s="473">
        <f t="shared" si="84"/>
        <v>27.828975502721072</v>
      </c>
      <c r="O147" s="473">
        <f t="shared" si="55"/>
        <v>27.828975502721072</v>
      </c>
      <c r="P147" s="734">
        <f t="shared" si="10"/>
        <v>0</v>
      </c>
      <c r="Q147" s="473">
        <f t="shared" si="85"/>
        <v>18.491891891891893</v>
      </c>
      <c r="R147" s="475">
        <f t="shared" si="101"/>
        <v>3.6380720602590477</v>
      </c>
      <c r="S147" s="473">
        <f t="shared" si="86"/>
        <v>27.828975502721072</v>
      </c>
      <c r="T147" s="473">
        <f t="shared" si="11"/>
        <v>18.491891891891893</v>
      </c>
      <c r="U147" s="473">
        <f t="shared" si="12"/>
        <v>18.491891891891893</v>
      </c>
      <c r="V147" s="734">
        <f t="shared" si="13"/>
        <v>0</v>
      </c>
      <c r="W147" s="473">
        <f t="shared" si="56"/>
        <v>18.491891891891893</v>
      </c>
      <c r="X147" s="475">
        <f t="shared" si="57"/>
        <v>3.6380720602590477</v>
      </c>
      <c r="Y147" s="735">
        <f t="shared" si="58"/>
        <v>27.828975502721072</v>
      </c>
      <c r="Z147" s="475">
        <f t="shared" si="59"/>
        <v>9</v>
      </c>
      <c r="AA147" s="475">
        <f>IF($E$36=$D$36,MIN(AbsFeuchte(Z147,100%,$N$19),R147),MIN(AbsFeuchte(Z147,100%,$N$19),X147))</f>
        <v>3.6380720602590477</v>
      </c>
      <c r="AB147" s="735">
        <f t="shared" si="60"/>
        <v>18.215902392232771</v>
      </c>
      <c r="AC147" s="475">
        <f t="shared" si="61"/>
        <v>9</v>
      </c>
      <c r="AD147" s="475">
        <v>25</v>
      </c>
      <c r="AE147" s="735">
        <f t="shared" si="62"/>
        <v>72.012499999999989</v>
      </c>
      <c r="AF147" s="735">
        <f t="shared" si="63"/>
        <v>9</v>
      </c>
      <c r="AG147" s="735">
        <f t="shared" si="87"/>
        <v>9.9999999999999992E+22</v>
      </c>
      <c r="AH147" s="475">
        <f t="shared" si="88"/>
        <v>18.491891891891893</v>
      </c>
      <c r="AI147" s="475">
        <f t="shared" si="64"/>
        <v>3.6380720602590477</v>
      </c>
      <c r="AJ147" s="735">
        <f t="shared" si="65"/>
        <v>27.828975502721072</v>
      </c>
      <c r="AK147" s="475">
        <f t="shared" si="66"/>
        <v>18.491891891891893</v>
      </c>
      <c r="AL147" s="475">
        <f t="shared" si="67"/>
        <v>3.6380720602590477</v>
      </c>
      <c r="AM147" s="735">
        <f t="shared" si="68"/>
        <v>27.828975502721072</v>
      </c>
      <c r="AN147" s="475">
        <f t="shared" si="89"/>
        <v>20.567567567567568</v>
      </c>
      <c r="AO147" s="475">
        <f t="shared" si="69"/>
        <v>3.6380720602590477</v>
      </c>
      <c r="AP147" s="735">
        <f t="shared" si="90"/>
        <v>29.931150943739016</v>
      </c>
      <c r="AQ147" s="475" t="e">
        <f t="shared" ca="1" si="14"/>
        <v>#NAME?</v>
      </c>
      <c r="AR147" s="475">
        <f t="shared" si="91"/>
        <v>3.6380720602590477</v>
      </c>
      <c r="AS147" s="735" t="e">
        <f t="shared" ca="1" si="15"/>
        <v>#VALUE!</v>
      </c>
      <c r="AT147" s="475">
        <f t="shared" si="92"/>
        <v>20.567567567567568</v>
      </c>
      <c r="AU147" s="475">
        <f t="shared" si="16"/>
        <v>3.6380720602590477</v>
      </c>
      <c r="AV147" s="735">
        <f t="shared" si="17"/>
        <v>29.931150943739016</v>
      </c>
      <c r="AW147" s="529">
        <f t="shared" si="70"/>
        <v>1</v>
      </c>
      <c r="AX147" s="735">
        <f t="shared" si="71"/>
        <v>1</v>
      </c>
      <c r="AY147" s="735">
        <f t="shared" si="18"/>
        <v>1</v>
      </c>
      <c r="AZ147" s="735">
        <f t="shared" si="72"/>
        <v>1</v>
      </c>
      <c r="BA147" s="735">
        <f t="shared" si="73"/>
        <v>1</v>
      </c>
      <c r="BB147" s="735">
        <f>IF($E$36=$D$36,IF(AW147=1,Fall1Tzul(AX147,AY147,BJ147,Q147),0),IF(AW147=1,Fall1Tzul(AX147,AY147,BJ147,W147),0))</f>
        <v>20.567567567567568</v>
      </c>
      <c r="BC147" s="735">
        <f>IF($E$36=$D$36,IF(AW147=1,Fall1xzul(AX147,AY147,BL147,R147),0),IF(AW147=1,Fall1xzul(AX147,AY147,BL147,X147),0))</f>
        <v>3.6380720602590477</v>
      </c>
      <c r="BD147" s="735">
        <f>IF($E$36=$D$36,IF(AW147=2,Fall2Tzul(AX147, AZ147, BJ147,Q147, Z147),0),IF(AW147=2,Fall2Tzul(AX147, AZ147, BJ147,W147, Z147),0))</f>
        <v>0</v>
      </c>
      <c r="BE147" s="735">
        <f>IF($E$36=$D$36,IF(AW147=2,Fall2xzul(AX147,AZ147,BL147,R147,AA147),0),IF(AW147=2,Fall2xzul(AX147,AZ147,BL147,X147,AA147),0))</f>
        <v>0</v>
      </c>
      <c r="BF147" s="735">
        <f t="shared" si="19"/>
        <v>0</v>
      </c>
      <c r="BG147" s="735">
        <f t="shared" si="20"/>
        <v>0</v>
      </c>
      <c r="BH147" s="735">
        <f t="shared" si="21"/>
        <v>0</v>
      </c>
      <c r="BI147" s="735">
        <f t="shared" si="22"/>
        <v>0</v>
      </c>
      <c r="BJ147" s="473">
        <f t="shared" si="93"/>
        <v>20.567567567567568</v>
      </c>
      <c r="BK147" s="491">
        <f t="shared" si="23"/>
        <v>0.22783205075260449</v>
      </c>
      <c r="BL147" s="475">
        <f>AbsFeuchte(BJ147,BK147,$N$19)</f>
        <v>3.6380720602590477</v>
      </c>
      <c r="BM147" s="735">
        <f t="shared" si="24"/>
        <v>29.931150943739016</v>
      </c>
      <c r="BN147" s="473">
        <f t="shared" si="94"/>
        <v>20.567567567567568</v>
      </c>
      <c r="BO147" s="491">
        <f t="shared" si="25"/>
        <v>0.22783205075260449</v>
      </c>
      <c r="BP147" s="475">
        <f t="shared" si="74"/>
        <v>3.6380720602590477</v>
      </c>
      <c r="BQ147" s="735">
        <f t="shared" si="26"/>
        <v>29.931150943739016</v>
      </c>
      <c r="BR147" s="473">
        <f t="shared" si="75"/>
        <v>22.864864864864863</v>
      </c>
      <c r="BS147" s="491">
        <f t="shared" si="76"/>
        <v>0.19798180568959711</v>
      </c>
      <c r="BT147" s="475">
        <f>AbsFeuchte(BR147,BS147,$N$19)</f>
        <v>3.6380720602590477</v>
      </c>
      <c r="BU147" s="576">
        <f>IF($I$21=0,IF(E$13=$S$10,BR147+$N$18,BR147),IF(E$13=$S$10,BR147+$N$18+#REF!,BR147+$I$21))</f>
        <v>22.864864864864863</v>
      </c>
      <c r="BV147" s="736">
        <f t="shared" si="77"/>
        <v>0.19798180568959711</v>
      </c>
      <c r="BW147" s="726">
        <f t="shared" si="78"/>
        <v>3.6380720602590477</v>
      </c>
      <c r="BX147" s="475">
        <f t="shared" si="95"/>
        <v>0</v>
      </c>
      <c r="BY147" s="475">
        <f t="shared" si="96"/>
        <v>2.1021754410179447</v>
      </c>
      <c r="BZ147" s="475">
        <f t="shared" si="79"/>
        <v>0</v>
      </c>
      <c r="CA147" s="475">
        <f t="shared" si="80"/>
        <v>0</v>
      </c>
      <c r="CB147" s="475">
        <f t="shared" si="27"/>
        <v>0</v>
      </c>
      <c r="CC147" s="475">
        <f t="shared" si="28"/>
        <v>2.1021754410179447</v>
      </c>
      <c r="CD147" s="475">
        <f t="shared" si="29"/>
        <v>0</v>
      </c>
      <c r="CE147" s="621">
        <f t="shared" si="30"/>
        <v>0</v>
      </c>
      <c r="CF147" s="621">
        <f t="shared" si="31"/>
        <v>0</v>
      </c>
      <c r="CG147" s="621">
        <f t="shared" si="32"/>
        <v>0</v>
      </c>
      <c r="CH147" s="573">
        <f t="shared" si="33"/>
        <v>0</v>
      </c>
      <c r="CI147" s="621">
        <f t="shared" si="34"/>
        <v>0</v>
      </c>
      <c r="CJ147" s="621">
        <f t="shared" si="35"/>
        <v>0</v>
      </c>
      <c r="CK147" s="621">
        <f t="shared" si="36"/>
        <v>0.37908653156570338</v>
      </c>
      <c r="CL147" s="737">
        <f t="shared" si="37"/>
        <v>0</v>
      </c>
      <c r="CM147" s="738">
        <f t="shared" si="38"/>
        <v>0</v>
      </c>
      <c r="CN147" s="475">
        <f t="shared" si="39"/>
        <v>0.22783205075260449</v>
      </c>
      <c r="CO147" s="475">
        <f t="shared" si="40"/>
        <v>0.22783205075260449</v>
      </c>
      <c r="CP147" s="475">
        <f t="shared" si="97"/>
        <v>18.491891891891893</v>
      </c>
      <c r="CQ147" s="475">
        <f t="shared" si="41"/>
        <v>18.491891891891893</v>
      </c>
      <c r="CR147" s="475">
        <f t="shared" si="42"/>
        <v>2.1021754410179447</v>
      </c>
      <c r="CS147" s="475">
        <f t="shared" si="43"/>
        <v>0</v>
      </c>
      <c r="CT147" s="475">
        <f t="shared" si="44"/>
        <v>1.0143866927592957</v>
      </c>
      <c r="CU147" s="475">
        <f t="shared" si="45"/>
        <v>20.567567567567568</v>
      </c>
      <c r="CV147" s="475">
        <f t="shared" si="46"/>
        <v>20.567567567567568</v>
      </c>
      <c r="CW147" s="475">
        <f t="shared" si="98"/>
        <v>1.3934732243249992</v>
      </c>
      <c r="CX147" s="573">
        <f t="shared" si="99"/>
        <v>0</v>
      </c>
      <c r="CY147" s="475">
        <f t="shared" si="102"/>
        <v>20.567567567567568</v>
      </c>
      <c r="CZ147" s="475">
        <f t="shared" si="100"/>
        <v>20.567567567567568</v>
      </c>
      <c r="DA147" s="475">
        <v>1</v>
      </c>
      <c r="DB147" s="739">
        <f t="shared" si="82"/>
        <v>0</v>
      </c>
      <c r="DC147" s="740">
        <f t="shared" si="47"/>
        <v>0</v>
      </c>
    </row>
    <row r="148" spans="1:107" s="619" customFormat="1" ht="12" customHeight="1">
      <c r="A148" s="732">
        <v>2</v>
      </c>
      <c r="B148" s="917">
        <f>Klimadaten!O32/8760*$K$68</f>
        <v>169.62328767123287</v>
      </c>
      <c r="C148" s="762">
        <f>Klimadaten!Q32</f>
        <v>3.8555695648592132</v>
      </c>
      <c r="D148" s="763">
        <f>Klimadaten!N32</f>
        <v>0.82800524934383202</v>
      </c>
      <c r="E148" s="491">
        <f t="shared" si="48"/>
        <v>0.20905928313126582</v>
      </c>
      <c r="F148" s="438">
        <f t="shared" si="49"/>
        <v>0</v>
      </c>
      <c r="G148" s="733">
        <f t="shared" si="9"/>
        <v>2</v>
      </c>
      <c r="H148" s="527">
        <f t="shared" si="50"/>
        <v>18.54054054054054</v>
      </c>
      <c r="I148" s="733">
        <f t="shared" si="51"/>
        <v>18.735135135135135</v>
      </c>
      <c r="J148" s="473">
        <f t="shared" si="52"/>
        <v>18.735135135135135</v>
      </c>
      <c r="K148" s="491">
        <f t="shared" si="53"/>
        <v>0.79999999999999993</v>
      </c>
      <c r="L148" s="473">
        <f t="shared" si="54"/>
        <v>18.735135135135135</v>
      </c>
      <c r="M148" s="473">
        <f t="shared" si="83"/>
        <v>3.8555695648592132</v>
      </c>
      <c r="N148" s="473">
        <f t="shared" si="84"/>
        <v>28.626995156683979</v>
      </c>
      <c r="O148" s="473">
        <f t="shared" si="55"/>
        <v>28.626995156683979</v>
      </c>
      <c r="P148" s="734">
        <f t="shared" si="10"/>
        <v>0</v>
      </c>
      <c r="Q148" s="473">
        <f t="shared" si="85"/>
        <v>18.735135135135135</v>
      </c>
      <c r="R148" s="475">
        <f t="shared" si="101"/>
        <v>3.8555695648592132</v>
      </c>
      <c r="S148" s="473">
        <f t="shared" si="86"/>
        <v>28.626995156683979</v>
      </c>
      <c r="T148" s="473">
        <f t="shared" si="11"/>
        <v>18.735135135135135</v>
      </c>
      <c r="U148" s="473">
        <f t="shared" si="12"/>
        <v>18.735135135135135</v>
      </c>
      <c r="V148" s="734">
        <f t="shared" si="13"/>
        <v>0</v>
      </c>
      <c r="W148" s="473">
        <f t="shared" si="56"/>
        <v>18.735135135135135</v>
      </c>
      <c r="X148" s="475">
        <f t="shared" si="57"/>
        <v>3.8555695648592132</v>
      </c>
      <c r="Y148" s="735">
        <f t="shared" si="58"/>
        <v>28.626995156683979</v>
      </c>
      <c r="Z148" s="475">
        <f t="shared" si="59"/>
        <v>9</v>
      </c>
      <c r="AA148" s="475">
        <f>IF($E$36=$D$36,MIN(AbsFeuchte(Z148,100%,$N$19),R148),MIN(AbsFeuchte(Z148,100%,$N$19),X148))</f>
        <v>3.8555695648592132</v>
      </c>
      <c r="AB148" s="735">
        <f t="shared" si="60"/>
        <v>18.763635057967548</v>
      </c>
      <c r="AC148" s="475">
        <f t="shared" si="61"/>
        <v>9</v>
      </c>
      <c r="AD148" s="475">
        <v>26</v>
      </c>
      <c r="AE148" s="735">
        <f t="shared" si="62"/>
        <v>74.530839999999998</v>
      </c>
      <c r="AF148" s="735">
        <f t="shared" si="63"/>
        <v>9</v>
      </c>
      <c r="AG148" s="735">
        <f t="shared" si="87"/>
        <v>9.9999999999999992E+22</v>
      </c>
      <c r="AH148" s="475">
        <f t="shared" si="88"/>
        <v>18.735135135135135</v>
      </c>
      <c r="AI148" s="475">
        <f t="shared" si="64"/>
        <v>3.8555695648592132</v>
      </c>
      <c r="AJ148" s="735">
        <f t="shared" si="65"/>
        <v>28.626995156683979</v>
      </c>
      <c r="AK148" s="475">
        <f t="shared" si="66"/>
        <v>18.735135135135135</v>
      </c>
      <c r="AL148" s="475">
        <f t="shared" si="67"/>
        <v>3.8555695648592132</v>
      </c>
      <c r="AM148" s="735">
        <f t="shared" si="68"/>
        <v>28.626995156683979</v>
      </c>
      <c r="AN148" s="475">
        <f t="shared" si="89"/>
        <v>20.540540540540544</v>
      </c>
      <c r="AO148" s="475">
        <f t="shared" si="69"/>
        <v>3.8555695648592132</v>
      </c>
      <c r="AP148" s="735">
        <f t="shared" si="90"/>
        <v>30.456180205529783</v>
      </c>
      <c r="AQ148" s="475" t="e">
        <f t="shared" ca="1" si="14"/>
        <v>#NAME?</v>
      </c>
      <c r="AR148" s="475">
        <f t="shared" si="91"/>
        <v>3.8555695648592132</v>
      </c>
      <c r="AS148" s="735" t="e">
        <f t="shared" ca="1" si="15"/>
        <v>#VALUE!</v>
      </c>
      <c r="AT148" s="475">
        <f t="shared" si="92"/>
        <v>20.54054054054054</v>
      </c>
      <c r="AU148" s="475">
        <f t="shared" si="16"/>
        <v>3.8555695648592132</v>
      </c>
      <c r="AV148" s="735">
        <f t="shared" si="17"/>
        <v>30.456180205529783</v>
      </c>
      <c r="AW148" s="529">
        <f t="shared" si="70"/>
        <v>1</v>
      </c>
      <c r="AX148" s="735">
        <f t="shared" si="71"/>
        <v>1</v>
      </c>
      <c r="AY148" s="735">
        <f t="shared" si="18"/>
        <v>1</v>
      </c>
      <c r="AZ148" s="735">
        <f t="shared" si="72"/>
        <v>1</v>
      </c>
      <c r="BA148" s="735">
        <f t="shared" si="73"/>
        <v>1</v>
      </c>
      <c r="BB148" s="735">
        <f>IF($E$36=$D$36,IF(AW148=1,Fall1Tzul(AX148,AY148,BJ148,Q148),0),IF(AW148=1,Fall1Tzul(AX148,AY148,BJ148,W148),0))</f>
        <v>20.54054054054054</v>
      </c>
      <c r="BC148" s="735">
        <f>IF($E$36=$D$36,IF(AW148=1,Fall1xzul(AX148,AY148,BL148,R148),0),IF(AW148=1,Fall1xzul(AX148,AY148,BL148,X148),0))</f>
        <v>3.8555695648592132</v>
      </c>
      <c r="BD148" s="735">
        <f>IF($E$36=$D$36,IF(AW148=2,Fall2Tzul(AX148, AZ148, BJ148,Q148, Z148),0),IF(AW148=2,Fall2Tzul(AX148, AZ148, BJ148,W148, Z148),0))</f>
        <v>0</v>
      </c>
      <c r="BE148" s="735">
        <f>IF($E$36=$D$36,IF(AW148=2,Fall2xzul(AX148,AZ148,BL148,R148,AA148),0),IF(AW148=2,Fall2xzul(AX148,AZ148,BL148,X148,AA148),0))</f>
        <v>0</v>
      </c>
      <c r="BF148" s="735">
        <f t="shared" si="19"/>
        <v>0</v>
      </c>
      <c r="BG148" s="735">
        <f t="shared" si="20"/>
        <v>0</v>
      </c>
      <c r="BH148" s="735">
        <f t="shared" si="21"/>
        <v>0</v>
      </c>
      <c r="BI148" s="735">
        <f t="shared" si="22"/>
        <v>0</v>
      </c>
      <c r="BJ148" s="473">
        <f t="shared" si="93"/>
        <v>20.54054054054054</v>
      </c>
      <c r="BK148" s="491">
        <f t="shared" si="23"/>
        <v>0.24177148665938877</v>
      </c>
      <c r="BL148" s="475">
        <f>AbsFeuchte(BJ148,BK148,$N$19)</f>
        <v>3.8555695648592132</v>
      </c>
      <c r="BM148" s="735">
        <f t="shared" si="24"/>
        <v>30.456180205529783</v>
      </c>
      <c r="BN148" s="473">
        <f t="shared" si="94"/>
        <v>20.54054054054054</v>
      </c>
      <c r="BO148" s="491">
        <f t="shared" si="25"/>
        <v>0.24177148665938875</v>
      </c>
      <c r="BP148" s="475">
        <f t="shared" si="74"/>
        <v>3.8555695648592132</v>
      </c>
      <c r="BQ148" s="735">
        <f t="shared" si="26"/>
        <v>30.456180205529783</v>
      </c>
      <c r="BR148" s="473">
        <f t="shared" si="75"/>
        <v>22.918918918918919</v>
      </c>
      <c r="BS148" s="491">
        <f t="shared" si="76"/>
        <v>0.20905928313126582</v>
      </c>
      <c r="BT148" s="475">
        <f>AbsFeuchte(BR148,BS148,$N$19)</f>
        <v>3.8555695648592136</v>
      </c>
      <c r="BU148" s="576">
        <f>IF($I$21=0,IF(E$13=$S$10,BR148+$N$18,BR148),IF(E$13=$S$10,BR148+$N$18+#REF!,BR148+$I$21))</f>
        <v>22.918918918918919</v>
      </c>
      <c r="BV148" s="736">
        <f t="shared" si="77"/>
        <v>0.20905928313126584</v>
      </c>
      <c r="BW148" s="726">
        <f t="shared" si="78"/>
        <v>3.8555695648592136</v>
      </c>
      <c r="BX148" s="475">
        <f t="shared" si="95"/>
        <v>0</v>
      </c>
      <c r="BY148" s="475">
        <f t="shared" si="96"/>
        <v>1.8291850488458046</v>
      </c>
      <c r="BZ148" s="475">
        <f t="shared" si="79"/>
        <v>0</v>
      </c>
      <c r="CA148" s="475">
        <f t="shared" si="80"/>
        <v>0</v>
      </c>
      <c r="CB148" s="475">
        <f t="shared" si="27"/>
        <v>0</v>
      </c>
      <c r="CC148" s="475">
        <f t="shared" si="28"/>
        <v>1.8291850488458046</v>
      </c>
      <c r="CD148" s="475">
        <f t="shared" si="29"/>
        <v>0</v>
      </c>
      <c r="CE148" s="621">
        <f t="shared" si="30"/>
        <v>0</v>
      </c>
      <c r="CF148" s="621">
        <f t="shared" si="31"/>
        <v>0</v>
      </c>
      <c r="CG148" s="621">
        <f t="shared" si="32"/>
        <v>0</v>
      </c>
      <c r="CH148" s="573">
        <f t="shared" si="33"/>
        <v>0</v>
      </c>
      <c r="CI148" s="621">
        <f t="shared" si="34"/>
        <v>0</v>
      </c>
      <c r="CJ148" s="621">
        <f t="shared" si="35"/>
        <v>0</v>
      </c>
      <c r="CK148" s="621">
        <f t="shared" si="36"/>
        <v>0.37854187735103018</v>
      </c>
      <c r="CL148" s="737">
        <f t="shared" si="37"/>
        <v>0</v>
      </c>
      <c r="CM148" s="738">
        <f t="shared" si="38"/>
        <v>0</v>
      </c>
      <c r="CN148" s="475">
        <f t="shared" si="39"/>
        <v>0.24177148665938877</v>
      </c>
      <c r="CO148" s="475">
        <f t="shared" si="40"/>
        <v>0.24177148665938875</v>
      </c>
      <c r="CP148" s="475">
        <f t="shared" si="97"/>
        <v>18.735135135135135</v>
      </c>
      <c r="CQ148" s="475">
        <f t="shared" si="41"/>
        <v>18.735135135135135</v>
      </c>
      <c r="CR148" s="475">
        <f t="shared" si="42"/>
        <v>1.8291850488458046</v>
      </c>
      <c r="CS148" s="475">
        <f t="shared" si="43"/>
        <v>0</v>
      </c>
      <c r="CT148" s="475">
        <f t="shared" si="44"/>
        <v>1.1641003913894326</v>
      </c>
      <c r="CU148" s="475">
        <f t="shared" si="45"/>
        <v>20.54054054054054</v>
      </c>
      <c r="CV148" s="475">
        <f t="shared" si="46"/>
        <v>20.54054054054054</v>
      </c>
      <c r="CW148" s="475">
        <f t="shared" si="98"/>
        <v>1.5426422687404626</v>
      </c>
      <c r="CX148" s="573">
        <f t="shared" si="99"/>
        <v>0</v>
      </c>
      <c r="CY148" s="475">
        <f t="shared" si="102"/>
        <v>20.54054054054054</v>
      </c>
      <c r="CZ148" s="475">
        <f t="shared" si="100"/>
        <v>20.54054054054054</v>
      </c>
      <c r="DA148" s="475">
        <v>2</v>
      </c>
      <c r="DB148" s="739">
        <f t="shared" si="82"/>
        <v>0</v>
      </c>
      <c r="DC148" s="740">
        <f t="shared" si="47"/>
        <v>0</v>
      </c>
    </row>
    <row r="149" spans="1:107" s="619" customFormat="1" ht="12" customHeight="1">
      <c r="A149" s="732">
        <v>3</v>
      </c>
      <c r="B149" s="917">
        <f>Klimadaten!O33/8760*$K$68</f>
        <v>200.7876712328767</v>
      </c>
      <c r="C149" s="762">
        <f>Klimadaten!Q33</f>
        <v>4.1051831673294901</v>
      </c>
      <c r="D149" s="763">
        <f>Klimadaten!N33</f>
        <v>0.82075388026607543</v>
      </c>
      <c r="E149" s="491">
        <f t="shared" si="48"/>
        <v>0.22177814507778171</v>
      </c>
      <c r="F149" s="438">
        <f t="shared" si="49"/>
        <v>0</v>
      </c>
      <c r="G149" s="733">
        <f t="shared" si="9"/>
        <v>3</v>
      </c>
      <c r="H149" s="527">
        <f t="shared" si="50"/>
        <v>17.513513513513512</v>
      </c>
      <c r="I149" s="733">
        <f t="shared" si="51"/>
        <v>18.97837837837838</v>
      </c>
      <c r="J149" s="473">
        <f t="shared" si="52"/>
        <v>18.97837837837838</v>
      </c>
      <c r="K149" s="491">
        <f t="shared" si="53"/>
        <v>0.80000000000000016</v>
      </c>
      <c r="L149" s="473">
        <f t="shared" si="54"/>
        <v>18.97837837837838</v>
      </c>
      <c r="M149" s="473">
        <f t="shared" si="83"/>
        <v>4.1051831673294901</v>
      </c>
      <c r="N149" s="473">
        <f t="shared" si="84"/>
        <v>29.50668693823966</v>
      </c>
      <c r="O149" s="473">
        <f t="shared" si="55"/>
        <v>29.50668693823966</v>
      </c>
      <c r="P149" s="734">
        <f t="shared" si="10"/>
        <v>0</v>
      </c>
      <c r="Q149" s="473">
        <f t="shared" si="85"/>
        <v>18.97837837837838</v>
      </c>
      <c r="R149" s="475">
        <f t="shared" si="101"/>
        <v>4.1051831673294901</v>
      </c>
      <c r="S149" s="473">
        <f t="shared" si="86"/>
        <v>29.50668693823966</v>
      </c>
      <c r="T149" s="473">
        <f t="shared" si="11"/>
        <v>18.97837837837838</v>
      </c>
      <c r="U149" s="473">
        <f t="shared" si="12"/>
        <v>18.97837837837838</v>
      </c>
      <c r="V149" s="734">
        <f t="shared" si="13"/>
        <v>0</v>
      </c>
      <c r="W149" s="473">
        <f t="shared" si="56"/>
        <v>18.97837837837838</v>
      </c>
      <c r="X149" s="475">
        <f t="shared" si="57"/>
        <v>4.1051831673294901</v>
      </c>
      <c r="Y149" s="735">
        <f t="shared" si="58"/>
        <v>29.50668693823966</v>
      </c>
      <c r="Z149" s="475">
        <f t="shared" si="59"/>
        <v>9</v>
      </c>
      <c r="AA149" s="475">
        <f>IF($E$36=$D$36,MIN(AbsFeuchte(Z149,100%,$N$19),R149),MIN(AbsFeuchte(Z149,100%,$N$19),X149))</f>
        <v>4.1051831673294901</v>
      </c>
      <c r="AB149" s="735">
        <f t="shared" si="60"/>
        <v>19.392246977612544</v>
      </c>
      <c r="AC149" s="475">
        <f t="shared" si="61"/>
        <v>9</v>
      </c>
      <c r="AD149" s="475">
        <v>27</v>
      </c>
      <c r="AE149" s="735">
        <f t="shared" si="62"/>
        <v>77.049179999999993</v>
      </c>
      <c r="AF149" s="735">
        <f t="shared" si="63"/>
        <v>9</v>
      </c>
      <c r="AG149" s="735">
        <f t="shared" si="87"/>
        <v>9.9999999999999992E+22</v>
      </c>
      <c r="AH149" s="475">
        <f t="shared" si="88"/>
        <v>18.97837837837838</v>
      </c>
      <c r="AI149" s="475">
        <f t="shared" si="64"/>
        <v>4.1051831673294892</v>
      </c>
      <c r="AJ149" s="735">
        <f t="shared" si="65"/>
        <v>29.50668693823966</v>
      </c>
      <c r="AK149" s="475">
        <f t="shared" si="66"/>
        <v>18.97837837837838</v>
      </c>
      <c r="AL149" s="475">
        <f t="shared" si="67"/>
        <v>4.1051831673294901</v>
      </c>
      <c r="AM149" s="735">
        <f t="shared" si="68"/>
        <v>29.50668693823966</v>
      </c>
      <c r="AN149" s="475">
        <f t="shared" si="89"/>
        <v>20.513513513513512</v>
      </c>
      <c r="AO149" s="475">
        <f t="shared" si="69"/>
        <v>4.1051831673294901</v>
      </c>
      <c r="AP149" s="735">
        <f t="shared" si="90"/>
        <v>31.062754624489983</v>
      </c>
      <c r="AQ149" s="475" t="e">
        <f t="shared" ca="1" si="14"/>
        <v>#NAME?</v>
      </c>
      <c r="AR149" s="475">
        <f t="shared" si="91"/>
        <v>4.1051831673294892</v>
      </c>
      <c r="AS149" s="735" t="e">
        <f t="shared" ca="1" si="15"/>
        <v>#VALUE!</v>
      </c>
      <c r="AT149" s="475">
        <f t="shared" si="92"/>
        <v>20.513513513513512</v>
      </c>
      <c r="AU149" s="475">
        <f t="shared" si="16"/>
        <v>4.1051831673294901</v>
      </c>
      <c r="AV149" s="735">
        <f t="shared" si="17"/>
        <v>31.062754624489983</v>
      </c>
      <c r="AW149" s="529">
        <f t="shared" si="70"/>
        <v>1</v>
      </c>
      <c r="AX149" s="735">
        <f t="shared" si="71"/>
        <v>1</v>
      </c>
      <c r="AY149" s="735">
        <f t="shared" si="18"/>
        <v>1</v>
      </c>
      <c r="AZ149" s="735">
        <f t="shared" si="72"/>
        <v>1</v>
      </c>
      <c r="BA149" s="735">
        <f t="shared" si="73"/>
        <v>1</v>
      </c>
      <c r="BB149" s="735">
        <f>IF($E$36=$D$36,IF(AW149=1,Fall1Tzul(AX149,AY149,BJ149,Q149),0),IF(AW149=1,Fall1Tzul(AX149,AY149,BJ149,W149),0))</f>
        <v>20.513513513513512</v>
      </c>
      <c r="BC149" s="735">
        <f>IF($E$36=$D$36,IF(AW149=1,Fall1xzul(AX149,AY149,BL149,R149),0),IF(AW149=1,Fall1xzul(AX149,AY149,BL149,X149),0))</f>
        <v>4.1051831673294892</v>
      </c>
      <c r="BD149" s="735">
        <f>IF($E$36=$D$36,IF(AW149=2,Fall2Tzul(AX149, AZ149, BJ149,Q149, Z149),0),IF(AW149=2,Fall2Tzul(AX149, AZ149, BJ149,W149, Z149),0))</f>
        <v>0</v>
      </c>
      <c r="BE149" s="735">
        <f>IF($E$36=$D$36,IF(AW149=2,Fall2xzul(AX149,AZ149,BL149,R149,AA149),0),IF(AW149=2,Fall2xzul(AX149,AZ149,BL149,X149,AA149),0))</f>
        <v>0</v>
      </c>
      <c r="BF149" s="735">
        <f t="shared" si="19"/>
        <v>0</v>
      </c>
      <c r="BG149" s="735">
        <f t="shared" si="20"/>
        <v>0</v>
      </c>
      <c r="BH149" s="735">
        <f t="shared" si="21"/>
        <v>0</v>
      </c>
      <c r="BI149" s="735">
        <f t="shared" si="22"/>
        <v>0</v>
      </c>
      <c r="BJ149" s="473">
        <f t="shared" si="93"/>
        <v>20.513513513513512</v>
      </c>
      <c r="BK149" s="491">
        <f t="shared" si="23"/>
        <v>0.2577507977848213</v>
      </c>
      <c r="BL149" s="475">
        <f>AbsFeuchte(BJ149,BK149,$N$19)</f>
        <v>4.1051831673294892</v>
      </c>
      <c r="BM149" s="735">
        <f t="shared" si="24"/>
        <v>31.062754624489983</v>
      </c>
      <c r="BN149" s="473">
        <f t="shared" si="94"/>
        <v>20.513513513513512</v>
      </c>
      <c r="BO149" s="491">
        <f t="shared" si="25"/>
        <v>0.25775079778482124</v>
      </c>
      <c r="BP149" s="475">
        <f t="shared" si="74"/>
        <v>4.1051831673294892</v>
      </c>
      <c r="BQ149" s="735">
        <f t="shared" si="26"/>
        <v>31.062754624489983</v>
      </c>
      <c r="BR149" s="473">
        <f t="shared" si="75"/>
        <v>22.972972972972972</v>
      </c>
      <c r="BS149" s="491">
        <f t="shared" si="76"/>
        <v>0.22177814507778171</v>
      </c>
      <c r="BT149" s="475">
        <f>AbsFeuchte(BR149,BS149,$N$19)</f>
        <v>4.1051831673294901</v>
      </c>
      <c r="BU149" s="576">
        <f>IF($I$21=0,IF(E$13=$S$10,BR149+$N$18,BR149),IF(E$13=$S$10,BR149+$N$18+#REF!,BR149+$I$21))</f>
        <v>22.972972972972972</v>
      </c>
      <c r="BV149" s="736">
        <f t="shared" si="77"/>
        <v>0.22177814507778171</v>
      </c>
      <c r="BW149" s="726">
        <f t="shared" si="78"/>
        <v>4.1051831673294901</v>
      </c>
      <c r="BX149" s="475">
        <f t="shared" si="95"/>
        <v>0</v>
      </c>
      <c r="BY149" s="475">
        <f t="shared" si="96"/>
        <v>1.5560676862503229</v>
      </c>
      <c r="BZ149" s="475">
        <f t="shared" si="79"/>
        <v>0</v>
      </c>
      <c r="CA149" s="475">
        <f t="shared" si="80"/>
        <v>0</v>
      </c>
      <c r="CB149" s="475">
        <f t="shared" si="27"/>
        <v>0</v>
      </c>
      <c r="CC149" s="475">
        <f t="shared" si="28"/>
        <v>1.5560676862503229</v>
      </c>
      <c r="CD149" s="475">
        <f t="shared" si="29"/>
        <v>0</v>
      </c>
      <c r="CE149" s="621">
        <f t="shared" si="30"/>
        <v>0</v>
      </c>
      <c r="CF149" s="621">
        <f t="shared" si="31"/>
        <v>0</v>
      </c>
      <c r="CG149" s="621">
        <f t="shared" si="32"/>
        <v>0</v>
      </c>
      <c r="CH149" s="573">
        <f t="shared" si="33"/>
        <v>0</v>
      </c>
      <c r="CI149" s="621">
        <f t="shared" si="34"/>
        <v>0</v>
      </c>
      <c r="CJ149" s="621">
        <f t="shared" si="35"/>
        <v>0</v>
      </c>
      <c r="CK149" s="621">
        <f t="shared" si="36"/>
        <v>0.38118547101117844</v>
      </c>
      <c r="CL149" s="737">
        <f t="shared" si="37"/>
        <v>7.8326833986012936E-13</v>
      </c>
      <c r="CM149" s="738">
        <f t="shared" si="38"/>
        <v>0</v>
      </c>
      <c r="CN149" s="475">
        <f t="shared" si="39"/>
        <v>0.2577507977848213</v>
      </c>
      <c r="CO149" s="475">
        <f t="shared" si="40"/>
        <v>0.25775079778482124</v>
      </c>
      <c r="CP149" s="475">
        <f t="shared" si="97"/>
        <v>18.97837837837838</v>
      </c>
      <c r="CQ149" s="475">
        <f t="shared" si="41"/>
        <v>18.97837837837838</v>
      </c>
      <c r="CR149" s="475">
        <f t="shared" si="42"/>
        <v>1.5560676862503229</v>
      </c>
      <c r="CS149" s="475">
        <f t="shared" si="43"/>
        <v>0</v>
      </c>
      <c r="CT149" s="475">
        <f t="shared" si="44"/>
        <v>1.3779771037181998</v>
      </c>
      <c r="CU149" s="475">
        <f t="shared" si="45"/>
        <v>20.513513513513512</v>
      </c>
      <c r="CV149" s="475">
        <f t="shared" si="46"/>
        <v>20.513513513513512</v>
      </c>
      <c r="CW149" s="475">
        <f t="shared" si="98"/>
        <v>1.7591625747293782</v>
      </c>
      <c r="CX149" s="573">
        <f t="shared" si="99"/>
        <v>-7.8326833986012936E-13</v>
      </c>
      <c r="CY149" s="475">
        <f t="shared" si="102"/>
        <v>20.513513513513512</v>
      </c>
      <c r="CZ149" s="475">
        <f t="shared" si="100"/>
        <v>20.513513513513512</v>
      </c>
      <c r="DA149" s="475">
        <v>3</v>
      </c>
      <c r="DB149" s="739">
        <f t="shared" si="82"/>
        <v>0</v>
      </c>
      <c r="DC149" s="740">
        <f t="shared" si="47"/>
        <v>0</v>
      </c>
    </row>
    <row r="150" spans="1:107" s="619" customFormat="1" ht="12" customHeight="1">
      <c r="A150" s="732">
        <v>4</v>
      </c>
      <c r="B150" s="917">
        <f>Klimadaten!O34/8760*$K$68</f>
        <v>204.34931506849315</v>
      </c>
      <c r="C150" s="762">
        <f>Klimadaten!Q34</f>
        <v>4.3733102913196547</v>
      </c>
      <c r="D150" s="763">
        <f>Klimadaten!N34</f>
        <v>0.81444444444444442</v>
      </c>
      <c r="E150" s="491">
        <f t="shared" si="48"/>
        <v>0.23539087048631008</v>
      </c>
      <c r="F150" s="438">
        <f t="shared" si="49"/>
        <v>0</v>
      </c>
      <c r="G150" s="733">
        <f t="shared" si="9"/>
        <v>4</v>
      </c>
      <c r="H150" s="527">
        <f t="shared" si="50"/>
        <v>16.486486486486488</v>
      </c>
      <c r="I150" s="733">
        <f t="shared" si="51"/>
        <v>19.221621621621622</v>
      </c>
      <c r="J150" s="473">
        <f t="shared" si="52"/>
        <v>19.221621621621622</v>
      </c>
      <c r="K150" s="491">
        <f t="shared" si="53"/>
        <v>0.8</v>
      </c>
      <c r="L150" s="473">
        <f t="shared" si="54"/>
        <v>19.221621621621622</v>
      </c>
      <c r="M150" s="473">
        <f t="shared" si="83"/>
        <v>4.3733102913196547</v>
      </c>
      <c r="N150" s="473">
        <f t="shared" si="84"/>
        <v>30.433579911232464</v>
      </c>
      <c r="O150" s="473">
        <f t="shared" si="55"/>
        <v>30.433579911232464</v>
      </c>
      <c r="P150" s="734">
        <f t="shared" si="10"/>
        <v>0</v>
      </c>
      <c r="Q150" s="473">
        <f t="shared" si="85"/>
        <v>19.221621621621622</v>
      </c>
      <c r="R150" s="475">
        <f t="shared" si="101"/>
        <v>4.3733102913196547</v>
      </c>
      <c r="S150" s="473">
        <f t="shared" si="86"/>
        <v>30.433579911232464</v>
      </c>
      <c r="T150" s="473">
        <f t="shared" si="11"/>
        <v>19.221621621621622</v>
      </c>
      <c r="U150" s="473">
        <f t="shared" si="12"/>
        <v>19.221621621621622</v>
      </c>
      <c r="V150" s="734">
        <f t="shared" si="13"/>
        <v>0</v>
      </c>
      <c r="W150" s="473">
        <f t="shared" si="56"/>
        <v>19.221621621621622</v>
      </c>
      <c r="X150" s="475">
        <f t="shared" si="57"/>
        <v>4.3733102913196547</v>
      </c>
      <c r="Y150" s="735">
        <f t="shared" si="58"/>
        <v>30.433579911232464</v>
      </c>
      <c r="Z150" s="475">
        <f t="shared" si="59"/>
        <v>9</v>
      </c>
      <c r="AA150" s="475">
        <f>IF($E$36=$D$36,MIN(AbsFeuchte(Z150,100%,$N$19),R150),MIN(AbsFeuchte(Z150,100%,$N$19),X150))</f>
        <v>4.3733102913196547</v>
      </c>
      <c r="AB150" s="735">
        <f t="shared" si="60"/>
        <v>20.067482239041937</v>
      </c>
      <c r="AC150" s="475">
        <f t="shared" si="61"/>
        <v>9</v>
      </c>
      <c r="AD150" s="475">
        <v>28</v>
      </c>
      <c r="AE150" s="735">
        <f t="shared" si="62"/>
        <v>79.567520000000002</v>
      </c>
      <c r="AF150" s="735">
        <f t="shared" si="63"/>
        <v>9</v>
      </c>
      <c r="AG150" s="735">
        <f t="shared" si="87"/>
        <v>9.9999999999999992E+22</v>
      </c>
      <c r="AH150" s="475">
        <f t="shared" si="88"/>
        <v>19.221621621621622</v>
      </c>
      <c r="AI150" s="475">
        <f t="shared" si="64"/>
        <v>4.3733102913196538</v>
      </c>
      <c r="AJ150" s="735">
        <f t="shared" si="65"/>
        <v>30.433579911232464</v>
      </c>
      <c r="AK150" s="475">
        <f t="shared" si="66"/>
        <v>19.221621621621622</v>
      </c>
      <c r="AL150" s="475">
        <f t="shared" si="67"/>
        <v>4.3733102913196547</v>
      </c>
      <c r="AM150" s="735">
        <f t="shared" si="68"/>
        <v>30.433579911232464</v>
      </c>
      <c r="AN150" s="475">
        <f t="shared" si="89"/>
        <v>20.486486486486484</v>
      </c>
      <c r="AO150" s="475">
        <f t="shared" si="69"/>
        <v>4.3733102913196547</v>
      </c>
      <c r="AP150" s="735">
        <f t="shared" si="90"/>
        <v>31.716322827833508</v>
      </c>
      <c r="AQ150" s="475" t="e">
        <f t="shared" ca="1" si="14"/>
        <v>#NAME?</v>
      </c>
      <c r="AR150" s="475">
        <f t="shared" si="91"/>
        <v>4.3733102913196538</v>
      </c>
      <c r="AS150" s="735" t="e">
        <f t="shared" ca="1" si="15"/>
        <v>#VALUE!</v>
      </c>
      <c r="AT150" s="475">
        <f t="shared" si="92"/>
        <v>20.486486486486488</v>
      </c>
      <c r="AU150" s="475">
        <f t="shared" si="16"/>
        <v>4.3733102913196547</v>
      </c>
      <c r="AV150" s="735">
        <f t="shared" si="17"/>
        <v>31.716322827833515</v>
      </c>
      <c r="AW150" s="529">
        <f t="shared" si="70"/>
        <v>1</v>
      </c>
      <c r="AX150" s="735">
        <f t="shared" si="71"/>
        <v>1</v>
      </c>
      <c r="AY150" s="735">
        <f t="shared" si="18"/>
        <v>1</v>
      </c>
      <c r="AZ150" s="735">
        <f t="shared" si="72"/>
        <v>1</v>
      </c>
      <c r="BA150" s="735">
        <f t="shared" si="73"/>
        <v>1</v>
      </c>
      <c r="BB150" s="735">
        <f>IF($E$36=$D$36,IF(AW150=1,Fall1Tzul(AX150,AY150,BJ150,Q150),0),IF(AW150=1,Fall1Tzul(AX150,AY150,BJ150,W150),0))</f>
        <v>20.486486486486488</v>
      </c>
      <c r="BC150" s="735">
        <f>IF($E$36=$D$36,IF(AW150=1,Fall1xzul(AX150,AY150,BL150,R150),0),IF(AW150=1,Fall1xzul(AX150,AY150,BL150,X150),0))</f>
        <v>4.3733102913196538</v>
      </c>
      <c r="BD150" s="735">
        <f>IF($E$36=$D$36,IF(AW150=2,Fall2Tzul(AX150, AZ150, BJ150,Q150, Z150),0),IF(AW150=2,Fall2Tzul(AX150, AZ150, BJ150,W150, Z150),0))</f>
        <v>0</v>
      </c>
      <c r="BE150" s="735">
        <f>IF($E$36=$D$36,IF(AW150=2,Fall2xzul(AX150,AZ150,BL150,R150,AA150),0),IF(AW150=2,Fall2xzul(AX150,AZ150,BL150,X150,AA150),0))</f>
        <v>0</v>
      </c>
      <c r="BF150" s="735">
        <f t="shared" si="19"/>
        <v>0</v>
      </c>
      <c r="BG150" s="735">
        <f t="shared" si="20"/>
        <v>0</v>
      </c>
      <c r="BH150" s="735">
        <f t="shared" si="21"/>
        <v>0</v>
      </c>
      <c r="BI150" s="735">
        <f t="shared" si="22"/>
        <v>0</v>
      </c>
      <c r="BJ150" s="473">
        <f t="shared" si="93"/>
        <v>20.486486486486488</v>
      </c>
      <c r="BK150" s="491">
        <f t="shared" si="23"/>
        <v>0.2749261786128071</v>
      </c>
      <c r="BL150" s="475">
        <f>AbsFeuchte(BJ150,BK150,$N$19)</f>
        <v>4.3733102913196538</v>
      </c>
      <c r="BM150" s="735">
        <f t="shared" si="24"/>
        <v>31.716322827833508</v>
      </c>
      <c r="BN150" s="473">
        <f t="shared" si="94"/>
        <v>20.486486486486488</v>
      </c>
      <c r="BO150" s="491">
        <f t="shared" si="25"/>
        <v>0.27492617861280705</v>
      </c>
      <c r="BP150" s="475">
        <f t="shared" si="74"/>
        <v>4.3733102913196538</v>
      </c>
      <c r="BQ150" s="735">
        <f t="shared" si="26"/>
        <v>31.716322827833508</v>
      </c>
      <c r="BR150" s="473">
        <f t="shared" si="75"/>
        <v>23.027027027027028</v>
      </c>
      <c r="BS150" s="491">
        <f t="shared" si="76"/>
        <v>0.23539087048631008</v>
      </c>
      <c r="BT150" s="475">
        <f>AbsFeuchte(BR150,BS150,$N$19)</f>
        <v>4.3733102913196547</v>
      </c>
      <c r="BU150" s="576">
        <f>IF($I$21=0,IF(E$13=$S$10,BR150+$N$18,BR150),IF(E$13=$S$10,BR150+$N$18+#REF!,BR150+$I$21))</f>
        <v>23.027027027027028</v>
      </c>
      <c r="BV150" s="736">
        <f t="shared" si="77"/>
        <v>0.23539087048631008</v>
      </c>
      <c r="BW150" s="726">
        <f t="shared" si="78"/>
        <v>4.3733102913196547</v>
      </c>
      <c r="BX150" s="475">
        <f t="shared" si="95"/>
        <v>0</v>
      </c>
      <c r="BY150" s="475">
        <f t="shared" si="96"/>
        <v>1.2827429166010447</v>
      </c>
      <c r="BZ150" s="475">
        <f t="shared" si="79"/>
        <v>0</v>
      </c>
      <c r="CA150" s="475">
        <f t="shared" si="80"/>
        <v>0</v>
      </c>
      <c r="CB150" s="475">
        <f t="shared" si="27"/>
        <v>0</v>
      </c>
      <c r="CC150" s="475">
        <f t="shared" si="28"/>
        <v>1.2827429166010518</v>
      </c>
      <c r="CD150" s="475">
        <f t="shared" si="29"/>
        <v>-7.1054273576010019E-15</v>
      </c>
      <c r="CE150" s="621">
        <f t="shared" si="30"/>
        <v>0</v>
      </c>
      <c r="CF150" s="621">
        <f t="shared" si="31"/>
        <v>0</v>
      </c>
      <c r="CG150" s="621">
        <f t="shared" si="32"/>
        <v>-1.7714716333865454E-15</v>
      </c>
      <c r="CH150" s="573">
        <f t="shared" si="33"/>
        <v>0</v>
      </c>
      <c r="CI150" s="621">
        <f t="shared" si="34"/>
        <v>0</v>
      </c>
      <c r="CJ150" s="621">
        <f t="shared" si="35"/>
        <v>0</v>
      </c>
      <c r="CK150" s="621">
        <f t="shared" si="36"/>
        <v>0.31980380282903842</v>
      </c>
      <c r="CL150" s="737">
        <f t="shared" si="37"/>
        <v>7.9716223502394539E-13</v>
      </c>
      <c r="CM150" s="738">
        <f t="shared" si="38"/>
        <v>-1.7714716333865454E-15</v>
      </c>
      <c r="CN150" s="475">
        <f t="shared" si="39"/>
        <v>0.2749261786128071</v>
      </c>
      <c r="CO150" s="475">
        <f t="shared" si="40"/>
        <v>0.27492617861280705</v>
      </c>
      <c r="CP150" s="475">
        <f t="shared" si="97"/>
        <v>19.221621621621622</v>
      </c>
      <c r="CQ150" s="475">
        <f t="shared" si="41"/>
        <v>19.221621621621622</v>
      </c>
      <c r="CR150" s="475">
        <f t="shared" si="42"/>
        <v>1.2827429166010447</v>
      </c>
      <c r="CS150" s="475">
        <f t="shared" si="43"/>
        <v>0</v>
      </c>
      <c r="CT150" s="475">
        <f t="shared" si="44"/>
        <v>1.4024201565557732</v>
      </c>
      <c r="CU150" s="475">
        <f t="shared" si="45"/>
        <v>20.486486486486488</v>
      </c>
      <c r="CV150" s="475">
        <f t="shared" si="46"/>
        <v>20.486486486486488</v>
      </c>
      <c r="CW150" s="475">
        <f t="shared" si="98"/>
        <v>1.7222239593848099</v>
      </c>
      <c r="CX150" s="573">
        <f t="shared" si="99"/>
        <v>-7.9716223502394539E-13</v>
      </c>
      <c r="CY150" s="475">
        <f t="shared" si="102"/>
        <v>20.486486486486488</v>
      </c>
      <c r="CZ150" s="475">
        <f t="shared" si="100"/>
        <v>20.486486486486488</v>
      </c>
      <c r="DA150" s="475">
        <v>4</v>
      </c>
      <c r="DB150" s="739">
        <f t="shared" si="82"/>
        <v>0</v>
      </c>
      <c r="DC150" s="740">
        <f t="shared" si="47"/>
        <v>0</v>
      </c>
    </row>
    <row r="151" spans="1:107" s="619" customFormat="1" ht="12" customHeight="1">
      <c r="A151" s="732">
        <v>5</v>
      </c>
      <c r="B151" s="917">
        <f>Klimadaten!O35/8760*$K$68</f>
        <v>149.14383561643834</v>
      </c>
      <c r="C151" s="762">
        <f>Klimadaten!Q35</f>
        <v>4.4998034216132279</v>
      </c>
      <c r="D151" s="763">
        <f>Klimadaten!N35</f>
        <v>0.78119402985074626</v>
      </c>
      <c r="E151" s="491">
        <f t="shared" si="48"/>
        <v>0.24135973429329452</v>
      </c>
      <c r="F151" s="438">
        <f t="shared" si="49"/>
        <v>0</v>
      </c>
      <c r="G151" s="733">
        <f t="shared" si="9"/>
        <v>5</v>
      </c>
      <c r="H151" s="527">
        <f t="shared" si="50"/>
        <v>15.45945945945946</v>
      </c>
      <c r="I151" s="733">
        <f t="shared" si="51"/>
        <v>19.464864864864865</v>
      </c>
      <c r="J151" s="473">
        <f t="shared" si="52"/>
        <v>19.464864864864865</v>
      </c>
      <c r="K151" s="491">
        <f t="shared" si="53"/>
        <v>0.8</v>
      </c>
      <c r="L151" s="473">
        <f t="shared" si="54"/>
        <v>19.464864864864865</v>
      </c>
      <c r="M151" s="473">
        <f t="shared" si="83"/>
        <v>4.4998034216132279</v>
      </c>
      <c r="N151" s="473">
        <f t="shared" si="84"/>
        <v>31.001276095429198</v>
      </c>
      <c r="O151" s="473">
        <f t="shared" si="55"/>
        <v>31.001276095429198</v>
      </c>
      <c r="P151" s="734">
        <f t="shared" si="10"/>
        <v>0</v>
      </c>
      <c r="Q151" s="473">
        <f t="shared" si="85"/>
        <v>19.464864864864865</v>
      </c>
      <c r="R151" s="475">
        <f t="shared" si="101"/>
        <v>4.4998034216132279</v>
      </c>
      <c r="S151" s="473">
        <f t="shared" si="86"/>
        <v>31.001276095429198</v>
      </c>
      <c r="T151" s="473">
        <f t="shared" si="11"/>
        <v>19.464864864864865</v>
      </c>
      <c r="U151" s="473">
        <f t="shared" si="12"/>
        <v>19.464864864864865</v>
      </c>
      <c r="V151" s="734">
        <f t="shared" si="13"/>
        <v>0</v>
      </c>
      <c r="W151" s="473">
        <f t="shared" si="56"/>
        <v>19.464864864864865</v>
      </c>
      <c r="X151" s="475">
        <f t="shared" si="57"/>
        <v>4.4998034216132279</v>
      </c>
      <c r="Y151" s="735">
        <f t="shared" si="58"/>
        <v>31.001276095429198</v>
      </c>
      <c r="Z151" s="475">
        <f t="shared" si="59"/>
        <v>9</v>
      </c>
      <c r="AA151" s="475">
        <f>IF($E$36=$D$36,MIN(AbsFeuchte(Z151,100%,$N$19),R151),MIN(AbsFeuchte(Z151,100%,$N$19),X151))</f>
        <v>4.4998034216132279</v>
      </c>
      <c r="AB151" s="735">
        <f t="shared" si="60"/>
        <v>20.386034948785458</v>
      </c>
      <c r="AC151" s="475">
        <f t="shared" si="61"/>
        <v>9</v>
      </c>
      <c r="AD151" s="475">
        <v>29</v>
      </c>
      <c r="AE151" s="735">
        <f t="shared" si="62"/>
        <v>82.085859999999997</v>
      </c>
      <c r="AF151" s="735">
        <f t="shared" si="63"/>
        <v>9</v>
      </c>
      <c r="AG151" s="735">
        <f t="shared" si="87"/>
        <v>9.9999999999999992E+22</v>
      </c>
      <c r="AH151" s="475">
        <f t="shared" si="88"/>
        <v>19.464864864864865</v>
      </c>
      <c r="AI151" s="475">
        <f t="shared" si="64"/>
        <v>4.499803421613227</v>
      </c>
      <c r="AJ151" s="735">
        <f t="shared" si="65"/>
        <v>31.001276095429198</v>
      </c>
      <c r="AK151" s="475">
        <f t="shared" si="66"/>
        <v>19.464864864864865</v>
      </c>
      <c r="AL151" s="475">
        <f t="shared" si="67"/>
        <v>4.4998034216132279</v>
      </c>
      <c r="AM151" s="735">
        <f t="shared" si="68"/>
        <v>31.001276095429198</v>
      </c>
      <c r="AN151" s="475">
        <f t="shared" si="89"/>
        <v>20.459459459459456</v>
      </c>
      <c r="AO151" s="475">
        <f t="shared" si="69"/>
        <v>4.4998034216132279</v>
      </c>
      <c r="AP151" s="735">
        <f t="shared" si="90"/>
        <v>32.010162650688727</v>
      </c>
      <c r="AQ151" s="475" t="e">
        <f t="shared" ca="1" si="14"/>
        <v>#NAME?</v>
      </c>
      <c r="AR151" s="475">
        <f t="shared" si="91"/>
        <v>4.499803421613227</v>
      </c>
      <c r="AS151" s="735" t="e">
        <f t="shared" ca="1" si="15"/>
        <v>#VALUE!</v>
      </c>
      <c r="AT151" s="475">
        <f t="shared" si="92"/>
        <v>20.45945945945946</v>
      </c>
      <c r="AU151" s="475">
        <f t="shared" si="16"/>
        <v>4.4998034216132279</v>
      </c>
      <c r="AV151" s="735">
        <f t="shared" si="17"/>
        <v>32.010162650688727</v>
      </c>
      <c r="AW151" s="529">
        <f t="shared" si="70"/>
        <v>1</v>
      </c>
      <c r="AX151" s="735">
        <f t="shared" si="71"/>
        <v>1</v>
      </c>
      <c r="AY151" s="735">
        <f t="shared" si="18"/>
        <v>1</v>
      </c>
      <c r="AZ151" s="735">
        <f t="shared" si="72"/>
        <v>1</v>
      </c>
      <c r="BA151" s="735">
        <f t="shared" si="73"/>
        <v>1</v>
      </c>
      <c r="BB151" s="735">
        <f>IF($E$36=$D$36,IF(AW151=1,Fall1Tzul(AX151,AY151,BJ151,Q151),0),IF(AW151=1,Fall1Tzul(AX151,AY151,BJ151,W151),0))</f>
        <v>20.45945945945946</v>
      </c>
      <c r="BC151" s="735">
        <f>IF($E$36=$D$36,IF(AW151=1,Fall1xzul(AX151,AY151,BL151,R151),0),IF(AW151=1,Fall1xzul(AX151,AY151,BL151,X151),0))</f>
        <v>4.499803421613227</v>
      </c>
      <c r="BD151" s="735">
        <f>IF($E$36=$D$36,IF(AW151=2,Fall2Tzul(AX151, AZ151, BJ151,Q151, Z151),0),IF(AW151=2,Fall2Tzul(AX151, AZ151, BJ151,W151, Z151),0))</f>
        <v>0</v>
      </c>
      <c r="BE151" s="735">
        <f>IF($E$36=$D$36,IF(AW151=2,Fall2xzul(AX151,AZ151,BL151,R151,AA151),0),IF(AW151=2,Fall2xzul(AX151,AZ151,BL151,X151,AA151),0))</f>
        <v>0</v>
      </c>
      <c r="BF151" s="735">
        <f t="shared" si="19"/>
        <v>0</v>
      </c>
      <c r="BG151" s="735">
        <f t="shared" si="20"/>
        <v>0</v>
      </c>
      <c r="BH151" s="735">
        <f t="shared" si="21"/>
        <v>0</v>
      </c>
      <c r="BI151" s="735">
        <f t="shared" si="22"/>
        <v>0</v>
      </c>
      <c r="BJ151" s="473">
        <f t="shared" si="93"/>
        <v>20.45945945945946</v>
      </c>
      <c r="BK151" s="491">
        <f t="shared" si="23"/>
        <v>0.28329314852812659</v>
      </c>
      <c r="BL151" s="475">
        <f>AbsFeuchte(BJ151,BK151,$N$19)</f>
        <v>4.499803421613227</v>
      </c>
      <c r="BM151" s="735">
        <f t="shared" si="24"/>
        <v>32.010162650688727</v>
      </c>
      <c r="BN151" s="473">
        <f t="shared" si="94"/>
        <v>20.45945945945946</v>
      </c>
      <c r="BO151" s="491">
        <f t="shared" si="25"/>
        <v>0.28329314852812654</v>
      </c>
      <c r="BP151" s="475">
        <f t="shared" si="74"/>
        <v>4.499803421613227</v>
      </c>
      <c r="BQ151" s="735">
        <f t="shared" si="26"/>
        <v>32.010162650688727</v>
      </c>
      <c r="BR151" s="473">
        <f t="shared" si="75"/>
        <v>23.081081081081081</v>
      </c>
      <c r="BS151" s="491">
        <f t="shared" si="76"/>
        <v>0.24135973429329452</v>
      </c>
      <c r="BT151" s="475">
        <f>AbsFeuchte(BR151,BS151,$N$19)</f>
        <v>4.4998034216132279</v>
      </c>
      <c r="BU151" s="576">
        <f>IF($I$21=0,IF(E$13=$S$10,BR151+$N$18,BR151),IF(E$13=$S$10,BR151+$N$18+#REF!,BR151+$I$21))</f>
        <v>23.081081081081081</v>
      </c>
      <c r="BV151" s="736">
        <f t="shared" si="77"/>
        <v>0.24135973429329452</v>
      </c>
      <c r="BW151" s="726">
        <f t="shared" si="78"/>
        <v>4.4998034216132279</v>
      </c>
      <c r="BX151" s="475">
        <f t="shared" si="95"/>
        <v>0</v>
      </c>
      <c r="BY151" s="475">
        <f t="shared" si="96"/>
        <v>1.0088865552595294</v>
      </c>
      <c r="BZ151" s="475">
        <f t="shared" si="79"/>
        <v>0</v>
      </c>
      <c r="CA151" s="475">
        <f>IF($E$36=$D$36,MAX(IF(BA151=1,IF(AW151=3,AM151-AJ151,IF(AW151=2,(IF(BP151=R151,0,S151-AB151-BZ151)),0)),0),0),MAX(IF(BA151=1,IF(AW151=3,AM151-AJ151,IF(AW151=2,(IF(BP151=X151,0,Y151-AB151-BZ151)),0)),0),0))</f>
        <v>0</v>
      </c>
      <c r="CB151" s="475">
        <f t="shared" si="27"/>
        <v>0</v>
      </c>
      <c r="CC151" s="475">
        <f t="shared" si="28"/>
        <v>1.0088865552595294</v>
      </c>
      <c r="CD151" s="475">
        <f t="shared" si="29"/>
        <v>0</v>
      </c>
      <c r="CE151" s="621">
        <f t="shared" si="30"/>
        <v>0</v>
      </c>
      <c r="CF151" s="621">
        <f t="shared" si="31"/>
        <v>0</v>
      </c>
      <c r="CG151" s="621">
        <f t="shared" si="32"/>
        <v>0</v>
      </c>
      <c r="CH151" s="573">
        <f t="shared" si="33"/>
        <v>0</v>
      </c>
      <c r="CI151" s="621">
        <f t="shared" si="34"/>
        <v>0</v>
      </c>
      <c r="CJ151" s="621">
        <f t="shared" si="35"/>
        <v>0</v>
      </c>
      <c r="CK151" s="621">
        <f t="shared" si="36"/>
        <v>0.18357707871434628</v>
      </c>
      <c r="CL151" s="737">
        <f t="shared" si="37"/>
        <v>5.8180685998479673E-13</v>
      </c>
      <c r="CM151" s="738">
        <f t="shared" si="38"/>
        <v>0</v>
      </c>
      <c r="CN151" s="475">
        <f t="shared" si="39"/>
        <v>0.28329314852812659</v>
      </c>
      <c r="CO151" s="475">
        <f t="shared" si="40"/>
        <v>0.28329314852812654</v>
      </c>
      <c r="CP151" s="475">
        <f t="shared" si="97"/>
        <v>19.464864864864865</v>
      </c>
      <c r="CQ151" s="475">
        <f t="shared" si="41"/>
        <v>19.464864864864865</v>
      </c>
      <c r="CR151" s="475">
        <f t="shared" si="42"/>
        <v>1.0088865552595294</v>
      </c>
      <c r="CS151" s="475">
        <f t="shared" si="43"/>
        <v>0</v>
      </c>
      <c r="CT151" s="475">
        <f t="shared" si="44"/>
        <v>1.0235528375733856</v>
      </c>
      <c r="CU151" s="475">
        <f t="shared" si="45"/>
        <v>20.45945945945946</v>
      </c>
      <c r="CV151" s="475">
        <f t="shared" si="46"/>
        <v>20.45945945945946</v>
      </c>
      <c r="CW151" s="475">
        <f t="shared" si="98"/>
        <v>1.2071299162877318</v>
      </c>
      <c r="CX151" s="573">
        <f t="shared" si="99"/>
        <v>-5.8180685998479673E-13</v>
      </c>
      <c r="CY151" s="475">
        <f t="shared" si="102"/>
        <v>20.45945945945946</v>
      </c>
      <c r="CZ151" s="475">
        <f t="shared" si="100"/>
        <v>20.45945945945946</v>
      </c>
      <c r="DA151" s="475">
        <v>5</v>
      </c>
      <c r="DB151" s="739">
        <f t="shared" si="82"/>
        <v>0</v>
      </c>
      <c r="DC151" s="740">
        <f t="shared" si="47"/>
        <v>0</v>
      </c>
    </row>
    <row r="152" spans="1:107" s="619" customFormat="1" ht="12" customHeight="1">
      <c r="A152" s="732">
        <v>6</v>
      </c>
      <c r="B152" s="917">
        <f>Klimadaten!O36/8760*$K$68</f>
        <v>185.65068493150685</v>
      </c>
      <c r="C152" s="762">
        <f>Klimadaten!Q36</f>
        <v>5.0168959000913418</v>
      </c>
      <c r="D152" s="763">
        <f>Klimadaten!N36</f>
        <v>0.81187050359712232</v>
      </c>
      <c r="E152" s="491">
        <f t="shared" si="48"/>
        <v>0.26799599286798553</v>
      </c>
      <c r="F152" s="438">
        <f t="shared" si="49"/>
        <v>0</v>
      </c>
      <c r="G152" s="733">
        <f t="shared" si="9"/>
        <v>6</v>
      </c>
      <c r="H152" s="527">
        <f t="shared" si="50"/>
        <v>14.432432432432432</v>
      </c>
      <c r="I152" s="733">
        <f t="shared" si="51"/>
        <v>19.70810810810811</v>
      </c>
      <c r="J152" s="473">
        <f t="shared" si="52"/>
        <v>19.70810810810811</v>
      </c>
      <c r="K152" s="491">
        <f t="shared" si="53"/>
        <v>0.8</v>
      </c>
      <c r="L152" s="473">
        <f t="shared" si="54"/>
        <v>19.70810810810811</v>
      </c>
      <c r="M152" s="473">
        <f t="shared" si="83"/>
        <v>5.0168959000913418</v>
      </c>
      <c r="N152" s="473">
        <f t="shared" si="84"/>
        <v>32.560528300210251</v>
      </c>
      <c r="O152" s="473">
        <f t="shared" si="55"/>
        <v>32.560528300210251</v>
      </c>
      <c r="P152" s="734">
        <f t="shared" si="10"/>
        <v>0</v>
      </c>
      <c r="Q152" s="473">
        <f t="shared" si="85"/>
        <v>19.70810810810811</v>
      </c>
      <c r="R152" s="475">
        <f t="shared" si="101"/>
        <v>5.0168959000913418</v>
      </c>
      <c r="S152" s="473">
        <f t="shared" si="86"/>
        <v>32.560528300210251</v>
      </c>
      <c r="T152" s="473">
        <f t="shared" si="11"/>
        <v>19.70810810810811</v>
      </c>
      <c r="U152" s="473">
        <f t="shared" si="12"/>
        <v>19.70810810810811</v>
      </c>
      <c r="V152" s="734">
        <f t="shared" si="13"/>
        <v>0</v>
      </c>
      <c r="W152" s="473">
        <f t="shared" si="56"/>
        <v>19.70810810810811</v>
      </c>
      <c r="X152" s="475">
        <f t="shared" si="57"/>
        <v>5.0168959000913418</v>
      </c>
      <c r="Y152" s="735">
        <f t="shared" si="58"/>
        <v>32.560528300210251</v>
      </c>
      <c r="Z152" s="475">
        <f t="shared" si="59"/>
        <v>9</v>
      </c>
      <c r="AA152" s="475">
        <f>IF($E$36=$D$36,MIN(AbsFeuchte(Z152,100%,$N$19),R152),MIN(AbsFeuchte(Z152,100%,$N$19),X152))</f>
        <v>5.0168959000913418</v>
      </c>
      <c r="AB152" s="735">
        <f t="shared" si="60"/>
        <v>21.688249621036029</v>
      </c>
      <c r="AC152" s="475">
        <f t="shared" si="61"/>
        <v>9</v>
      </c>
      <c r="AD152" s="475">
        <v>30</v>
      </c>
      <c r="AE152" s="735">
        <f t="shared" si="62"/>
        <v>84.604199999999992</v>
      </c>
      <c r="AF152" s="735">
        <f t="shared" si="63"/>
        <v>9</v>
      </c>
      <c r="AG152" s="735">
        <f t="shared" si="87"/>
        <v>9.9999999999999992E+22</v>
      </c>
      <c r="AH152" s="475">
        <f t="shared" si="88"/>
        <v>19.70810810810811</v>
      </c>
      <c r="AI152" s="475">
        <f t="shared" si="64"/>
        <v>5.0168959000913445</v>
      </c>
      <c r="AJ152" s="735">
        <f t="shared" si="65"/>
        <v>32.560528300210258</v>
      </c>
      <c r="AK152" s="475">
        <f t="shared" si="66"/>
        <v>19.70810810810811</v>
      </c>
      <c r="AL152" s="475">
        <f t="shared" si="67"/>
        <v>5.0168959000913418</v>
      </c>
      <c r="AM152" s="735">
        <f t="shared" si="68"/>
        <v>32.560528300210251</v>
      </c>
      <c r="AN152" s="475">
        <f t="shared" si="89"/>
        <v>20.432432432432439</v>
      </c>
      <c r="AO152" s="475">
        <f t="shared" si="69"/>
        <v>5.0168959000913418</v>
      </c>
      <c r="AP152" s="735">
        <f t="shared" si="90"/>
        <v>33.295957549583981</v>
      </c>
      <c r="AQ152" s="475" t="e">
        <f t="shared" ca="1" si="14"/>
        <v>#NAME?</v>
      </c>
      <c r="AR152" s="475">
        <f t="shared" si="91"/>
        <v>5.0168959000913445</v>
      </c>
      <c r="AS152" s="735" t="e">
        <f t="shared" ca="1" si="15"/>
        <v>#VALUE!</v>
      </c>
      <c r="AT152" s="475">
        <f t="shared" si="92"/>
        <v>20.432432432432432</v>
      </c>
      <c r="AU152" s="475">
        <f t="shared" si="16"/>
        <v>5.0168959000913418</v>
      </c>
      <c r="AV152" s="735">
        <f t="shared" si="17"/>
        <v>33.295957549583974</v>
      </c>
      <c r="AW152" s="529">
        <f t="shared" si="70"/>
        <v>1</v>
      </c>
      <c r="AX152" s="735">
        <f t="shared" si="71"/>
        <v>1</v>
      </c>
      <c r="AY152" s="735">
        <f t="shared" si="18"/>
        <v>1</v>
      </c>
      <c r="AZ152" s="735">
        <f t="shared" si="72"/>
        <v>1</v>
      </c>
      <c r="BA152" s="735">
        <f t="shared" si="73"/>
        <v>1</v>
      </c>
      <c r="BB152" s="735">
        <f>IF($E$36=$D$36,IF(AW152=1,Fall1Tzul(AX152,AY152,BJ152,Q152),0),IF(AW152=1,Fall1Tzul(AX152,AY152,BJ152,W152),0))</f>
        <v>20.432432432432432</v>
      </c>
      <c r="BC152" s="735">
        <f>IF($E$36=$D$36,IF(AW152=1,Fall1xzul(AX152,AY152,BL152,R152),0),IF(AW152=1,Fall1xzul(AX152,AY152,BL152,X152),0))</f>
        <v>5.0168959000913445</v>
      </c>
      <c r="BD152" s="735">
        <f>IF($E$36=$D$36,IF(AW152=2,Fall2Tzul(AX152, AZ152, BJ152,Q152, Z152),0),IF(AW152=2,Fall2Tzul(AX152, AZ152, BJ152,W152, Z152),0))</f>
        <v>0</v>
      </c>
      <c r="BE152" s="735">
        <f>IF($E$36=$D$36,IF(AW152=2,Fall2xzul(AX152,AZ152,BL152,R152,AA152),0),IF(AW152=2,Fall2xzul(AX152,AZ152,BL152,X152,AA152),0))</f>
        <v>0</v>
      </c>
      <c r="BF152" s="735">
        <f t="shared" si="19"/>
        <v>0</v>
      </c>
      <c r="BG152" s="735">
        <f t="shared" si="20"/>
        <v>0</v>
      </c>
      <c r="BH152" s="735">
        <f t="shared" si="21"/>
        <v>0</v>
      </c>
      <c r="BI152" s="735">
        <f t="shared" si="22"/>
        <v>0</v>
      </c>
      <c r="BJ152" s="473">
        <f t="shared" si="93"/>
        <v>20.432432432432432</v>
      </c>
      <c r="BK152" s="491">
        <f t="shared" si="23"/>
        <v>0.31611411393434702</v>
      </c>
      <c r="BL152" s="475">
        <f>AbsFeuchte(BJ152,BK152,$N$19)</f>
        <v>5.0168959000913445</v>
      </c>
      <c r="BM152" s="735">
        <f t="shared" si="24"/>
        <v>33.295957549583981</v>
      </c>
      <c r="BN152" s="473">
        <f t="shared" si="94"/>
        <v>20.432432432432432</v>
      </c>
      <c r="BO152" s="491">
        <f t="shared" si="25"/>
        <v>0.31611411393434713</v>
      </c>
      <c r="BP152" s="475">
        <f t="shared" si="74"/>
        <v>5.0168959000913445</v>
      </c>
      <c r="BQ152" s="735">
        <f t="shared" si="26"/>
        <v>33.295957549583981</v>
      </c>
      <c r="BR152" s="473">
        <f t="shared" si="75"/>
        <v>23.135135135135137</v>
      </c>
      <c r="BS152" s="491">
        <f t="shared" si="76"/>
        <v>0.26799599286798553</v>
      </c>
      <c r="BT152" s="475">
        <f>AbsFeuchte(BR152,BS152,$N$19)</f>
        <v>5.0168959000913436</v>
      </c>
      <c r="BU152" s="576">
        <f>IF($I$21=0,IF(E$13=$S$10,BR152+$N$18,BR152),IF(E$13=$S$10,BR152+$N$18+#REF!,BR152+$I$21))</f>
        <v>23.135135135135137</v>
      </c>
      <c r="BV152" s="736">
        <f t="shared" si="77"/>
        <v>0.26799599286798564</v>
      </c>
      <c r="BW152" s="726">
        <f t="shared" si="78"/>
        <v>5.0168959000913436</v>
      </c>
      <c r="BX152" s="475">
        <f t="shared" si="95"/>
        <v>0</v>
      </c>
      <c r="BY152" s="475">
        <f t="shared" si="96"/>
        <v>0.73542924937373044</v>
      </c>
      <c r="BZ152" s="475">
        <f t="shared" si="79"/>
        <v>0</v>
      </c>
      <c r="CA152" s="475">
        <f t="shared" si="80"/>
        <v>0</v>
      </c>
      <c r="CB152" s="475">
        <f t="shared" si="27"/>
        <v>0</v>
      </c>
      <c r="CC152" s="475">
        <f t="shared" si="28"/>
        <v>0.73542924937372334</v>
      </c>
      <c r="CD152" s="475">
        <f t="shared" si="29"/>
        <v>7.1054273576010019E-15</v>
      </c>
      <c r="CE152" s="621">
        <f t="shared" si="30"/>
        <v>0</v>
      </c>
      <c r="CF152" s="621">
        <f t="shared" si="31"/>
        <v>0</v>
      </c>
      <c r="CG152" s="621">
        <f t="shared" si="32"/>
        <v>1.6093761898086914E-15</v>
      </c>
      <c r="CH152" s="573">
        <f t="shared" si="33"/>
        <v>2.1726578562417338E-12</v>
      </c>
      <c r="CI152" s="621">
        <f t="shared" si="34"/>
        <v>1.5891181670194749E-15</v>
      </c>
      <c r="CJ152" s="621">
        <f t="shared" si="35"/>
        <v>0</v>
      </c>
      <c r="CK152" s="621">
        <f t="shared" si="36"/>
        <v>0.16657440343328775</v>
      </c>
      <c r="CL152" s="737">
        <f t="shared" si="37"/>
        <v>0</v>
      </c>
      <c r="CM152" s="738">
        <f t="shared" si="38"/>
        <v>1.6093761898086914E-15</v>
      </c>
      <c r="CN152" s="475">
        <f t="shared" si="39"/>
        <v>0.31611411393434702</v>
      </c>
      <c r="CO152" s="475">
        <f t="shared" si="40"/>
        <v>0.31611411393434713</v>
      </c>
      <c r="CP152" s="475">
        <f t="shared" si="97"/>
        <v>19.70810810810811</v>
      </c>
      <c r="CQ152" s="475">
        <f t="shared" si="41"/>
        <v>19.70810810810811</v>
      </c>
      <c r="CR152" s="475">
        <f t="shared" si="42"/>
        <v>0.73542924937373044</v>
      </c>
      <c r="CS152" s="475">
        <f t="shared" si="43"/>
        <v>0</v>
      </c>
      <c r="CT152" s="475">
        <f t="shared" si="44"/>
        <v>1.2740941291585128</v>
      </c>
      <c r="CU152" s="475">
        <f t="shared" si="45"/>
        <v>20.432432432432432</v>
      </c>
      <c r="CV152" s="475">
        <f t="shared" si="46"/>
        <v>20.432432432432432</v>
      </c>
      <c r="CW152" s="475">
        <f t="shared" si="98"/>
        <v>1.4406685325918023</v>
      </c>
      <c r="CX152" s="573">
        <f t="shared" si="99"/>
        <v>0</v>
      </c>
      <c r="CY152" s="475">
        <f t="shared" si="102"/>
        <v>20.432432432432432</v>
      </c>
      <c r="CZ152" s="475">
        <f t="shared" si="100"/>
        <v>20.432432432432432</v>
      </c>
      <c r="DA152" s="475">
        <v>6</v>
      </c>
      <c r="DB152" s="739">
        <f t="shared" si="82"/>
        <v>0</v>
      </c>
      <c r="DC152" s="740">
        <f t="shared" si="47"/>
        <v>0</v>
      </c>
    </row>
    <row r="153" spans="1:107" s="619" customFormat="1" ht="12" customHeight="1">
      <c r="A153" s="732">
        <v>7</v>
      </c>
      <c r="B153" s="917">
        <f>Klimadaten!O37/8760*$K$68</f>
        <v>180.75342465753425</v>
      </c>
      <c r="C153" s="762">
        <f>Klimadaten!Q37</f>
        <v>5.0915481783786882</v>
      </c>
      <c r="D153" s="763">
        <f>Klimadaten!N37</f>
        <v>0.76901477832512311</v>
      </c>
      <c r="E153" s="491">
        <f t="shared" ref="E153:E181" si="103">MIN(100%,RelFeuchte(BR153,C153,$N$19))</f>
        <v>0.27106421726837249</v>
      </c>
      <c r="F153" s="438">
        <f t="shared" si="49"/>
        <v>0</v>
      </c>
      <c r="G153" s="733">
        <f t="shared" ref="G153:G181" si="104">IF(A153&lt;=$E$33,(IF($E$32=$I$32,DB153,IF($E$32=$I$33,DC153,0))*3600)/($K$70*$N$20*$N$23)+A153,A153)</f>
        <v>7</v>
      </c>
      <c r="H153" s="527">
        <f t="shared" si="50"/>
        <v>13.405405405405407</v>
      </c>
      <c r="I153" s="733">
        <f t="shared" si="51"/>
        <v>19.951351351351352</v>
      </c>
      <c r="J153" s="473">
        <f t="shared" si="52"/>
        <v>19.951351351351352</v>
      </c>
      <c r="K153" s="491">
        <f t="shared" si="53"/>
        <v>0.8</v>
      </c>
      <c r="L153" s="473">
        <f t="shared" si="54"/>
        <v>19.951351351351352</v>
      </c>
      <c r="M153" s="473">
        <f t="shared" ref="M153:M181" si="105">IF($E$28=0,C153,(K153/$E$28*$E$29)*(BW153-C153)+C153)</f>
        <v>5.0915481783786882</v>
      </c>
      <c r="N153" s="473">
        <f t="shared" ref="N153:N181" si="106">EnthalpieA(L153,M153,$N$19)*$E$35+(1-$E$35)*EnthalpieA(BU153,BW153,$N$19)</f>
        <v>32.997021258421832</v>
      </c>
      <c r="O153" s="473">
        <f t="shared" ref="O153:O181" si="107">EnthalpieA(L153,M153,$N$19)*$E$34+(1-$E$34)*EnthalpieA(BU153,BW153,$N$19)</f>
        <v>32.997021258421832</v>
      </c>
      <c r="P153" s="734">
        <f t="shared" ref="P153:P181" si="108">1-IF(EnthalpieA(L153,M153,$N$19)=S153,$E$35,(S153-EnthalpieA(BU153,BW153,$N$19))/((EnthalpieA(L153,M153,$N$19)-EnthalpieA(BU153,BW153,$N$19))))</f>
        <v>0</v>
      </c>
      <c r="Q153" s="473">
        <f t="shared" si="85"/>
        <v>19.951351351351352</v>
      </c>
      <c r="R153" s="475">
        <f t="shared" si="101"/>
        <v>5.0915481783786882</v>
      </c>
      <c r="S153" s="473">
        <f t="shared" si="86"/>
        <v>32.997021258421832</v>
      </c>
      <c r="T153" s="473">
        <f t="shared" si="11"/>
        <v>19.951351351351352</v>
      </c>
      <c r="U153" s="473">
        <f t="shared" si="12"/>
        <v>19.951351351351352</v>
      </c>
      <c r="V153" s="734">
        <f t="shared" si="13"/>
        <v>0</v>
      </c>
      <c r="W153" s="473">
        <f t="shared" si="56"/>
        <v>19.951351351351352</v>
      </c>
      <c r="X153" s="475">
        <f t="shared" si="57"/>
        <v>5.0915481783786882</v>
      </c>
      <c r="Y153" s="735">
        <f t="shared" ref="Y153:Y181" si="109">EnthalpieA(W153,X153,$N$19)</f>
        <v>32.997021258421832</v>
      </c>
      <c r="Z153" s="475">
        <f t="shared" si="59"/>
        <v>9</v>
      </c>
      <c r="AA153" s="475">
        <f>IF($E$36=$D$36,MIN(AbsFeuchte(Z153,100%,$N$19),R153),MIN(AbsFeuchte(Z153,100%,$N$19),X153))</f>
        <v>5.0915481783786882</v>
      </c>
      <c r="AB153" s="735">
        <f t="shared" ref="AB153:AB181" si="110">EnthalpieA(Z153,AA153,$N$19)</f>
        <v>21.876249439538185</v>
      </c>
      <c r="AC153" s="475">
        <f t="shared" si="61"/>
        <v>9</v>
      </c>
      <c r="AD153" s="475">
        <v>31</v>
      </c>
      <c r="AE153" s="735">
        <f t="shared" ref="AE153:AE181" si="111">EnthalpieA(AC153,AD153,$N$19)</f>
        <v>87.122539999999987</v>
      </c>
      <c r="AF153" s="735">
        <f t="shared" si="63"/>
        <v>9</v>
      </c>
      <c r="AG153" s="735">
        <f t="shared" si="87"/>
        <v>9.9999999999999992E+22</v>
      </c>
      <c r="AH153" s="475">
        <f t="shared" si="88"/>
        <v>19.951351351351352</v>
      </c>
      <c r="AI153" s="475">
        <f t="shared" si="64"/>
        <v>5.0915481783786873</v>
      </c>
      <c r="AJ153" s="735">
        <f t="shared" ref="AJ153:AJ181" si="112">EnthalpieA(AH153,AI153,$N$19)</f>
        <v>32.997021258421832</v>
      </c>
      <c r="AK153" s="475">
        <f t="shared" si="66"/>
        <v>19.951351351351352</v>
      </c>
      <c r="AL153" s="475">
        <f t="shared" si="67"/>
        <v>5.0915481783786882</v>
      </c>
      <c r="AM153" s="735">
        <f t="shared" ref="AM153:AM181" si="113">EnthalpieA(AK153,AL153,$N$19)</f>
        <v>32.997021258421832</v>
      </c>
      <c r="AN153" s="475">
        <f t="shared" si="89"/>
        <v>20.405405405405407</v>
      </c>
      <c r="AO153" s="475">
        <f t="shared" si="69"/>
        <v>5.0915481783786882</v>
      </c>
      <c r="AP153" s="735">
        <f t="shared" si="90"/>
        <v>33.458099655650969</v>
      </c>
      <c r="AQ153" s="475" t="e">
        <f t="shared" ref="AQ153:AQ181" ca="1" si="114">TaupunktA(AR153,$N$19)</f>
        <v>#NAME?</v>
      </c>
      <c r="AR153" s="475">
        <f t="shared" si="91"/>
        <v>5.0915481783786873</v>
      </c>
      <c r="AS153" s="735" t="e">
        <f t="shared" ref="AS153:AS181" ca="1" si="115">EnthalpieA(AQ153,AR153,$N$19)</f>
        <v>#VALUE!</v>
      </c>
      <c r="AT153" s="475">
        <f t="shared" si="92"/>
        <v>20.405405405405407</v>
      </c>
      <c r="AU153" s="475">
        <f t="shared" si="16"/>
        <v>5.0915481783786882</v>
      </c>
      <c r="AV153" s="735">
        <f t="shared" ref="AV153:AV181" si="116">EnthalpieA(AT153,AU153,$N$19)</f>
        <v>33.458099655650969</v>
      </c>
      <c r="AW153" s="529">
        <f t="shared" si="70"/>
        <v>1</v>
      </c>
      <c r="AX153" s="735">
        <f t="shared" si="71"/>
        <v>1</v>
      </c>
      <c r="AY153" s="735">
        <f t="shared" si="18"/>
        <v>1</v>
      </c>
      <c r="AZ153" s="735">
        <f t="shared" si="72"/>
        <v>1</v>
      </c>
      <c r="BA153" s="735">
        <f t="shared" si="73"/>
        <v>1</v>
      </c>
      <c r="BB153" s="735">
        <f>IF($E$36=$D$36,IF(AW153=1,Fall1Tzul(AX153,AY153,BJ153,Q153),0),IF(AW153=1,Fall1Tzul(AX153,AY153,BJ153,W153),0))</f>
        <v>20.405405405405407</v>
      </c>
      <c r="BC153" s="735">
        <f>IF($E$36=$D$36,IF(AW153=1,Fall1xzul(AX153,AY153,BL153,R153),0),IF(AW153=1,Fall1xzul(AX153,AY153,BL153,X153),0))</f>
        <v>5.0915481783786873</v>
      </c>
      <c r="BD153" s="735">
        <f>IF($E$36=$D$36,IF(AW153=2,Fall2Tzul(AX153, AZ153, BJ153,Q153, Z153),0),IF(AW153=2,Fall2Tzul(AX153, AZ153, BJ153,W153, Z153),0))</f>
        <v>0</v>
      </c>
      <c r="BE153" s="735">
        <f>IF($E$36=$D$36,IF(AW153=2,Fall2xzul(AX153,AZ153,BL153,R153,AA153),0),IF(AW153=2,Fall2xzul(AX153,AZ153,BL153,X153,AA153),0))</f>
        <v>0</v>
      </c>
      <c r="BF153" s="735">
        <f t="shared" si="19"/>
        <v>0</v>
      </c>
      <c r="BG153" s="735">
        <f t="shared" si="20"/>
        <v>0</v>
      </c>
      <c r="BH153" s="735">
        <f t="shared" si="21"/>
        <v>0</v>
      </c>
      <c r="BI153" s="735">
        <f t="shared" si="22"/>
        <v>0</v>
      </c>
      <c r="BJ153" s="473">
        <f t="shared" si="93"/>
        <v>20.405405405405407</v>
      </c>
      <c r="BK153" s="491">
        <f t="shared" ref="BK153:BK181" si="117">MIN(1,RelFeuchte(BJ153,BT153,$N$19))</f>
        <v>0.32131549882208849</v>
      </c>
      <c r="BL153" s="475">
        <f>AbsFeuchte(BJ153,BK153,$N$19)</f>
        <v>5.0915481783786873</v>
      </c>
      <c r="BM153" s="735">
        <f t="shared" ref="BM153:BM181" si="118">EnthalpieA(BJ153,BL153,$N$19)</f>
        <v>33.458099655650969</v>
      </c>
      <c r="BN153" s="473">
        <f t="shared" si="94"/>
        <v>20.405405405405407</v>
      </c>
      <c r="BO153" s="491">
        <f t="shared" ref="BO153:BO181" si="119">MIN(1,RelFeuchte(BN153,BP153,$N$19))</f>
        <v>0.32131549882208849</v>
      </c>
      <c r="BP153" s="475">
        <f t="shared" si="74"/>
        <v>5.0915481783786873</v>
      </c>
      <c r="BQ153" s="735">
        <f t="shared" ref="BQ153:BQ181" si="120">EnthalpieA(BN153,BP153,$N$19)</f>
        <v>33.458099655650969</v>
      </c>
      <c r="BR153" s="473">
        <f t="shared" si="75"/>
        <v>23.189189189189189</v>
      </c>
      <c r="BS153" s="491">
        <f t="shared" si="76"/>
        <v>0.27106421726837249</v>
      </c>
      <c r="BT153" s="475">
        <f>AbsFeuchte(BR153,BS153,$N$19)</f>
        <v>5.0915481783786882</v>
      </c>
      <c r="BU153" s="576">
        <f>IF($I$21=0,IF(E$13=$S$10,BR153+$N$18,BR153),IF(E$13=$S$10,BR153+$N$18+#REF!,BR153+$I$21))</f>
        <v>23.189189189189189</v>
      </c>
      <c r="BV153" s="736">
        <f t="shared" ref="BV153:BV181" si="121">RelFeuchte(BU153,BW153,$N$19)</f>
        <v>0.27106421726837249</v>
      </c>
      <c r="BW153" s="726">
        <f t="shared" si="78"/>
        <v>5.0915481783786882</v>
      </c>
      <c r="BX153" s="475">
        <f t="shared" si="95"/>
        <v>0</v>
      </c>
      <c r="BY153" s="475">
        <f t="shared" si="96"/>
        <v>0.46107839722913724</v>
      </c>
      <c r="BZ153" s="475">
        <f t="shared" si="79"/>
        <v>0</v>
      </c>
      <c r="CA153" s="475">
        <f t="shared" si="80"/>
        <v>0</v>
      </c>
      <c r="CB153" s="475">
        <f t="shared" si="27"/>
        <v>0</v>
      </c>
      <c r="CC153" s="475">
        <f t="shared" si="28"/>
        <v>0.46107839722913724</v>
      </c>
      <c r="CD153" s="475">
        <f t="shared" si="29"/>
        <v>0</v>
      </c>
      <c r="CE153" s="621">
        <f t="shared" ref="CE153:CE181" si="122">IF($E$42=$S$21,IF(OR(AND(A153&gt;=$E$26,$E$27&gt;0),AND(A153&gt;=$E$26,$E$27&lt;0)),$P$70*B153*$N$23*(CA153)/3.6/1000000,$K$70*B153*$N$23*(CA153)/3.6/1000000),0)</f>
        <v>0</v>
      </c>
      <c r="CF153" s="621">
        <f t="shared" ref="CF153:CF181" si="123">IF($E$39=$S$21,IF(OR(AND(A153&gt;=$E$26,$E$27&gt;0),AND(A153&gt;=$E$26,$E$27&lt;0)),$P$70*B153*$N$23*(CB153)/3.6/1000000,$K$70*B153*$N$23*(CB153)/3.6/1000000),0)</f>
        <v>0</v>
      </c>
      <c r="CG153" s="621">
        <f t="shared" ref="CG153:CG181" si="124">IF(OR(AND(A153&gt;=$E$26,$E$27&gt;0),AND(A153&gt;=$E$26,$E$27&lt;0)),$P$70*B153*$N$23*(CD153)/3.6/1000000,$K$70*B153*$N$23*(CD153)/3.6/1000000)</f>
        <v>0</v>
      </c>
      <c r="CH153" s="573">
        <f t="shared" ref="CH153:CH181" si="125">IF($E$36=$D$36,IF(OR(AND(A153&gt;=$E$26,$E$27&gt;0),AND(A153&gt;=$E$26,$E$27&lt;0)),MAX(0,(BP153-R153)*B153*$P$70*$N$23/1000),MAX(0,(BP153-R153)*B153*$K$70*$N$23/1000)),IF(OR(AND(A153&gt;=$E$26,$E$27&gt;0),AND(A153&gt;=$E$26,$E$27&lt;0)),MAX(0,(BP153-X153)*B153*$P$70*$N$23/1000),MAX(0,(BP153-X153)*B153*$K$70*$N$23/1000)))</f>
        <v>0</v>
      </c>
      <c r="CI153" s="621">
        <f t="shared" si="34"/>
        <v>0</v>
      </c>
      <c r="CJ153" s="621">
        <f t="shared" ref="CJ153:CJ181" si="126">IF($E$42=$S$21,IF(OR(AND(A153&gt;=$E$26,$E$27&gt;0),AND(A153&gt;=$E$26,$E$27&lt;0)),$P$70*B153*$N$23*(BZ153)/3.6/1000000,$K$70*B153*$N$23*(BZ153)/3.6/1000000),0)</f>
        <v>0</v>
      </c>
      <c r="CK153" s="621">
        <f t="shared" ref="CK153:CK181" si="127">IF($E$39=$S$21,IF(OR(AND(A153&gt;=$E$26,$E$27&gt;0),AND(A153&gt;=$E$26,$E$27&lt;0)),$P$70*B153*$N$23*(CC153)/3.6/1000000,$K$70*B153*$N$23*(CC153)/3.6/1000000),0)</f>
        <v>0.10167920019847328</v>
      </c>
      <c r="CL153" s="737">
        <f t="shared" ref="CL153:CL181" si="128">IF($E$36=$D$36,IF(OR(AND(A153&gt;=$E$26,$E$27&gt;0),AND(A153&gt;=$E$26,$E$27&lt;0)),MAX(0,-(BP153-R153)*B153*$P$70*$N$23/1000),MAX(0,-(BP153-R153)*B153*$K$70*$N$23/1000)),IF(OR(AND(A153&gt;=$E$26,$E$27&gt;0),AND(A153&gt;=$E$26,$E$27&lt;0)),MAX(0,-(BP153-X153)*B153*$P$70*$N$23/1000),MAX(0,-(BP153-X153)*B153*$K$70*$N$23/1000)))</f>
        <v>7.0511517956366416E-13</v>
      </c>
      <c r="CM153" s="738">
        <f t="shared" si="38"/>
        <v>0</v>
      </c>
      <c r="CN153" s="475">
        <f t="shared" si="39"/>
        <v>0.32131549882208849</v>
      </c>
      <c r="CO153" s="475">
        <f t="shared" si="40"/>
        <v>0.32131549882208849</v>
      </c>
      <c r="CP153" s="475">
        <f t="shared" si="97"/>
        <v>19.951351351351352</v>
      </c>
      <c r="CQ153" s="475">
        <f t="shared" si="41"/>
        <v>19.951351351351352</v>
      </c>
      <c r="CR153" s="475">
        <f t="shared" si="42"/>
        <v>0.46107839722913724</v>
      </c>
      <c r="CS153" s="475">
        <f t="shared" si="43"/>
        <v>0</v>
      </c>
      <c r="CT153" s="475">
        <f t="shared" ref="CT153:CT181" si="129">IF(OR(AND(A153&gt;=$E$26,$E$27&gt;0),AND(A153&gt;=$E$26,$E$27&lt;0)),B153*($R$70/1000),B153*($M$70)/1000)</f>
        <v>1.2404849315068496</v>
      </c>
      <c r="CU153" s="475">
        <f t="shared" si="45"/>
        <v>20.405405405405407</v>
      </c>
      <c r="CV153" s="475">
        <f t="shared" si="46"/>
        <v>20.405405405405407</v>
      </c>
      <c r="CW153" s="475">
        <f t="shared" si="98"/>
        <v>1.3421641317053228</v>
      </c>
      <c r="CX153" s="573">
        <f t="shared" si="99"/>
        <v>-7.0511517956366416E-13</v>
      </c>
      <c r="CY153" s="475">
        <f t="shared" si="102"/>
        <v>20.405405405405407</v>
      </c>
      <c r="CZ153" s="475">
        <f t="shared" si="100"/>
        <v>20.405405405405407</v>
      </c>
      <c r="DA153" s="475">
        <v>7</v>
      </c>
      <c r="DB153" s="739">
        <f t="shared" si="82"/>
        <v>0</v>
      </c>
      <c r="DC153" s="740">
        <f t="shared" ref="DC153:DC181" si="130">IF(A153&lt;=$E$33,ABS($K$70*$N$20*$N$23*MIN(ABS(A153-$E$33),ABS($E$40-$E$33))/3600),0)</f>
        <v>0</v>
      </c>
    </row>
    <row r="154" spans="1:107" s="619" customFormat="1" ht="12" customHeight="1">
      <c r="A154" s="732">
        <v>8</v>
      </c>
      <c r="B154" s="917">
        <f>Klimadaten!O38/8760*$K$68</f>
        <v>149.58904109589042</v>
      </c>
      <c r="C154" s="762">
        <f>Klimadaten!Q38</f>
        <v>5.5108333992272582</v>
      </c>
      <c r="D154" s="763">
        <f>Klimadaten!N38</f>
        <v>0.77684523809523809</v>
      </c>
      <c r="E154" s="491">
        <f t="shared" si="103"/>
        <v>0.29223400415645995</v>
      </c>
      <c r="F154" s="438">
        <f t="shared" si="49"/>
        <v>0</v>
      </c>
      <c r="G154" s="733">
        <f t="shared" si="104"/>
        <v>8</v>
      </c>
      <c r="H154" s="527">
        <f t="shared" si="50"/>
        <v>12.378378378378379</v>
      </c>
      <c r="I154" s="733">
        <f t="shared" si="51"/>
        <v>20.194594594594594</v>
      </c>
      <c r="J154" s="473">
        <f t="shared" si="52"/>
        <v>20.194594594594594</v>
      </c>
      <c r="K154" s="491">
        <f t="shared" si="53"/>
        <v>0.8</v>
      </c>
      <c r="L154" s="473">
        <f t="shared" si="54"/>
        <v>20.194594594594594</v>
      </c>
      <c r="M154" s="473">
        <f t="shared" si="105"/>
        <v>5.5108333992272582</v>
      </c>
      <c r="N154" s="473">
        <f t="shared" si="106"/>
        <v>34.308660619927963</v>
      </c>
      <c r="O154" s="473">
        <f t="shared" si="107"/>
        <v>34.308660619927963</v>
      </c>
      <c r="P154" s="734">
        <f t="shared" si="108"/>
        <v>0</v>
      </c>
      <c r="Q154" s="473">
        <f t="shared" si="85"/>
        <v>20.194594594594594</v>
      </c>
      <c r="R154" s="475">
        <f t="shared" si="101"/>
        <v>5.5108333992272582</v>
      </c>
      <c r="S154" s="473">
        <f t="shared" si="86"/>
        <v>34.308660619927963</v>
      </c>
      <c r="T154" s="473">
        <f t="shared" si="11"/>
        <v>20.194594594594594</v>
      </c>
      <c r="U154" s="473">
        <f t="shared" si="12"/>
        <v>20.194594594594594</v>
      </c>
      <c r="V154" s="734">
        <f t="shared" si="13"/>
        <v>0</v>
      </c>
      <c r="W154" s="473">
        <f t="shared" si="56"/>
        <v>20.194594594594594</v>
      </c>
      <c r="X154" s="475">
        <f t="shared" si="57"/>
        <v>5.5108333992272582</v>
      </c>
      <c r="Y154" s="735">
        <f t="shared" si="109"/>
        <v>34.308660619927963</v>
      </c>
      <c r="Z154" s="475">
        <f t="shared" si="59"/>
        <v>9</v>
      </c>
      <c r="AA154" s="475">
        <f>IF($E$36=$D$36,MIN(AbsFeuchte(Z154,100%,$N$19),R154),MIN(AbsFeuchte(Z154,100%,$N$19),X154))</f>
        <v>5.5108333992272582</v>
      </c>
      <c r="AB154" s="735">
        <f t="shared" si="110"/>
        <v>22.932152182609975</v>
      </c>
      <c r="AC154" s="475">
        <f t="shared" si="61"/>
        <v>9</v>
      </c>
      <c r="AD154" s="475">
        <v>32</v>
      </c>
      <c r="AE154" s="735">
        <f t="shared" si="111"/>
        <v>89.640879999999996</v>
      </c>
      <c r="AF154" s="735">
        <f t="shared" si="63"/>
        <v>9</v>
      </c>
      <c r="AG154" s="735">
        <f t="shared" si="87"/>
        <v>9.9999999999999992E+22</v>
      </c>
      <c r="AH154" s="475">
        <f t="shared" si="88"/>
        <v>20.194594594594594</v>
      </c>
      <c r="AI154" s="475">
        <f t="shared" si="64"/>
        <v>5.5108333992272573</v>
      </c>
      <c r="AJ154" s="735">
        <f t="shared" si="112"/>
        <v>34.308660619927956</v>
      </c>
      <c r="AK154" s="475">
        <f t="shared" si="66"/>
        <v>20.194594594594594</v>
      </c>
      <c r="AL154" s="475">
        <f t="shared" si="67"/>
        <v>5.5108333992272582</v>
      </c>
      <c r="AM154" s="735">
        <f t="shared" si="113"/>
        <v>34.308660619927963</v>
      </c>
      <c r="AN154" s="475">
        <f t="shared" si="89"/>
        <v>20.378378378378375</v>
      </c>
      <c r="AO154" s="475">
        <f t="shared" si="69"/>
        <v>5.5108333992272582</v>
      </c>
      <c r="AP154" s="735">
        <f t="shared" si="90"/>
        <v>34.495430917788319</v>
      </c>
      <c r="AQ154" s="475" t="e">
        <f t="shared" ca="1" si="114"/>
        <v>#NAME?</v>
      </c>
      <c r="AR154" s="475">
        <f t="shared" si="91"/>
        <v>5.5108333992272573</v>
      </c>
      <c r="AS154" s="735" t="e">
        <f t="shared" ca="1" si="115"/>
        <v>#VALUE!</v>
      </c>
      <c r="AT154" s="475">
        <f t="shared" si="92"/>
        <v>20.378378378378379</v>
      </c>
      <c r="AU154" s="475">
        <f t="shared" si="16"/>
        <v>5.5108333992272582</v>
      </c>
      <c r="AV154" s="735">
        <f t="shared" si="116"/>
        <v>34.495430917788326</v>
      </c>
      <c r="AW154" s="529">
        <f t="shared" si="70"/>
        <v>1</v>
      </c>
      <c r="AX154" s="735">
        <f t="shared" si="71"/>
        <v>1</v>
      </c>
      <c r="AY154" s="735">
        <f t="shared" si="18"/>
        <v>1</v>
      </c>
      <c r="AZ154" s="735">
        <f t="shared" si="72"/>
        <v>1</v>
      </c>
      <c r="BA154" s="735">
        <f t="shared" si="73"/>
        <v>1</v>
      </c>
      <c r="BB154" s="735">
        <f>IF($E$36=$D$36,IF(AW154=1,Fall1Tzul(AX154,AY154,BJ154,Q154),0),IF(AW154=1,Fall1Tzul(AX154,AY154,BJ154,W154),0))</f>
        <v>20.378378378378379</v>
      </c>
      <c r="BC154" s="735">
        <f>IF($E$36=$D$36,IF(AW154=1,Fall1xzul(AX154,AY154,BL154,R154),0),IF(AW154=1,Fall1xzul(AX154,AY154,BL154,X154),0))</f>
        <v>5.5108333992272573</v>
      </c>
      <c r="BD154" s="735">
        <f>IF($E$36=$D$36,IF(AW154=2,Fall2Tzul(AX154, AZ154, BJ154,Q154, Z154),0),IF(AW154=2,Fall2Tzul(AX154, AZ154, BJ154,W154, Z154),0))</f>
        <v>0</v>
      </c>
      <c r="BE154" s="735">
        <f>IF($E$36=$D$36,IF(AW154=2,Fall2xzul(AX154,AZ154,BL154,R154,AA154),0),IF(AW154=2,Fall2xzul(AX154,AZ154,BL154,X154,AA154),0))</f>
        <v>0</v>
      </c>
      <c r="BF154" s="735">
        <f t="shared" si="19"/>
        <v>0</v>
      </c>
      <c r="BG154" s="735">
        <f t="shared" si="20"/>
        <v>0</v>
      </c>
      <c r="BH154" s="735">
        <f t="shared" si="21"/>
        <v>0</v>
      </c>
      <c r="BI154" s="735">
        <f t="shared" si="22"/>
        <v>0</v>
      </c>
      <c r="BJ154" s="473">
        <f t="shared" si="93"/>
        <v>20.378378378378379</v>
      </c>
      <c r="BK154" s="491">
        <f t="shared" si="117"/>
        <v>0.34812378202210453</v>
      </c>
      <c r="BL154" s="475">
        <f>AbsFeuchte(BJ154,BK154,$N$19)</f>
        <v>5.5108333992272573</v>
      </c>
      <c r="BM154" s="735">
        <f t="shared" si="118"/>
        <v>34.495430917788319</v>
      </c>
      <c r="BN154" s="473">
        <f t="shared" si="94"/>
        <v>20.378378378378379</v>
      </c>
      <c r="BO154" s="491">
        <f t="shared" si="119"/>
        <v>0.34812378202210453</v>
      </c>
      <c r="BP154" s="475">
        <f t="shared" si="74"/>
        <v>5.5108333992272573</v>
      </c>
      <c r="BQ154" s="735">
        <f t="shared" si="120"/>
        <v>34.495430917788319</v>
      </c>
      <c r="BR154" s="473">
        <f t="shared" si="75"/>
        <v>23.243243243243242</v>
      </c>
      <c r="BS154" s="491">
        <f t="shared" si="76"/>
        <v>0.29223400415645995</v>
      </c>
      <c r="BT154" s="475">
        <f>AbsFeuchte(BR154,BS154,$N$19)</f>
        <v>5.5108333992272573</v>
      </c>
      <c r="BU154" s="576">
        <f>IF($I$21=0,IF(E$13=$S$10,BR154+$N$18,BR154),IF(E$13=$S$10,BR154+$N$18+#REF!,BR154+$I$21))</f>
        <v>23.243243243243242</v>
      </c>
      <c r="BV154" s="736">
        <f t="shared" si="121"/>
        <v>0.29223400415645989</v>
      </c>
      <c r="BW154" s="726">
        <f t="shared" si="78"/>
        <v>5.5108333992272573</v>
      </c>
      <c r="BX154" s="475">
        <f t="shared" si="95"/>
        <v>0</v>
      </c>
      <c r="BY154" s="475">
        <f t="shared" si="96"/>
        <v>0.18677029786035604</v>
      </c>
      <c r="BZ154" s="475">
        <f t="shared" si="79"/>
        <v>0</v>
      </c>
      <c r="CA154" s="475">
        <f t="shared" si="80"/>
        <v>0</v>
      </c>
      <c r="CB154" s="475">
        <f t="shared" si="27"/>
        <v>0</v>
      </c>
      <c r="CC154" s="475">
        <f t="shared" si="28"/>
        <v>0.18677029786036314</v>
      </c>
      <c r="CD154" s="475">
        <f t="shared" si="29"/>
        <v>-7.1054273576010019E-15</v>
      </c>
      <c r="CE154" s="621">
        <f t="shared" si="122"/>
        <v>0</v>
      </c>
      <c r="CF154" s="621">
        <f t="shared" si="123"/>
        <v>0</v>
      </c>
      <c r="CG154" s="621">
        <f t="shared" si="124"/>
        <v>-1.2967635486228306E-15</v>
      </c>
      <c r="CH154" s="573">
        <f t="shared" si="125"/>
        <v>0</v>
      </c>
      <c r="CI154" s="621">
        <f t="shared" si="34"/>
        <v>0</v>
      </c>
      <c r="CJ154" s="621">
        <f t="shared" si="126"/>
        <v>0</v>
      </c>
      <c r="CK154" s="621">
        <f t="shared" si="127"/>
        <v>3.4086185396246214E-2</v>
      </c>
      <c r="CL154" s="737">
        <f t="shared" si="128"/>
        <v>5.8354359688027379E-13</v>
      </c>
      <c r="CM154" s="738">
        <f t="shared" si="38"/>
        <v>-1.2967635486228306E-15</v>
      </c>
      <c r="CN154" s="475">
        <f t="shared" si="39"/>
        <v>0.34812378202210453</v>
      </c>
      <c r="CO154" s="475">
        <f t="shared" si="40"/>
        <v>0.34812378202210453</v>
      </c>
      <c r="CP154" s="475">
        <f t="shared" si="97"/>
        <v>20.194594594594594</v>
      </c>
      <c r="CQ154" s="475">
        <f t="shared" si="41"/>
        <v>20.194594594594594</v>
      </c>
      <c r="CR154" s="475">
        <f t="shared" si="42"/>
        <v>0.18677029786035604</v>
      </c>
      <c r="CS154" s="475">
        <f t="shared" si="43"/>
        <v>0</v>
      </c>
      <c r="CT154" s="475">
        <f t="shared" si="129"/>
        <v>1.0266082191780825</v>
      </c>
      <c r="CU154" s="475">
        <f t="shared" si="45"/>
        <v>20.378378378378379</v>
      </c>
      <c r="CV154" s="475">
        <f t="shared" si="46"/>
        <v>20.378378378378379</v>
      </c>
      <c r="CW154" s="475">
        <f t="shared" si="98"/>
        <v>1.0606944045743274</v>
      </c>
      <c r="CX154" s="573">
        <f t="shared" si="99"/>
        <v>-5.8354359688027379E-13</v>
      </c>
      <c r="CY154" s="475">
        <f t="shared" si="102"/>
        <v>20.378378378378379</v>
      </c>
      <c r="CZ154" s="475">
        <f t="shared" si="100"/>
        <v>20.378378378378379</v>
      </c>
      <c r="DA154" s="475">
        <v>8</v>
      </c>
      <c r="DB154" s="739">
        <f t="shared" si="82"/>
        <v>0</v>
      </c>
      <c r="DC154" s="740">
        <f t="shared" si="130"/>
        <v>0</v>
      </c>
    </row>
    <row r="155" spans="1:107" s="619" customFormat="1" ht="12" customHeight="1">
      <c r="A155" s="732">
        <v>9</v>
      </c>
      <c r="B155" s="917">
        <f>Klimadaten!O39/8760*$K$68</f>
        <v>150.92465753424659</v>
      </c>
      <c r="C155" s="762">
        <f>Klimadaten!Q39</f>
        <v>5.8444909804249461</v>
      </c>
      <c r="D155" s="763">
        <f>Klimadaten!N39</f>
        <v>0.76946902654867255</v>
      </c>
      <c r="E155" s="491">
        <f t="shared" si="103"/>
        <v>0.30875308186764522</v>
      </c>
      <c r="F155" s="438">
        <f t="shared" si="49"/>
        <v>0</v>
      </c>
      <c r="G155" s="733">
        <f t="shared" si="104"/>
        <v>9</v>
      </c>
      <c r="H155" s="527">
        <f t="shared" si="50"/>
        <v>11.351351351351351</v>
      </c>
      <c r="I155" s="733">
        <f t="shared" si="51"/>
        <v>20.43783783783784</v>
      </c>
      <c r="J155" s="473">
        <f t="shared" si="52"/>
        <v>20.351351351351351</v>
      </c>
      <c r="K155" s="491">
        <f t="shared" si="53"/>
        <v>0.79395085066162563</v>
      </c>
      <c r="L155" s="473">
        <f t="shared" si="54"/>
        <v>20.351351351351351</v>
      </c>
      <c r="M155" s="473">
        <f t="shared" si="105"/>
        <v>5.8444909804249461</v>
      </c>
      <c r="N155" s="473">
        <f t="shared" si="106"/>
        <v>35.315272614397628</v>
      </c>
      <c r="O155" s="473">
        <f t="shared" si="107"/>
        <v>35.315272614397628</v>
      </c>
      <c r="P155" s="734">
        <f t="shared" si="108"/>
        <v>0</v>
      </c>
      <c r="Q155" s="473">
        <f t="shared" si="85"/>
        <v>20.351351351351351</v>
      </c>
      <c r="R155" s="475">
        <f t="shared" si="101"/>
        <v>5.8444909804249461</v>
      </c>
      <c r="S155" s="473">
        <f t="shared" si="86"/>
        <v>35.315272614397628</v>
      </c>
      <c r="T155" s="473">
        <f t="shared" si="11"/>
        <v>20.351351351351351</v>
      </c>
      <c r="U155" s="473">
        <f t="shared" si="12"/>
        <v>20.351351351351351</v>
      </c>
      <c r="V155" s="734">
        <f t="shared" si="13"/>
        <v>0</v>
      </c>
      <c r="W155" s="473">
        <f t="shared" si="56"/>
        <v>20.351351351351351</v>
      </c>
      <c r="X155" s="475">
        <f t="shared" si="57"/>
        <v>5.8444909804249461</v>
      </c>
      <c r="Y155" s="735">
        <f t="shared" si="109"/>
        <v>35.315272614397628</v>
      </c>
      <c r="Z155" s="475">
        <f t="shared" si="59"/>
        <v>9</v>
      </c>
      <c r="AA155" s="475">
        <f>IF($E$36=$D$36,MIN(AbsFeuchte(Z155,100%,$N$19),R155),MIN(AbsFeuchte(Z155,100%,$N$19),X155))</f>
        <v>5.8444909804249461</v>
      </c>
      <c r="AB155" s="735">
        <f t="shared" si="110"/>
        <v>23.772415415643358</v>
      </c>
      <c r="AC155" s="475">
        <f t="shared" si="61"/>
        <v>9</v>
      </c>
      <c r="AD155" s="475">
        <v>33</v>
      </c>
      <c r="AE155" s="735">
        <f t="shared" si="111"/>
        <v>92.159219999999991</v>
      </c>
      <c r="AF155" s="735">
        <f t="shared" si="63"/>
        <v>9</v>
      </c>
      <c r="AG155" s="735">
        <f t="shared" si="87"/>
        <v>9.9999999999999992E+22</v>
      </c>
      <c r="AH155" s="475">
        <f t="shared" si="88"/>
        <v>20.351351351351351</v>
      </c>
      <c r="AI155" s="475">
        <f t="shared" si="64"/>
        <v>5.8444909804249461</v>
      </c>
      <c r="AJ155" s="735">
        <f t="shared" si="112"/>
        <v>35.315272614397628</v>
      </c>
      <c r="AK155" s="475">
        <f t="shared" si="66"/>
        <v>20.351351351351351</v>
      </c>
      <c r="AL155" s="475">
        <f t="shared" si="67"/>
        <v>5.8444909804249461</v>
      </c>
      <c r="AM155" s="735">
        <f t="shared" si="113"/>
        <v>35.315272614397628</v>
      </c>
      <c r="AN155" s="475">
        <f t="shared" si="89"/>
        <v>20.351351351351354</v>
      </c>
      <c r="AO155" s="475">
        <f t="shared" si="69"/>
        <v>5.8444909804249461</v>
      </c>
      <c r="AP155" s="735">
        <f t="shared" si="90"/>
        <v>35.315272614397628</v>
      </c>
      <c r="AQ155" s="475" t="e">
        <f t="shared" ca="1" si="114"/>
        <v>#NAME?</v>
      </c>
      <c r="AR155" s="475">
        <f t="shared" si="91"/>
        <v>5.8444909804249461</v>
      </c>
      <c r="AS155" s="735" t="e">
        <f t="shared" ca="1" si="115"/>
        <v>#VALUE!</v>
      </c>
      <c r="AT155" s="475">
        <f t="shared" si="92"/>
        <v>20.351351351351351</v>
      </c>
      <c r="AU155" s="475">
        <f t="shared" si="16"/>
        <v>5.8444909804249461</v>
      </c>
      <c r="AV155" s="735">
        <f t="shared" si="116"/>
        <v>35.315272614397628</v>
      </c>
      <c r="AW155" s="529">
        <f t="shared" si="70"/>
        <v>1</v>
      </c>
      <c r="AX155" s="735">
        <f t="shared" si="71"/>
        <v>1</v>
      </c>
      <c r="AY155" s="735">
        <f t="shared" si="18"/>
        <v>1</v>
      </c>
      <c r="AZ155" s="735">
        <f t="shared" si="72"/>
        <v>1</v>
      </c>
      <c r="BA155" s="735">
        <f t="shared" si="73"/>
        <v>1</v>
      </c>
      <c r="BB155" s="735">
        <f>IF($E$36=$D$36,IF(AW155=1,Fall1Tzul(AX155,AY155,BJ155,Q155),0),IF(AW155=1,Fall1Tzul(AX155,AY155,BJ155,W155),0))</f>
        <v>20.351351351351351</v>
      </c>
      <c r="BC155" s="735">
        <f>IF($E$36=$D$36,IF(AW155=1,Fall1xzul(AX155,AY155,BL155,R155),0),IF(AW155=1,Fall1xzul(AX155,AY155,BL155,X155),0))</f>
        <v>5.8444909804249461</v>
      </c>
      <c r="BD155" s="735">
        <f>IF($E$36=$D$36,IF(AW155=2,Fall2Tzul(AX155, AZ155, BJ155,Q155, Z155),0),IF(AW155=2,Fall2Tzul(AX155, AZ155, BJ155,W155, Z155),0))</f>
        <v>0</v>
      </c>
      <c r="BE155" s="735">
        <f>IF($E$36=$D$36,IF(AW155=2,Fall2xzul(AX155,AZ155,BL155,R155,AA155),0),IF(AW155=2,Fall2xzul(AX155,AZ155,BL155,X155,AA155),0))</f>
        <v>0</v>
      </c>
      <c r="BF155" s="735">
        <f t="shared" si="19"/>
        <v>0</v>
      </c>
      <c r="BG155" s="735">
        <f t="shared" si="20"/>
        <v>0</v>
      </c>
      <c r="BH155" s="735">
        <f t="shared" si="21"/>
        <v>0</v>
      </c>
      <c r="BI155" s="735">
        <f t="shared" si="22"/>
        <v>0</v>
      </c>
      <c r="BJ155" s="473">
        <f t="shared" si="93"/>
        <v>20.351351351351351</v>
      </c>
      <c r="BK155" s="491">
        <f t="shared" si="117"/>
        <v>0.36962153823042837</v>
      </c>
      <c r="BL155" s="475">
        <f>AbsFeuchte(BJ155,BK155,$N$19)</f>
        <v>5.8444909804249461</v>
      </c>
      <c r="BM155" s="735">
        <f t="shared" si="118"/>
        <v>35.315272614397628</v>
      </c>
      <c r="BN155" s="473">
        <f t="shared" si="94"/>
        <v>20.351351351351351</v>
      </c>
      <c r="BO155" s="491">
        <f t="shared" si="119"/>
        <v>0.36962153823042843</v>
      </c>
      <c r="BP155" s="475">
        <f t="shared" si="74"/>
        <v>5.8444909804249461</v>
      </c>
      <c r="BQ155" s="735">
        <f t="shared" si="120"/>
        <v>35.315272614397628</v>
      </c>
      <c r="BR155" s="473">
        <f t="shared" si="75"/>
        <v>23.297297297297298</v>
      </c>
      <c r="BS155" s="491">
        <f t="shared" si="76"/>
        <v>0.30875308186764522</v>
      </c>
      <c r="BT155" s="475">
        <f>AbsFeuchte(BR155,BS155,$N$19)</f>
        <v>5.8444909804249452</v>
      </c>
      <c r="BU155" s="576">
        <f>IF($I$21=0,IF(E$13=$S$10,BR155+$N$18,BR155),IF(E$13=$S$10,BR155+$N$18+#REF!,BR155+$I$21))</f>
        <v>23.297297297297298</v>
      </c>
      <c r="BV155" s="736">
        <f t="shared" si="121"/>
        <v>0.30875308186764516</v>
      </c>
      <c r="BW155" s="726">
        <f t="shared" si="78"/>
        <v>5.8444909804249452</v>
      </c>
      <c r="BX155" s="475">
        <f t="shared" si="95"/>
        <v>0</v>
      </c>
      <c r="BY155" s="475">
        <f t="shared" si="96"/>
        <v>0</v>
      </c>
      <c r="BZ155" s="475">
        <f t="shared" si="79"/>
        <v>0</v>
      </c>
      <c r="CA155" s="475">
        <f t="shared" si="80"/>
        <v>0</v>
      </c>
      <c r="CB155" s="475">
        <f t="shared" si="27"/>
        <v>0</v>
      </c>
      <c r="CC155" s="475">
        <f t="shared" si="28"/>
        <v>0</v>
      </c>
      <c r="CD155" s="475">
        <f t="shared" si="29"/>
        <v>0</v>
      </c>
      <c r="CE155" s="621">
        <f t="shared" si="122"/>
        <v>0</v>
      </c>
      <c r="CF155" s="621">
        <f t="shared" si="123"/>
        <v>0</v>
      </c>
      <c r="CG155" s="621">
        <f t="shared" si="124"/>
        <v>0</v>
      </c>
      <c r="CH155" s="573">
        <f t="shared" si="125"/>
        <v>0</v>
      </c>
      <c r="CI155" s="621">
        <f t="shared" si="34"/>
        <v>0</v>
      </c>
      <c r="CJ155" s="621">
        <f t="shared" si="126"/>
        <v>0</v>
      </c>
      <c r="CK155" s="621">
        <f t="shared" si="127"/>
        <v>0</v>
      </c>
      <c r="CL155" s="737">
        <f t="shared" si="128"/>
        <v>0</v>
      </c>
      <c r="CM155" s="738">
        <f t="shared" si="38"/>
        <v>0</v>
      </c>
      <c r="CN155" s="475">
        <f t="shared" si="39"/>
        <v>0.36962153823042837</v>
      </c>
      <c r="CO155" s="475">
        <f t="shared" si="40"/>
        <v>0.36962153823042843</v>
      </c>
      <c r="CP155" s="475">
        <f t="shared" si="97"/>
        <v>20.351351351351351</v>
      </c>
      <c r="CQ155" s="475">
        <f t="shared" si="41"/>
        <v>20.351351351351351</v>
      </c>
      <c r="CR155" s="475">
        <f t="shared" si="42"/>
        <v>0</v>
      </c>
      <c r="CS155" s="475">
        <f t="shared" si="43"/>
        <v>0</v>
      </c>
      <c r="CT155" s="475">
        <f t="shared" si="129"/>
        <v>1.0357743639921726</v>
      </c>
      <c r="CU155" s="475">
        <f t="shared" si="45"/>
        <v>20.351351351351351</v>
      </c>
      <c r="CV155" s="475">
        <f t="shared" si="46"/>
        <v>20.351351351351351</v>
      </c>
      <c r="CW155" s="475">
        <f t="shared" si="98"/>
        <v>1.0357743639921726</v>
      </c>
      <c r="CX155" s="573">
        <f t="shared" si="99"/>
        <v>0</v>
      </c>
      <c r="CY155" s="475">
        <f t="shared" si="102"/>
        <v>20.351351351351351</v>
      </c>
      <c r="CZ155" s="475">
        <f t="shared" si="100"/>
        <v>20.351351351351351</v>
      </c>
      <c r="DA155" s="475">
        <v>9</v>
      </c>
      <c r="DB155" s="739">
        <f t="shared" si="82"/>
        <v>0</v>
      </c>
      <c r="DC155" s="740">
        <f t="shared" si="130"/>
        <v>0</v>
      </c>
    </row>
    <row r="156" spans="1:107" s="619" customFormat="1" ht="12" customHeight="1">
      <c r="A156" s="732">
        <v>10</v>
      </c>
      <c r="B156" s="917">
        <f>Klimadaten!O40/8760*$K$68</f>
        <v>141.57534246575341</v>
      </c>
      <c r="C156" s="762">
        <f>Klimadaten!Q40</f>
        <v>6.3150566282088416</v>
      </c>
      <c r="D156" s="763">
        <f>Klimadaten!N40</f>
        <v>0.77676100628930811</v>
      </c>
      <c r="E156" s="491">
        <f t="shared" si="103"/>
        <v>0.33227607172367074</v>
      </c>
      <c r="F156" s="438">
        <f t="shared" si="49"/>
        <v>0</v>
      </c>
      <c r="G156" s="733">
        <f t="shared" si="104"/>
        <v>10</v>
      </c>
      <c r="H156" s="527">
        <f t="shared" si="50"/>
        <v>10.324324324324323</v>
      </c>
      <c r="I156" s="733">
        <f t="shared" si="51"/>
        <v>20.681081081081082</v>
      </c>
      <c r="J156" s="473">
        <f t="shared" si="52"/>
        <v>20.324324324324323</v>
      </c>
      <c r="K156" s="491">
        <f t="shared" si="53"/>
        <v>0.77327935222672051</v>
      </c>
      <c r="L156" s="473">
        <f t="shared" si="54"/>
        <v>20.324324324324323</v>
      </c>
      <c r="M156" s="473">
        <f t="shared" si="105"/>
        <v>6.3150566282088416</v>
      </c>
      <c r="N156" s="473">
        <f t="shared" si="106"/>
        <v>36.482745553208545</v>
      </c>
      <c r="O156" s="473">
        <f t="shared" si="107"/>
        <v>36.482745553208545</v>
      </c>
      <c r="P156" s="734">
        <f t="shared" si="108"/>
        <v>0</v>
      </c>
      <c r="Q156" s="473">
        <f t="shared" si="85"/>
        <v>20.324324324324323</v>
      </c>
      <c r="R156" s="475">
        <f t="shared" si="101"/>
        <v>6.3150566282088416</v>
      </c>
      <c r="S156" s="473">
        <f t="shared" si="86"/>
        <v>36.482745553208545</v>
      </c>
      <c r="T156" s="473">
        <f t="shared" si="11"/>
        <v>20.324324324324323</v>
      </c>
      <c r="U156" s="473">
        <f t="shared" si="12"/>
        <v>20.324324324324323</v>
      </c>
      <c r="V156" s="734">
        <f t="shared" si="13"/>
        <v>0</v>
      </c>
      <c r="W156" s="473">
        <f t="shared" si="56"/>
        <v>20.324324324324323</v>
      </c>
      <c r="X156" s="475">
        <f t="shared" si="57"/>
        <v>6.3150566282088416</v>
      </c>
      <c r="Y156" s="735">
        <f t="shared" si="109"/>
        <v>36.482745553208545</v>
      </c>
      <c r="Z156" s="475">
        <f t="shared" si="59"/>
        <v>9</v>
      </c>
      <c r="AA156" s="475">
        <f>IF($E$36=$D$36,MIN(AbsFeuchte(Z156,100%,$N$19),R156),MIN(AbsFeuchte(Z156,100%,$N$19),X156))</f>
        <v>6.3150566282088416</v>
      </c>
      <c r="AB156" s="735">
        <f t="shared" si="110"/>
        <v>24.957459709083452</v>
      </c>
      <c r="AC156" s="475">
        <f t="shared" si="61"/>
        <v>9</v>
      </c>
      <c r="AD156" s="475">
        <v>34</v>
      </c>
      <c r="AE156" s="735">
        <f t="shared" si="111"/>
        <v>94.67756</v>
      </c>
      <c r="AF156" s="735">
        <f t="shared" si="63"/>
        <v>9</v>
      </c>
      <c r="AG156" s="735">
        <f t="shared" si="87"/>
        <v>9.9999999999999992E+22</v>
      </c>
      <c r="AH156" s="475">
        <f t="shared" si="88"/>
        <v>20.324324324324323</v>
      </c>
      <c r="AI156" s="475">
        <f t="shared" si="64"/>
        <v>6.3150566282088443</v>
      </c>
      <c r="AJ156" s="735">
        <f t="shared" si="112"/>
        <v>36.482745553208545</v>
      </c>
      <c r="AK156" s="475">
        <f t="shared" si="66"/>
        <v>20.324324324324323</v>
      </c>
      <c r="AL156" s="475">
        <f t="shared" si="67"/>
        <v>6.3150566282088416</v>
      </c>
      <c r="AM156" s="735">
        <f t="shared" si="113"/>
        <v>36.482745553208545</v>
      </c>
      <c r="AN156" s="475">
        <f t="shared" si="89"/>
        <v>20.32432432432433</v>
      </c>
      <c r="AO156" s="475">
        <f t="shared" si="69"/>
        <v>6.3150566282088416</v>
      </c>
      <c r="AP156" s="735">
        <f t="shared" si="90"/>
        <v>36.482745553208545</v>
      </c>
      <c r="AQ156" s="475" t="e">
        <f t="shared" ca="1" si="114"/>
        <v>#NAME?</v>
      </c>
      <c r="AR156" s="475">
        <f t="shared" si="91"/>
        <v>6.3150566282088443</v>
      </c>
      <c r="AS156" s="735" t="e">
        <f t="shared" ca="1" si="115"/>
        <v>#VALUE!</v>
      </c>
      <c r="AT156" s="475">
        <f t="shared" si="92"/>
        <v>20.324324324324323</v>
      </c>
      <c r="AU156" s="475">
        <f t="shared" si="16"/>
        <v>6.3150566282088416</v>
      </c>
      <c r="AV156" s="735">
        <f t="shared" si="116"/>
        <v>36.482745553208545</v>
      </c>
      <c r="AW156" s="529">
        <f t="shared" si="70"/>
        <v>1</v>
      </c>
      <c r="AX156" s="735">
        <f t="shared" si="71"/>
        <v>1</v>
      </c>
      <c r="AY156" s="735">
        <f t="shared" si="18"/>
        <v>1</v>
      </c>
      <c r="AZ156" s="735">
        <f t="shared" si="72"/>
        <v>1</v>
      </c>
      <c r="BA156" s="735">
        <f t="shared" si="73"/>
        <v>1</v>
      </c>
      <c r="BB156" s="735">
        <f>IF($E$36=$D$36,IF(AW156=1,Fall1Tzul(AX156,AY156,BJ156,Q156),0),IF(AW156=1,Fall1Tzul(AX156,AY156,BJ156,W156),0))</f>
        <v>20.324324324324323</v>
      </c>
      <c r="BC156" s="735">
        <f>IF($E$36=$D$36,IF(AW156=1,Fall1xzul(AX156,AY156,BL156,R156),0),IF(AW156=1,Fall1xzul(AX156,AY156,BL156,X156),0))</f>
        <v>6.3150566282088443</v>
      </c>
      <c r="BD156" s="735">
        <f>IF($E$36=$D$36,IF(AW156=2,Fall2Tzul(AX156, AZ156, BJ156,Q156, Z156),0),IF(AW156=2,Fall2Tzul(AX156, AZ156, BJ156,W156, Z156),0))</f>
        <v>0</v>
      </c>
      <c r="BE156" s="735">
        <f>IF($E$36=$D$36,IF(AW156=2,Fall2xzul(AX156,AZ156,BL156,R156,AA156),0),IF(AW156=2,Fall2xzul(AX156,AZ156,BL156,X156,AA156),0))</f>
        <v>0</v>
      </c>
      <c r="BF156" s="735">
        <f t="shared" si="19"/>
        <v>0</v>
      </c>
      <c r="BG156" s="735">
        <f t="shared" si="20"/>
        <v>0</v>
      </c>
      <c r="BH156" s="735">
        <f t="shared" si="21"/>
        <v>0</v>
      </c>
      <c r="BI156" s="735">
        <f t="shared" si="22"/>
        <v>0</v>
      </c>
      <c r="BJ156" s="473">
        <f t="shared" si="93"/>
        <v>20.324324324324323</v>
      </c>
      <c r="BK156" s="491">
        <f t="shared" si="117"/>
        <v>0.39974921994145857</v>
      </c>
      <c r="BL156" s="475">
        <f>AbsFeuchte(BJ156,BK156,$N$19)</f>
        <v>6.3150566282088443</v>
      </c>
      <c r="BM156" s="735">
        <f t="shared" si="118"/>
        <v>36.482745553208545</v>
      </c>
      <c r="BN156" s="473">
        <f t="shared" si="94"/>
        <v>20.324324324324323</v>
      </c>
      <c r="BO156" s="491">
        <f t="shared" si="119"/>
        <v>0.39974921994145862</v>
      </c>
      <c r="BP156" s="475">
        <f t="shared" si="74"/>
        <v>6.3150566282088443</v>
      </c>
      <c r="BQ156" s="735">
        <f t="shared" si="120"/>
        <v>36.482745553208545</v>
      </c>
      <c r="BR156" s="473">
        <f t="shared" si="75"/>
        <v>23.351351351351351</v>
      </c>
      <c r="BS156" s="491">
        <f t="shared" si="76"/>
        <v>0.33227607172367074</v>
      </c>
      <c r="BT156" s="475">
        <f>AbsFeuchte(BR156,BS156,$N$19)</f>
        <v>6.3150566282088434</v>
      </c>
      <c r="BU156" s="576">
        <f>IF($I$21=0,IF(E$13=$S$10,BR156+$N$18,BR156),IF(E$13=$S$10,BR156+$N$18+#REF!,BR156+$I$21))</f>
        <v>23.351351351351351</v>
      </c>
      <c r="BV156" s="736">
        <f t="shared" si="121"/>
        <v>0.3322760717236708</v>
      </c>
      <c r="BW156" s="726">
        <f t="shared" si="78"/>
        <v>6.3150566282088434</v>
      </c>
      <c r="BX156" s="475">
        <f t="shared" si="95"/>
        <v>0</v>
      </c>
      <c r="BY156" s="475">
        <f t="shared" si="96"/>
        <v>0</v>
      </c>
      <c r="BZ156" s="475">
        <f t="shared" si="79"/>
        <v>0</v>
      </c>
      <c r="CA156" s="475">
        <f t="shared" si="80"/>
        <v>0</v>
      </c>
      <c r="CB156" s="475">
        <f t="shared" si="27"/>
        <v>0</v>
      </c>
      <c r="CC156" s="475">
        <f t="shared" si="28"/>
        <v>0</v>
      </c>
      <c r="CD156" s="475">
        <f t="shared" si="29"/>
        <v>0</v>
      </c>
      <c r="CE156" s="621">
        <f t="shared" si="122"/>
        <v>0</v>
      </c>
      <c r="CF156" s="621">
        <f t="shared" si="123"/>
        <v>0</v>
      </c>
      <c r="CG156" s="621">
        <f t="shared" si="124"/>
        <v>0</v>
      </c>
      <c r="CH156" s="573">
        <f t="shared" si="125"/>
        <v>1.6568469982850628E-12</v>
      </c>
      <c r="CI156" s="621">
        <f t="shared" si="34"/>
        <v>1.2118455086623329E-15</v>
      </c>
      <c r="CJ156" s="621">
        <f t="shared" si="126"/>
        <v>0</v>
      </c>
      <c r="CK156" s="621">
        <f t="shared" si="127"/>
        <v>0</v>
      </c>
      <c r="CL156" s="737">
        <f t="shared" si="128"/>
        <v>0</v>
      </c>
      <c r="CM156" s="738">
        <f t="shared" si="38"/>
        <v>0</v>
      </c>
      <c r="CN156" s="475">
        <f t="shared" si="39"/>
        <v>0.39974921994145857</v>
      </c>
      <c r="CO156" s="475">
        <f t="shared" si="40"/>
        <v>0.39974921994145862</v>
      </c>
      <c r="CP156" s="475">
        <f t="shared" si="97"/>
        <v>20.324324324324323</v>
      </c>
      <c r="CQ156" s="475">
        <f t="shared" si="41"/>
        <v>20.324324324324323</v>
      </c>
      <c r="CR156" s="475">
        <f t="shared" si="42"/>
        <v>0</v>
      </c>
      <c r="CS156" s="475">
        <f t="shared" si="43"/>
        <v>0</v>
      </c>
      <c r="CT156" s="475">
        <f t="shared" si="129"/>
        <v>0.97161135029354218</v>
      </c>
      <c r="CU156" s="475">
        <f t="shared" si="45"/>
        <v>20.324324324324323</v>
      </c>
      <c r="CV156" s="475">
        <f t="shared" si="46"/>
        <v>20.324324324324323</v>
      </c>
      <c r="CW156" s="475">
        <f t="shared" si="98"/>
        <v>0.97161135029354218</v>
      </c>
      <c r="CX156" s="573">
        <f t="shared" si="99"/>
        <v>0</v>
      </c>
      <c r="CY156" s="475">
        <f t="shared" si="102"/>
        <v>20.324324324324323</v>
      </c>
      <c r="CZ156" s="475">
        <f t="shared" si="100"/>
        <v>20.324324324324323</v>
      </c>
      <c r="DA156" s="475">
        <v>10</v>
      </c>
      <c r="DB156" s="739">
        <f t="shared" si="82"/>
        <v>0</v>
      </c>
      <c r="DC156" s="740">
        <f t="shared" si="130"/>
        <v>0</v>
      </c>
    </row>
    <row r="157" spans="1:107" s="619" customFormat="1" ht="12" customHeight="1">
      <c r="A157" s="732">
        <v>11</v>
      </c>
      <c r="B157" s="917">
        <f>Klimadaten!O41/8760*$K$68</f>
        <v>163.83561643835617</v>
      </c>
      <c r="C157" s="762">
        <f>Klimadaten!Q41</f>
        <v>6.7467443274314212</v>
      </c>
      <c r="D157" s="763">
        <f>Klimadaten!N41</f>
        <v>0.77576086956521739</v>
      </c>
      <c r="E157" s="491">
        <f t="shared" si="103"/>
        <v>0.35359080608865728</v>
      </c>
      <c r="F157" s="438">
        <f t="shared" si="49"/>
        <v>0</v>
      </c>
      <c r="G157" s="733">
        <f t="shared" si="104"/>
        <v>11</v>
      </c>
      <c r="H157" s="527">
        <f t="shared" si="50"/>
        <v>9.2972972972972983</v>
      </c>
      <c r="I157" s="733">
        <f t="shared" si="51"/>
        <v>20.924324324324324</v>
      </c>
      <c r="J157" s="473">
        <f t="shared" si="52"/>
        <v>20.297297297297298</v>
      </c>
      <c r="K157" s="491">
        <f t="shared" si="53"/>
        <v>0.74945533769063177</v>
      </c>
      <c r="L157" s="473">
        <f t="shared" si="54"/>
        <v>20.297297297297298</v>
      </c>
      <c r="M157" s="473">
        <f t="shared" si="105"/>
        <v>6.7467443274314212</v>
      </c>
      <c r="N157" s="473">
        <f t="shared" si="106"/>
        <v>37.551446346832606</v>
      </c>
      <c r="O157" s="473">
        <f t="shared" si="107"/>
        <v>37.551446346832606</v>
      </c>
      <c r="P157" s="734">
        <f t="shared" si="108"/>
        <v>0</v>
      </c>
      <c r="Q157" s="473">
        <f t="shared" si="85"/>
        <v>20.297297297297298</v>
      </c>
      <c r="R157" s="475">
        <f t="shared" si="101"/>
        <v>6.7467443274314212</v>
      </c>
      <c r="S157" s="473">
        <f t="shared" si="86"/>
        <v>37.551446346832606</v>
      </c>
      <c r="T157" s="473">
        <f t="shared" si="11"/>
        <v>20.297297297297298</v>
      </c>
      <c r="U157" s="473">
        <f t="shared" si="12"/>
        <v>20.297297297297298</v>
      </c>
      <c r="V157" s="734">
        <f t="shared" si="13"/>
        <v>0</v>
      </c>
      <c r="W157" s="473">
        <f t="shared" si="56"/>
        <v>20.297297297297298</v>
      </c>
      <c r="X157" s="475">
        <f t="shared" si="57"/>
        <v>6.7467443274314212</v>
      </c>
      <c r="Y157" s="735">
        <f t="shared" si="109"/>
        <v>37.551446346832606</v>
      </c>
      <c r="Z157" s="475">
        <f t="shared" si="59"/>
        <v>9</v>
      </c>
      <c r="AA157" s="475">
        <f>IF($E$36=$D$36,MIN(AbsFeuchte(Z157,100%,$N$19),R157),MIN(AbsFeuchte(Z157,100%,$N$19),X157))</f>
        <v>6.7467443274314212</v>
      </c>
      <c r="AB157" s="735">
        <f t="shared" si="110"/>
        <v>26.04459610954364</v>
      </c>
      <c r="AC157" s="475">
        <f t="shared" si="61"/>
        <v>9</v>
      </c>
      <c r="AD157" s="475">
        <v>35</v>
      </c>
      <c r="AE157" s="735">
        <f t="shared" si="111"/>
        <v>97.195899999999995</v>
      </c>
      <c r="AF157" s="735">
        <f t="shared" si="63"/>
        <v>9</v>
      </c>
      <c r="AG157" s="735">
        <f t="shared" si="87"/>
        <v>9.9999999999999992E+22</v>
      </c>
      <c r="AH157" s="475">
        <f t="shared" si="88"/>
        <v>20.297297297297298</v>
      </c>
      <c r="AI157" s="475">
        <f t="shared" si="64"/>
        <v>6.7467443274314194</v>
      </c>
      <c r="AJ157" s="735">
        <f t="shared" si="112"/>
        <v>37.551446346832599</v>
      </c>
      <c r="AK157" s="475">
        <f t="shared" si="66"/>
        <v>20.297297297297298</v>
      </c>
      <c r="AL157" s="475">
        <f t="shared" si="67"/>
        <v>6.7467443274314212</v>
      </c>
      <c r="AM157" s="735">
        <f t="shared" si="113"/>
        <v>37.551446346832606</v>
      </c>
      <c r="AN157" s="475">
        <f t="shared" si="89"/>
        <v>20.297297297297291</v>
      </c>
      <c r="AO157" s="475">
        <f t="shared" si="69"/>
        <v>6.7467443274314212</v>
      </c>
      <c r="AP157" s="735">
        <f t="shared" si="90"/>
        <v>37.551446346832599</v>
      </c>
      <c r="AQ157" s="475" t="e">
        <f t="shared" ca="1" si="114"/>
        <v>#NAME?</v>
      </c>
      <c r="AR157" s="475">
        <f t="shared" si="91"/>
        <v>6.7467443274314194</v>
      </c>
      <c r="AS157" s="735" t="e">
        <f t="shared" ca="1" si="115"/>
        <v>#VALUE!</v>
      </c>
      <c r="AT157" s="475">
        <f t="shared" si="92"/>
        <v>20.297297297297298</v>
      </c>
      <c r="AU157" s="475">
        <f t="shared" si="16"/>
        <v>6.7467443274314212</v>
      </c>
      <c r="AV157" s="735">
        <f t="shared" si="116"/>
        <v>37.551446346832606</v>
      </c>
      <c r="AW157" s="529">
        <f t="shared" si="70"/>
        <v>1</v>
      </c>
      <c r="AX157" s="735">
        <f t="shared" si="71"/>
        <v>1</v>
      </c>
      <c r="AY157" s="735">
        <f t="shared" si="18"/>
        <v>1</v>
      </c>
      <c r="AZ157" s="735">
        <f t="shared" si="72"/>
        <v>1</v>
      </c>
      <c r="BA157" s="735">
        <f t="shared" si="73"/>
        <v>1</v>
      </c>
      <c r="BB157" s="735">
        <f>IF($E$36=$D$36,IF(AW157=1,Fall1Tzul(AX157,AY157,BJ157,Q157),0),IF(AW157=1,Fall1Tzul(AX157,AY157,BJ157,W157),0))</f>
        <v>20.297297297297298</v>
      </c>
      <c r="BC157" s="735">
        <f>IF($E$36=$D$36,IF(AW157=1,Fall1xzul(AX157,AY157,BL157,R157),0),IF(AW157=1,Fall1xzul(AX157,AY157,BL157,X157),0))</f>
        <v>6.7467443274314194</v>
      </c>
      <c r="BD157" s="735">
        <f>IF($E$36=$D$36,IF(AW157=2,Fall2Tzul(AX157, AZ157, BJ157,Q157, Z157),0),IF(AW157=2,Fall2Tzul(AX157, AZ157, BJ157,W157, Z157),0))</f>
        <v>0</v>
      </c>
      <c r="BE157" s="735">
        <f>IF($E$36=$D$36,IF(AW157=2,Fall2xzul(AX157,AZ157,BL157,R157,AA157),0),IF(AW157=2,Fall2xzul(AX157,AZ157,BL157,X157,AA157),0))</f>
        <v>0</v>
      </c>
      <c r="BF157" s="735">
        <f t="shared" si="19"/>
        <v>0</v>
      </c>
      <c r="BG157" s="735">
        <f t="shared" si="20"/>
        <v>0</v>
      </c>
      <c r="BH157" s="735">
        <f t="shared" si="21"/>
        <v>0</v>
      </c>
      <c r="BI157" s="735">
        <f t="shared" si="22"/>
        <v>0</v>
      </c>
      <c r="BJ157" s="473">
        <f t="shared" si="93"/>
        <v>20.297297297297298</v>
      </c>
      <c r="BK157" s="491">
        <f t="shared" si="117"/>
        <v>0.42749562538691677</v>
      </c>
      <c r="BL157" s="475">
        <f>AbsFeuchte(BJ157,BK157,$N$19)</f>
        <v>6.7467443274314194</v>
      </c>
      <c r="BM157" s="735">
        <f t="shared" si="118"/>
        <v>37.551446346832599</v>
      </c>
      <c r="BN157" s="473">
        <f t="shared" si="94"/>
        <v>20.297297297297298</v>
      </c>
      <c r="BO157" s="491">
        <f t="shared" si="119"/>
        <v>0.42749562538691671</v>
      </c>
      <c r="BP157" s="475">
        <f t="shared" si="74"/>
        <v>6.7467443274314194</v>
      </c>
      <c r="BQ157" s="735">
        <f t="shared" si="120"/>
        <v>37.551446346832599</v>
      </c>
      <c r="BR157" s="473">
        <f t="shared" si="75"/>
        <v>23.405405405405407</v>
      </c>
      <c r="BS157" s="491">
        <f t="shared" si="76"/>
        <v>0.35359080608865728</v>
      </c>
      <c r="BT157" s="475">
        <f>AbsFeuchte(BR157,BS157,$N$19)</f>
        <v>6.7467443274314203</v>
      </c>
      <c r="BU157" s="576">
        <f>IF($I$21=0,IF(E$13=$S$10,BR157+$N$18,BR157),IF(E$13=$S$10,BR157+$N$18+#REF!,BR157+$I$21))</f>
        <v>23.405405405405407</v>
      </c>
      <c r="BV157" s="736">
        <f t="shared" si="121"/>
        <v>0.35359080608865723</v>
      </c>
      <c r="BW157" s="726">
        <f t="shared" si="78"/>
        <v>6.7467443274314203</v>
      </c>
      <c r="BX157" s="475">
        <f t="shared" si="95"/>
        <v>0</v>
      </c>
      <c r="BY157" s="475">
        <f t="shared" si="96"/>
        <v>-7.1054273576010019E-15</v>
      </c>
      <c r="BZ157" s="475">
        <f t="shared" si="79"/>
        <v>0</v>
      </c>
      <c r="CA157" s="475">
        <f t="shared" si="80"/>
        <v>0</v>
      </c>
      <c r="CB157" s="475">
        <f t="shared" si="27"/>
        <v>0</v>
      </c>
      <c r="CC157" s="475">
        <f t="shared" si="28"/>
        <v>0</v>
      </c>
      <c r="CD157" s="475">
        <f t="shared" si="29"/>
        <v>-7.1054273576010019E-15</v>
      </c>
      <c r="CE157" s="621">
        <f t="shared" si="122"/>
        <v>0</v>
      </c>
      <c r="CF157" s="621">
        <f t="shared" si="123"/>
        <v>0</v>
      </c>
      <c r="CG157" s="621">
        <f t="shared" si="124"/>
        <v>-1.4202648389678623E-15</v>
      </c>
      <c r="CH157" s="573">
        <f t="shared" si="125"/>
        <v>0</v>
      </c>
      <c r="CI157" s="621">
        <f t="shared" si="34"/>
        <v>0</v>
      </c>
      <c r="CJ157" s="621">
        <f t="shared" si="126"/>
        <v>0</v>
      </c>
      <c r="CK157" s="621">
        <f t="shared" si="127"/>
        <v>0</v>
      </c>
      <c r="CL157" s="737">
        <f t="shared" si="128"/>
        <v>1.2782383550710761E-12</v>
      </c>
      <c r="CM157" s="738">
        <f t="shared" si="38"/>
        <v>-1.4202648389678623E-15</v>
      </c>
      <c r="CN157" s="475">
        <f t="shared" si="39"/>
        <v>0.42749562538691677</v>
      </c>
      <c r="CO157" s="475">
        <f t="shared" si="40"/>
        <v>0.42749562538691671</v>
      </c>
      <c r="CP157" s="475">
        <f t="shared" si="97"/>
        <v>20.297297297297298</v>
      </c>
      <c r="CQ157" s="475">
        <f t="shared" si="41"/>
        <v>20.297297297297298</v>
      </c>
      <c r="CR157" s="475">
        <f t="shared" si="42"/>
        <v>-7.1054273576010019E-15</v>
      </c>
      <c r="CS157" s="475">
        <f t="shared" si="43"/>
        <v>0</v>
      </c>
      <c r="CT157" s="475">
        <f t="shared" si="129"/>
        <v>1.1243804305283758</v>
      </c>
      <c r="CU157" s="475">
        <f t="shared" si="45"/>
        <v>20.297297297297298</v>
      </c>
      <c r="CV157" s="475">
        <f t="shared" si="46"/>
        <v>20.297297297297298</v>
      </c>
      <c r="CW157" s="475">
        <f t="shared" si="98"/>
        <v>1.1243804305283744</v>
      </c>
      <c r="CX157" s="573">
        <f t="shared" si="99"/>
        <v>-1.2782383550710761E-12</v>
      </c>
      <c r="CY157" s="475">
        <f t="shared" si="102"/>
        <v>20.297297297297298</v>
      </c>
      <c r="CZ157" s="475">
        <f t="shared" si="100"/>
        <v>20.297297297297298</v>
      </c>
      <c r="DA157" s="475">
        <v>11</v>
      </c>
      <c r="DB157" s="739">
        <f t="shared" si="82"/>
        <v>0</v>
      </c>
      <c r="DC157" s="740">
        <f t="shared" si="130"/>
        <v>0</v>
      </c>
    </row>
    <row r="158" spans="1:107" s="619" customFormat="1" ht="12" customHeight="1">
      <c r="A158" s="732">
        <v>12</v>
      </c>
      <c r="B158" s="917">
        <f>Klimadaten!O42/8760*$K$68</f>
        <v>142.91095890410961</v>
      </c>
      <c r="C158" s="762">
        <f>Klimadaten!Q42</f>
        <v>6.8105952110124637</v>
      </c>
      <c r="D158" s="763">
        <f>Klimadaten!N42</f>
        <v>0.73286604361370722</v>
      </c>
      <c r="E158" s="491">
        <f t="shared" si="103"/>
        <v>0.35573896807581973</v>
      </c>
      <c r="F158" s="438">
        <f t="shared" si="49"/>
        <v>0</v>
      </c>
      <c r="G158" s="733">
        <f t="shared" si="104"/>
        <v>12</v>
      </c>
      <c r="H158" s="527">
        <f t="shared" si="50"/>
        <v>8.2702702702702702</v>
      </c>
      <c r="I158" s="733">
        <f t="shared" si="51"/>
        <v>21.167567567567566</v>
      </c>
      <c r="J158" s="473">
        <f t="shared" si="52"/>
        <v>20.27027027027027</v>
      </c>
      <c r="K158" s="491">
        <f t="shared" si="53"/>
        <v>0.72169811320754718</v>
      </c>
      <c r="L158" s="473">
        <f t="shared" si="54"/>
        <v>20.27027027027027</v>
      </c>
      <c r="M158" s="473">
        <f t="shared" si="105"/>
        <v>6.8105952110124637</v>
      </c>
      <c r="N158" s="473">
        <f t="shared" si="106"/>
        <v>37.686054718229926</v>
      </c>
      <c r="O158" s="473">
        <f t="shared" si="107"/>
        <v>37.686054718229926</v>
      </c>
      <c r="P158" s="734">
        <f t="shared" si="108"/>
        <v>0</v>
      </c>
      <c r="Q158" s="473">
        <f t="shared" si="85"/>
        <v>20.27027027027027</v>
      </c>
      <c r="R158" s="475">
        <f t="shared" si="101"/>
        <v>6.8105952110124637</v>
      </c>
      <c r="S158" s="473">
        <f t="shared" si="86"/>
        <v>37.686054718229926</v>
      </c>
      <c r="T158" s="473">
        <f t="shared" si="11"/>
        <v>20.27027027027027</v>
      </c>
      <c r="U158" s="473">
        <f t="shared" si="12"/>
        <v>20.27027027027027</v>
      </c>
      <c r="V158" s="734">
        <f t="shared" si="13"/>
        <v>0</v>
      </c>
      <c r="W158" s="473">
        <f t="shared" si="56"/>
        <v>20.27027027027027</v>
      </c>
      <c r="X158" s="475">
        <f t="shared" si="57"/>
        <v>6.8105952110124637</v>
      </c>
      <c r="Y158" s="735">
        <f t="shared" si="109"/>
        <v>37.686054718229926</v>
      </c>
      <c r="Z158" s="475">
        <f t="shared" si="59"/>
        <v>9</v>
      </c>
      <c r="AA158" s="475">
        <f>IF($E$36=$D$36,MIN(AbsFeuchte(Z158,100%,$N$19),R158),MIN(AbsFeuchte(Z158,100%,$N$19),X158))</f>
        <v>6.8105952110124637</v>
      </c>
      <c r="AB158" s="735">
        <f t="shared" si="110"/>
        <v>26.205394343701123</v>
      </c>
      <c r="AC158" s="475">
        <f t="shared" si="61"/>
        <v>9</v>
      </c>
      <c r="AD158" s="475">
        <v>36</v>
      </c>
      <c r="AE158" s="735">
        <f t="shared" si="111"/>
        <v>99.71423999999999</v>
      </c>
      <c r="AF158" s="735">
        <f t="shared" si="63"/>
        <v>9</v>
      </c>
      <c r="AG158" s="735">
        <f t="shared" si="87"/>
        <v>9.9999999999999992E+22</v>
      </c>
      <c r="AH158" s="475">
        <f t="shared" si="88"/>
        <v>20.27027027027027</v>
      </c>
      <c r="AI158" s="475">
        <f t="shared" si="64"/>
        <v>6.8105952110124619</v>
      </c>
      <c r="AJ158" s="735">
        <f t="shared" si="112"/>
        <v>37.686054718229919</v>
      </c>
      <c r="AK158" s="475">
        <f t="shared" si="66"/>
        <v>20.27027027027027</v>
      </c>
      <c r="AL158" s="475">
        <f t="shared" si="67"/>
        <v>6.8105952110124637</v>
      </c>
      <c r="AM158" s="735">
        <f t="shared" si="113"/>
        <v>37.686054718229926</v>
      </c>
      <c r="AN158" s="475">
        <f t="shared" si="89"/>
        <v>20.270270270270263</v>
      </c>
      <c r="AO158" s="475">
        <f t="shared" si="69"/>
        <v>6.8105952110124637</v>
      </c>
      <c r="AP158" s="735">
        <f t="shared" si="90"/>
        <v>37.686054718229919</v>
      </c>
      <c r="AQ158" s="475" t="e">
        <f t="shared" ca="1" si="114"/>
        <v>#NAME?</v>
      </c>
      <c r="AR158" s="475">
        <f t="shared" si="91"/>
        <v>6.8105952110124619</v>
      </c>
      <c r="AS158" s="735" t="e">
        <f t="shared" ca="1" si="115"/>
        <v>#VALUE!</v>
      </c>
      <c r="AT158" s="475">
        <f t="shared" si="92"/>
        <v>20.27027027027027</v>
      </c>
      <c r="AU158" s="475">
        <f t="shared" si="16"/>
        <v>6.8105952110124637</v>
      </c>
      <c r="AV158" s="735">
        <f t="shared" si="116"/>
        <v>37.686054718229926</v>
      </c>
      <c r="AW158" s="529">
        <f t="shared" si="70"/>
        <v>1</v>
      </c>
      <c r="AX158" s="735">
        <f t="shared" si="71"/>
        <v>1</v>
      </c>
      <c r="AY158" s="735">
        <f t="shared" si="18"/>
        <v>1</v>
      </c>
      <c r="AZ158" s="735">
        <f t="shared" si="72"/>
        <v>1</v>
      </c>
      <c r="BA158" s="735">
        <f t="shared" si="73"/>
        <v>1</v>
      </c>
      <c r="BB158" s="735">
        <f>IF($E$36=$D$36,IF(AW158=1,Fall1Tzul(AX158,AY158,BJ158,Q158),0),IF(AW158=1,Fall1Tzul(AX158,AY158,BJ158,W158),0))</f>
        <v>20.27027027027027</v>
      </c>
      <c r="BC158" s="735">
        <f>IF($E$36=$D$36,IF(AW158=1,Fall1xzul(AX158,AY158,BL158,R158),0),IF(AW158=1,Fall1xzul(AX158,AY158,BL158,X158),0))</f>
        <v>6.8105952110124619</v>
      </c>
      <c r="BD158" s="735">
        <f>IF($E$36=$D$36,IF(AW158=2,Fall2Tzul(AX158, AZ158, BJ158,Q158, Z158),0),IF(AW158=2,Fall2Tzul(AX158, AZ158, BJ158,W158, Z158),0))</f>
        <v>0</v>
      </c>
      <c r="BE158" s="735">
        <f>IF($E$36=$D$36,IF(AW158=2,Fall2xzul(AX158,AZ158,BL158,R158,AA158),0),IF(AW158=2,Fall2xzul(AX158,AZ158,BL158,X158,AA158),0))</f>
        <v>0</v>
      </c>
      <c r="BF158" s="735">
        <f t="shared" si="19"/>
        <v>0</v>
      </c>
      <c r="BG158" s="735">
        <f t="shared" si="20"/>
        <v>0</v>
      </c>
      <c r="BH158" s="735">
        <f t="shared" si="21"/>
        <v>0</v>
      </c>
      <c r="BI158" s="735">
        <f t="shared" si="22"/>
        <v>0</v>
      </c>
      <c r="BJ158" s="473">
        <f t="shared" si="93"/>
        <v>20.27027027027027</v>
      </c>
      <c r="BK158" s="491">
        <f t="shared" si="117"/>
        <v>0.43221901557763676</v>
      </c>
      <c r="BL158" s="475">
        <f>AbsFeuchte(BJ158,BK158,$N$19)</f>
        <v>6.8105952110124619</v>
      </c>
      <c r="BM158" s="735">
        <f t="shared" si="118"/>
        <v>37.686054718229919</v>
      </c>
      <c r="BN158" s="473">
        <f t="shared" si="94"/>
        <v>20.27027027027027</v>
      </c>
      <c r="BO158" s="491">
        <f t="shared" si="119"/>
        <v>0.4322190155776367</v>
      </c>
      <c r="BP158" s="475">
        <f t="shared" si="74"/>
        <v>6.8105952110124619</v>
      </c>
      <c r="BQ158" s="735">
        <f t="shared" si="120"/>
        <v>37.686054718229919</v>
      </c>
      <c r="BR158" s="473">
        <f t="shared" si="75"/>
        <v>23.45945945945946</v>
      </c>
      <c r="BS158" s="491">
        <f t="shared" si="76"/>
        <v>0.35573896807581973</v>
      </c>
      <c r="BT158" s="475">
        <f>AbsFeuchte(BR158,BS158,$N$19)</f>
        <v>6.8105952110124628</v>
      </c>
      <c r="BU158" s="576">
        <f>IF($I$21=0,IF(E$13=$S$10,BR158+$N$18,BR158),IF(E$13=$S$10,BR158+$N$18+#REF!,BR158+$I$21))</f>
        <v>23.45945945945946</v>
      </c>
      <c r="BV158" s="736">
        <f t="shared" si="121"/>
        <v>0.35573896807581973</v>
      </c>
      <c r="BW158" s="726">
        <f t="shared" si="78"/>
        <v>6.8105952110124628</v>
      </c>
      <c r="BX158" s="475">
        <f t="shared" si="95"/>
        <v>0</v>
      </c>
      <c r="BY158" s="475">
        <f t="shared" si="96"/>
        <v>-7.1054273576010019E-15</v>
      </c>
      <c r="BZ158" s="475">
        <f t="shared" si="79"/>
        <v>0</v>
      </c>
      <c r="CA158" s="475">
        <f t="shared" si="80"/>
        <v>0</v>
      </c>
      <c r="CB158" s="475">
        <f t="shared" si="27"/>
        <v>0</v>
      </c>
      <c r="CC158" s="475">
        <f t="shared" si="28"/>
        <v>0</v>
      </c>
      <c r="CD158" s="475">
        <f t="shared" si="29"/>
        <v>-7.1054273576010019E-15</v>
      </c>
      <c r="CE158" s="621">
        <f t="shared" si="122"/>
        <v>0</v>
      </c>
      <c r="CF158" s="621">
        <f t="shared" si="123"/>
        <v>0</v>
      </c>
      <c r="CG158" s="621">
        <f t="shared" si="124"/>
        <v>-1.2388723187735973E-15</v>
      </c>
      <c r="CH158" s="573">
        <f t="shared" si="125"/>
        <v>0</v>
      </c>
      <c r="CI158" s="621">
        <f t="shared" si="34"/>
        <v>0</v>
      </c>
      <c r="CJ158" s="621">
        <f t="shared" si="126"/>
        <v>0</v>
      </c>
      <c r="CK158" s="621">
        <f t="shared" si="127"/>
        <v>0</v>
      </c>
      <c r="CL158" s="737">
        <f t="shared" si="128"/>
        <v>1.1149850868962376E-12</v>
      </c>
      <c r="CM158" s="738">
        <f t="shared" si="38"/>
        <v>-1.2388723187735973E-15</v>
      </c>
      <c r="CN158" s="475">
        <f t="shared" si="39"/>
        <v>0.43221901557763676</v>
      </c>
      <c r="CO158" s="475">
        <f t="shared" si="40"/>
        <v>0.4322190155776367</v>
      </c>
      <c r="CP158" s="475">
        <f t="shared" si="97"/>
        <v>20.27027027027027</v>
      </c>
      <c r="CQ158" s="475">
        <f t="shared" si="41"/>
        <v>20.27027027027027</v>
      </c>
      <c r="CR158" s="475">
        <f t="shared" si="42"/>
        <v>-7.1054273576010019E-15</v>
      </c>
      <c r="CS158" s="475">
        <f t="shared" si="43"/>
        <v>0</v>
      </c>
      <c r="CT158" s="475">
        <f t="shared" si="129"/>
        <v>0.98077749510763235</v>
      </c>
      <c r="CU158" s="475">
        <f t="shared" si="45"/>
        <v>20.27027027027027</v>
      </c>
      <c r="CV158" s="475">
        <f t="shared" si="46"/>
        <v>20.27027027027027</v>
      </c>
      <c r="CW158" s="475">
        <f t="shared" si="98"/>
        <v>0.98077749510763113</v>
      </c>
      <c r="CX158" s="573">
        <f t="shared" si="99"/>
        <v>-1.1149850868962376E-12</v>
      </c>
      <c r="CY158" s="475">
        <f t="shared" si="102"/>
        <v>20.27027027027027</v>
      </c>
      <c r="CZ158" s="475">
        <f t="shared" si="100"/>
        <v>20.27027027027027</v>
      </c>
      <c r="DA158" s="475">
        <v>12</v>
      </c>
      <c r="DB158" s="739">
        <f t="shared" si="82"/>
        <v>0</v>
      </c>
      <c r="DC158" s="740">
        <f t="shared" si="130"/>
        <v>0</v>
      </c>
    </row>
    <row r="159" spans="1:107" s="619" customFormat="1" ht="12" customHeight="1">
      <c r="A159" s="732">
        <v>13</v>
      </c>
      <c r="B159" s="917">
        <f>Klimadaten!O43/8760*$K$68</f>
        <v>155.82191780821918</v>
      </c>
      <c r="C159" s="762">
        <f>Klimadaten!Q43</f>
        <v>7.6453381741699236</v>
      </c>
      <c r="D159" s="763">
        <f>Klimadaten!N43</f>
        <v>0.76937142857142859</v>
      </c>
      <c r="E159" s="491">
        <f t="shared" si="103"/>
        <v>0.39751294809056209</v>
      </c>
      <c r="F159" s="438">
        <f t="shared" si="49"/>
        <v>0</v>
      </c>
      <c r="G159" s="733">
        <f t="shared" si="104"/>
        <v>13</v>
      </c>
      <c r="H159" s="527">
        <f t="shared" si="50"/>
        <v>7.2432432432432421</v>
      </c>
      <c r="I159" s="733">
        <f t="shared" si="51"/>
        <v>21.410810810810808</v>
      </c>
      <c r="J159" s="473">
        <f t="shared" si="52"/>
        <v>20.243243243243242</v>
      </c>
      <c r="K159" s="491">
        <f t="shared" si="53"/>
        <v>0.68894601542416445</v>
      </c>
      <c r="L159" s="473">
        <f t="shared" si="54"/>
        <v>20.243243243243242</v>
      </c>
      <c r="M159" s="473">
        <f t="shared" si="105"/>
        <v>7.6453381741699236</v>
      </c>
      <c r="N159" s="473">
        <f t="shared" si="106"/>
        <v>39.778146258232212</v>
      </c>
      <c r="O159" s="473">
        <f t="shared" si="107"/>
        <v>39.778146258232212</v>
      </c>
      <c r="P159" s="734">
        <f t="shared" si="108"/>
        <v>0</v>
      </c>
      <c r="Q159" s="473">
        <f t="shared" si="85"/>
        <v>20.243243243243242</v>
      </c>
      <c r="R159" s="475">
        <f t="shared" si="101"/>
        <v>7.6453381741699236</v>
      </c>
      <c r="S159" s="473">
        <f t="shared" si="86"/>
        <v>39.778146258232212</v>
      </c>
      <c r="T159" s="473">
        <f t="shared" si="11"/>
        <v>20.243243243243242</v>
      </c>
      <c r="U159" s="473">
        <f t="shared" si="12"/>
        <v>20.243243243243242</v>
      </c>
      <c r="V159" s="734">
        <f t="shared" si="13"/>
        <v>0</v>
      </c>
      <c r="W159" s="473">
        <f t="shared" si="56"/>
        <v>20.243243243243242</v>
      </c>
      <c r="X159" s="475">
        <f t="shared" si="57"/>
        <v>7.6453381741699236</v>
      </c>
      <c r="Y159" s="735">
        <f t="shared" si="109"/>
        <v>39.778146258232212</v>
      </c>
      <c r="Z159" s="475">
        <f t="shared" si="59"/>
        <v>9</v>
      </c>
      <c r="AA159" s="475">
        <f>IF($E$36=$D$36,MIN(AbsFeuchte(Z159,100%,$N$19),R159),MIN(AbsFeuchte(Z159,100%,$N$19),X159))</f>
        <v>7.6169281356214986</v>
      </c>
      <c r="AB159" s="735">
        <f t="shared" si="110"/>
        <v>28.236014801061046</v>
      </c>
      <c r="AC159" s="475">
        <f t="shared" si="61"/>
        <v>9</v>
      </c>
      <c r="AD159" s="475">
        <v>37</v>
      </c>
      <c r="AE159" s="735">
        <f t="shared" si="111"/>
        <v>102.23257999999998</v>
      </c>
      <c r="AF159" s="735">
        <f t="shared" si="63"/>
        <v>9</v>
      </c>
      <c r="AG159" s="735">
        <f t="shared" si="87"/>
        <v>395.74896120183439</v>
      </c>
      <c r="AH159" s="475">
        <f t="shared" si="88"/>
        <v>20.243243243243242</v>
      </c>
      <c r="AI159" s="475">
        <f t="shared" si="64"/>
        <v>7.6453381741699236</v>
      </c>
      <c r="AJ159" s="735">
        <f t="shared" si="112"/>
        <v>39.778146258232212</v>
      </c>
      <c r="AK159" s="475">
        <f t="shared" si="66"/>
        <v>20.243243243243242</v>
      </c>
      <c r="AL159" s="475">
        <f t="shared" si="67"/>
        <v>7.6453381741699236</v>
      </c>
      <c r="AM159" s="735">
        <f t="shared" si="113"/>
        <v>39.778146258232212</v>
      </c>
      <c r="AN159" s="475">
        <f t="shared" si="89"/>
        <v>20.243243243243242</v>
      </c>
      <c r="AO159" s="475">
        <f t="shared" si="69"/>
        <v>7.6453381741699236</v>
      </c>
      <c r="AP159" s="735">
        <f t="shared" si="90"/>
        <v>39.778146258232212</v>
      </c>
      <c r="AQ159" s="475" t="e">
        <f t="shared" ca="1" si="114"/>
        <v>#NAME?</v>
      </c>
      <c r="AR159" s="475">
        <f t="shared" si="91"/>
        <v>7.6453381741699236</v>
      </c>
      <c r="AS159" s="735" t="e">
        <f t="shared" ca="1" si="115"/>
        <v>#VALUE!</v>
      </c>
      <c r="AT159" s="475">
        <f t="shared" si="92"/>
        <v>20.243243243243242</v>
      </c>
      <c r="AU159" s="475">
        <f t="shared" si="16"/>
        <v>7.6453381741699236</v>
      </c>
      <c r="AV159" s="735">
        <f t="shared" si="116"/>
        <v>39.778146258232212</v>
      </c>
      <c r="AW159" s="529">
        <f t="shared" si="70"/>
        <v>1</v>
      </c>
      <c r="AX159" s="735">
        <f t="shared" si="71"/>
        <v>1</v>
      </c>
      <c r="AY159" s="735">
        <f t="shared" si="18"/>
        <v>1</v>
      </c>
      <c r="AZ159" s="735">
        <f t="shared" si="72"/>
        <v>1</v>
      </c>
      <c r="BA159" s="735">
        <f t="shared" si="73"/>
        <v>1</v>
      </c>
      <c r="BB159" s="735">
        <f>IF($E$36=$D$36,IF(AW159=1,Fall1Tzul(AX159,AY159,BJ159,Q159),0),IF(AW159=1,Fall1Tzul(AX159,AY159,BJ159,W159),0))</f>
        <v>20.243243243243242</v>
      </c>
      <c r="BC159" s="735">
        <f>IF($E$36=$D$36,IF(AW159=1,Fall1xzul(AX159,AY159,BL159,R159),0),IF(AW159=1,Fall1xzul(AX159,AY159,BL159,X159),0))</f>
        <v>7.6453381741699236</v>
      </c>
      <c r="BD159" s="735">
        <f>IF($E$36=$D$36,IF(AW159=2,Fall2Tzul(AX159, AZ159, BJ159,Q159, Z159),0),IF(AW159=2,Fall2Tzul(AX159, AZ159, BJ159,W159, Z159),0))</f>
        <v>0</v>
      </c>
      <c r="BE159" s="735">
        <f>IF($E$36=$D$36,IF(AW159=2,Fall2xzul(AX159,AZ159,BL159,R159,AA159),0),IF(AW159=2,Fall2xzul(AX159,AZ159,BL159,X159,AA159),0))</f>
        <v>0</v>
      </c>
      <c r="BF159" s="735">
        <f t="shared" si="19"/>
        <v>0</v>
      </c>
      <c r="BG159" s="735">
        <f t="shared" si="20"/>
        <v>0</v>
      </c>
      <c r="BH159" s="735">
        <f t="shared" si="21"/>
        <v>0</v>
      </c>
      <c r="BI159" s="735">
        <f t="shared" si="22"/>
        <v>0</v>
      </c>
      <c r="BJ159" s="473">
        <f t="shared" si="93"/>
        <v>20.243243243243242</v>
      </c>
      <c r="BK159" s="491">
        <f t="shared" si="117"/>
        <v>0.48536112860037212</v>
      </c>
      <c r="BL159" s="475">
        <f>AbsFeuchte(BJ159,BK159,$N$19)</f>
        <v>7.6453381741699236</v>
      </c>
      <c r="BM159" s="735">
        <f t="shared" si="118"/>
        <v>39.778146258232212</v>
      </c>
      <c r="BN159" s="473">
        <f t="shared" si="94"/>
        <v>20.243243243243242</v>
      </c>
      <c r="BO159" s="491">
        <f t="shared" si="119"/>
        <v>0.48536112860037212</v>
      </c>
      <c r="BP159" s="475">
        <f t="shared" si="74"/>
        <v>7.6453381741699236</v>
      </c>
      <c r="BQ159" s="735">
        <f t="shared" si="120"/>
        <v>39.778146258232212</v>
      </c>
      <c r="BR159" s="473">
        <f t="shared" si="75"/>
        <v>23.513513513513512</v>
      </c>
      <c r="BS159" s="491">
        <f t="shared" si="76"/>
        <v>0.39751294809056209</v>
      </c>
      <c r="BT159" s="475">
        <f>AbsFeuchte(BR159,BS159,$N$19)</f>
        <v>7.6453381741699236</v>
      </c>
      <c r="BU159" s="576">
        <f>IF($I$21=0,IF(E$13=$S$10,BR159+$N$18,BR159),IF(E$13=$S$10,BR159+$N$18+#REF!,BR159+$I$21))</f>
        <v>23.513513513513512</v>
      </c>
      <c r="BV159" s="736">
        <f t="shared" si="121"/>
        <v>0.39751294809056209</v>
      </c>
      <c r="BW159" s="726">
        <f t="shared" si="78"/>
        <v>7.6453381741699236</v>
      </c>
      <c r="BX159" s="475">
        <f t="shared" si="95"/>
        <v>0</v>
      </c>
      <c r="BY159" s="475">
        <f t="shared" si="96"/>
        <v>0</v>
      </c>
      <c r="BZ159" s="475">
        <f t="shared" si="79"/>
        <v>0</v>
      </c>
      <c r="CA159" s="475">
        <f t="shared" si="80"/>
        <v>0</v>
      </c>
      <c r="CB159" s="475">
        <f t="shared" si="27"/>
        <v>0</v>
      </c>
      <c r="CC159" s="475">
        <f t="shared" si="28"/>
        <v>0</v>
      </c>
      <c r="CD159" s="475">
        <f t="shared" si="29"/>
        <v>0</v>
      </c>
      <c r="CE159" s="621">
        <f t="shared" si="122"/>
        <v>0</v>
      </c>
      <c r="CF159" s="621">
        <f t="shared" si="123"/>
        <v>0</v>
      </c>
      <c r="CG159" s="621">
        <f t="shared" si="124"/>
        <v>0</v>
      </c>
      <c r="CH159" s="573">
        <f t="shared" si="125"/>
        <v>0</v>
      </c>
      <c r="CI159" s="621">
        <f t="shared" si="34"/>
        <v>0</v>
      </c>
      <c r="CJ159" s="621">
        <f t="shared" si="126"/>
        <v>0</v>
      </c>
      <c r="CK159" s="621">
        <f t="shared" si="127"/>
        <v>0</v>
      </c>
      <c r="CL159" s="737">
        <f t="shared" si="128"/>
        <v>0</v>
      </c>
      <c r="CM159" s="738">
        <f t="shared" si="38"/>
        <v>0</v>
      </c>
      <c r="CN159" s="475">
        <f t="shared" si="39"/>
        <v>0.48536112860037212</v>
      </c>
      <c r="CO159" s="475">
        <f t="shared" si="40"/>
        <v>0.48536112860037212</v>
      </c>
      <c r="CP159" s="475">
        <f t="shared" si="97"/>
        <v>20.243243243243242</v>
      </c>
      <c r="CQ159" s="475">
        <f t="shared" si="41"/>
        <v>20.243243243243242</v>
      </c>
      <c r="CR159" s="475">
        <f t="shared" si="42"/>
        <v>0</v>
      </c>
      <c r="CS159" s="475">
        <f t="shared" si="43"/>
        <v>0</v>
      </c>
      <c r="CT159" s="475">
        <f t="shared" si="129"/>
        <v>1.0693835616438356</v>
      </c>
      <c r="CU159" s="475">
        <f t="shared" si="45"/>
        <v>20.243243243243242</v>
      </c>
      <c r="CV159" s="475">
        <f t="shared" si="46"/>
        <v>20.243243243243242</v>
      </c>
      <c r="CW159" s="475">
        <f t="shared" si="98"/>
        <v>1.0693835616438356</v>
      </c>
      <c r="CX159" s="573">
        <f t="shared" si="99"/>
        <v>0</v>
      </c>
      <c r="CY159" s="475">
        <f t="shared" si="102"/>
        <v>20.243243243243242</v>
      </c>
      <c r="CZ159" s="475">
        <f t="shared" si="100"/>
        <v>20.243243243243242</v>
      </c>
      <c r="DA159" s="475">
        <v>13</v>
      </c>
      <c r="DB159" s="739">
        <f t="shared" si="82"/>
        <v>0</v>
      </c>
      <c r="DC159" s="740">
        <f t="shared" si="130"/>
        <v>0</v>
      </c>
    </row>
    <row r="160" spans="1:107" s="619" customFormat="1" ht="12" customHeight="1">
      <c r="A160" s="732">
        <v>14</v>
      </c>
      <c r="B160" s="917">
        <f>Klimadaten!O44/8760*$K$68</f>
        <v>168.28767123287673</v>
      </c>
      <c r="C160" s="762">
        <f>Klimadaten!Q44</f>
        <v>7.9609051804027224</v>
      </c>
      <c r="D160" s="763">
        <f>Klimadaten!N44</f>
        <v>0.75021164021164022</v>
      </c>
      <c r="E160" s="491">
        <f t="shared" si="103"/>
        <v>0.41236743231443801</v>
      </c>
      <c r="F160" s="438">
        <f t="shared" si="49"/>
        <v>0</v>
      </c>
      <c r="G160" s="733">
        <f t="shared" si="104"/>
        <v>14</v>
      </c>
      <c r="H160" s="527">
        <f t="shared" si="50"/>
        <v>6.2162162162162176</v>
      </c>
      <c r="I160" s="733">
        <f t="shared" si="51"/>
        <v>21.654054054054054</v>
      </c>
      <c r="J160" s="473">
        <f t="shared" si="52"/>
        <v>20.216216216216218</v>
      </c>
      <c r="K160" s="491">
        <f t="shared" si="53"/>
        <v>0.6497175141242939</v>
      </c>
      <c r="L160" s="473">
        <f t="shared" si="54"/>
        <v>20.216216216216218</v>
      </c>
      <c r="M160" s="473">
        <f t="shared" si="105"/>
        <v>7.9609051804027224</v>
      </c>
      <c r="N160" s="473">
        <f t="shared" si="106"/>
        <v>40.551861160360062</v>
      </c>
      <c r="O160" s="473">
        <f t="shared" si="107"/>
        <v>40.551861160360062</v>
      </c>
      <c r="P160" s="734">
        <f t="shared" si="108"/>
        <v>0</v>
      </c>
      <c r="Q160" s="473">
        <f>L160*(1-P160)+BU160*P160</f>
        <v>20.216216216216218</v>
      </c>
      <c r="R160" s="475">
        <f t="shared" si="101"/>
        <v>7.9609051804027224</v>
      </c>
      <c r="S160" s="473">
        <f t="shared" si="86"/>
        <v>40.551861160360062</v>
      </c>
      <c r="T160" s="473">
        <f t="shared" si="11"/>
        <v>20.216216216216218</v>
      </c>
      <c r="U160" s="473">
        <f t="shared" si="12"/>
        <v>20.216216216216218</v>
      </c>
      <c r="V160" s="734">
        <f t="shared" si="13"/>
        <v>0</v>
      </c>
      <c r="W160" s="473">
        <f t="shared" si="56"/>
        <v>20.216216216216218</v>
      </c>
      <c r="X160" s="475">
        <f t="shared" si="57"/>
        <v>7.9609051804027224</v>
      </c>
      <c r="Y160" s="735">
        <f t="shared" si="109"/>
        <v>40.551861160360062</v>
      </c>
      <c r="Z160" s="475">
        <f t="shared" si="59"/>
        <v>9</v>
      </c>
      <c r="AA160" s="475">
        <f>IF($E$36=$D$36,MIN(AbsFeuchte(Z160,100%,$N$19),R160),MIN(AbsFeuchte(Z160,100%,$N$19),X160))</f>
        <v>7.6169281356214986</v>
      </c>
      <c r="AB160" s="735">
        <f t="shared" si="110"/>
        <v>28.236014801061046</v>
      </c>
      <c r="AC160" s="475">
        <f t="shared" si="61"/>
        <v>9</v>
      </c>
      <c r="AD160" s="475">
        <v>38</v>
      </c>
      <c r="AE160" s="735">
        <f t="shared" si="111"/>
        <v>104.75091999999999</v>
      </c>
      <c r="AF160" s="735">
        <f t="shared" si="63"/>
        <v>9</v>
      </c>
      <c r="AG160" s="735">
        <f t="shared" si="87"/>
        <v>32.607455603178266</v>
      </c>
      <c r="AH160" s="475">
        <f t="shared" si="88"/>
        <v>20.216216216216218</v>
      </c>
      <c r="AI160" s="475">
        <f t="shared" si="64"/>
        <v>7.9609051804027207</v>
      </c>
      <c r="AJ160" s="735">
        <f t="shared" si="112"/>
        <v>40.551861160360062</v>
      </c>
      <c r="AK160" s="475">
        <f t="shared" si="66"/>
        <v>20.216216216216218</v>
      </c>
      <c r="AL160" s="475">
        <f t="shared" si="67"/>
        <v>7.9609051804027224</v>
      </c>
      <c r="AM160" s="735">
        <f t="shared" si="113"/>
        <v>40.551861160360062</v>
      </c>
      <c r="AN160" s="475">
        <f t="shared" si="89"/>
        <v>20.216216216216214</v>
      </c>
      <c r="AO160" s="475">
        <f t="shared" si="69"/>
        <v>7.9609051804027224</v>
      </c>
      <c r="AP160" s="735">
        <f t="shared" si="90"/>
        <v>40.551861160360062</v>
      </c>
      <c r="AQ160" s="475" t="e">
        <f t="shared" ca="1" si="114"/>
        <v>#NAME?</v>
      </c>
      <c r="AR160" s="475">
        <f t="shared" si="91"/>
        <v>7.9609051804027207</v>
      </c>
      <c r="AS160" s="735" t="e">
        <f t="shared" ca="1" si="115"/>
        <v>#VALUE!</v>
      </c>
      <c r="AT160" s="475">
        <f t="shared" si="92"/>
        <v>20.216216216216218</v>
      </c>
      <c r="AU160" s="475">
        <f t="shared" si="16"/>
        <v>7.9609051804027224</v>
      </c>
      <c r="AV160" s="735">
        <f t="shared" si="116"/>
        <v>40.551861160360062</v>
      </c>
      <c r="AW160" s="529">
        <f t="shared" si="70"/>
        <v>1</v>
      </c>
      <c r="AX160" s="735">
        <f t="shared" si="71"/>
        <v>1</v>
      </c>
      <c r="AY160" s="735">
        <f t="shared" si="18"/>
        <v>1</v>
      </c>
      <c r="AZ160" s="735">
        <f t="shared" si="72"/>
        <v>1</v>
      </c>
      <c r="BA160" s="735">
        <f t="shared" si="73"/>
        <v>1</v>
      </c>
      <c r="BB160" s="735">
        <f>IF($E$36=$D$36,IF(AW160=1,Fall1Tzul(AX160,AY160,BJ160,Q160),0),IF(AW160=1,Fall1Tzul(AX160,AY160,BJ160,W160),0))</f>
        <v>20.216216216216218</v>
      </c>
      <c r="BC160" s="735">
        <f>IF($E$36=$D$36,IF(AW160=1,Fall1xzul(AX160,AY160,BL160,R160),0),IF(AW160=1,Fall1xzul(AX160,AY160,BL160,X160),0))</f>
        <v>7.9609051804027207</v>
      </c>
      <c r="BD160" s="735">
        <f>IF($E$36=$D$36,IF(AW160=2,Fall2Tzul(AX160, AZ160, BJ160,Q160, Z160),0),IF(AW160=2,Fall2Tzul(AX160, AZ160, BJ160,W160, Z160),0))</f>
        <v>0</v>
      </c>
      <c r="BE160" s="735">
        <f>IF($E$36=$D$36,IF(AW160=2,Fall2xzul(AX160,AZ160,BL160,R160,AA160),0),IF(AW160=2,Fall2xzul(AX160,AZ160,BL160,X160,AA160),0))</f>
        <v>0</v>
      </c>
      <c r="BF160" s="735">
        <f t="shared" si="19"/>
        <v>0</v>
      </c>
      <c r="BG160" s="735">
        <f t="shared" si="20"/>
        <v>0</v>
      </c>
      <c r="BH160" s="735">
        <f t="shared" si="21"/>
        <v>0</v>
      </c>
      <c r="BI160" s="735">
        <f t="shared" si="22"/>
        <v>0</v>
      </c>
      <c r="BJ160" s="473">
        <f t="shared" si="93"/>
        <v>20.216216216216218</v>
      </c>
      <c r="BK160" s="491">
        <f t="shared" si="117"/>
        <v>0.50598648872877827</v>
      </c>
      <c r="BL160" s="475">
        <f>AbsFeuchte(BJ160,BK160,$N$19)</f>
        <v>7.9609051804027207</v>
      </c>
      <c r="BM160" s="735">
        <f t="shared" si="118"/>
        <v>40.551861160360062</v>
      </c>
      <c r="BN160" s="473">
        <f t="shared" si="94"/>
        <v>20.216216216216218</v>
      </c>
      <c r="BO160" s="491">
        <f t="shared" si="119"/>
        <v>0.50598648872877827</v>
      </c>
      <c r="BP160" s="475">
        <f t="shared" si="74"/>
        <v>7.9609051804027207</v>
      </c>
      <c r="BQ160" s="735">
        <f t="shared" si="120"/>
        <v>40.551861160360062</v>
      </c>
      <c r="BR160" s="473">
        <f t="shared" si="75"/>
        <v>23.567567567567568</v>
      </c>
      <c r="BS160" s="491">
        <f t="shared" si="76"/>
        <v>0.41236743231443801</v>
      </c>
      <c r="BT160" s="475">
        <f>AbsFeuchte(BR160,BS160,$N$19)</f>
        <v>7.9609051804027207</v>
      </c>
      <c r="BU160" s="576">
        <f>IF($I$21=0,IF(E$13=$S$10,BR160+$N$18,BR160),IF(E$13=$S$10,BR160+$N$18+#REF!,BR160+$I$21))</f>
        <v>23.567567567567568</v>
      </c>
      <c r="BV160" s="736">
        <f t="shared" si="121"/>
        <v>0.41236743231443795</v>
      </c>
      <c r="BW160" s="726">
        <f t="shared" si="78"/>
        <v>7.9609051804027207</v>
      </c>
      <c r="BX160" s="475">
        <f t="shared" si="95"/>
        <v>0</v>
      </c>
      <c r="BY160" s="475">
        <f t="shared" si="96"/>
        <v>0</v>
      </c>
      <c r="BZ160" s="475">
        <f t="shared" si="79"/>
        <v>0</v>
      </c>
      <c r="CA160" s="475">
        <f t="shared" si="80"/>
        <v>0</v>
      </c>
      <c r="CB160" s="475">
        <f t="shared" si="27"/>
        <v>0</v>
      </c>
      <c r="CC160" s="475">
        <f t="shared" si="28"/>
        <v>0</v>
      </c>
      <c r="CD160" s="475">
        <f t="shared" si="29"/>
        <v>0</v>
      </c>
      <c r="CE160" s="621">
        <f t="shared" si="122"/>
        <v>0</v>
      </c>
      <c r="CF160" s="621">
        <f t="shared" si="123"/>
        <v>0</v>
      </c>
      <c r="CG160" s="621">
        <f t="shared" si="124"/>
        <v>0</v>
      </c>
      <c r="CH160" s="573">
        <f t="shared" si="125"/>
        <v>0</v>
      </c>
      <c r="CI160" s="621">
        <f t="shared" si="34"/>
        <v>0</v>
      </c>
      <c r="CJ160" s="621">
        <f t="shared" si="126"/>
        <v>0</v>
      </c>
      <c r="CK160" s="621">
        <f t="shared" si="127"/>
        <v>0</v>
      </c>
      <c r="CL160" s="737">
        <f t="shared" si="128"/>
        <v>1.3129730929806162E-12</v>
      </c>
      <c r="CM160" s="738">
        <f t="shared" si="38"/>
        <v>0</v>
      </c>
      <c r="CN160" s="475">
        <f t="shared" si="39"/>
        <v>0.50598648872877827</v>
      </c>
      <c r="CO160" s="475">
        <f t="shared" si="40"/>
        <v>0.50598648872877827</v>
      </c>
      <c r="CP160" s="475">
        <f t="shared" si="97"/>
        <v>20.216216216216218</v>
      </c>
      <c r="CQ160" s="475">
        <f t="shared" si="41"/>
        <v>20.216216216216218</v>
      </c>
      <c r="CR160" s="475">
        <f t="shared" si="42"/>
        <v>0</v>
      </c>
      <c r="CS160" s="475">
        <f t="shared" si="43"/>
        <v>0</v>
      </c>
      <c r="CT160" s="475">
        <f t="shared" si="129"/>
        <v>1.1549342465753427</v>
      </c>
      <c r="CU160" s="475">
        <f t="shared" si="45"/>
        <v>20.216216216216218</v>
      </c>
      <c r="CV160" s="475">
        <f t="shared" si="46"/>
        <v>20.216216216216218</v>
      </c>
      <c r="CW160" s="475">
        <f t="shared" si="98"/>
        <v>1.1549342465753427</v>
      </c>
      <c r="CX160" s="573">
        <f t="shared" si="99"/>
        <v>-1.3129730929806162E-12</v>
      </c>
      <c r="CY160" s="475">
        <f t="shared" si="102"/>
        <v>20.216216216216218</v>
      </c>
      <c r="CZ160" s="475">
        <f t="shared" si="100"/>
        <v>20.216216216216218</v>
      </c>
      <c r="DA160" s="475">
        <v>14</v>
      </c>
      <c r="DB160" s="739">
        <f t="shared" si="82"/>
        <v>0</v>
      </c>
      <c r="DC160" s="740">
        <f t="shared" si="130"/>
        <v>0</v>
      </c>
    </row>
    <row r="161" spans="1:107" s="619" customFormat="1" ht="12" customHeight="1">
      <c r="A161" s="732">
        <v>15</v>
      </c>
      <c r="B161" s="917">
        <f>Klimadaten!O45/8760*$K$68</f>
        <v>146.91780821917808</v>
      </c>
      <c r="C161" s="762">
        <f>Klimadaten!Q45</f>
        <v>8.4268113700486946</v>
      </c>
      <c r="D161" s="763">
        <f>Klimadaten!N45</f>
        <v>0.74384848484848487</v>
      </c>
      <c r="E161" s="491">
        <f t="shared" si="103"/>
        <v>0.43476004305272542</v>
      </c>
      <c r="F161" s="438">
        <f t="shared" si="49"/>
        <v>0</v>
      </c>
      <c r="G161" s="733">
        <f t="shared" si="104"/>
        <v>15</v>
      </c>
      <c r="H161" s="527">
        <f t="shared" si="50"/>
        <v>5.1891891891891895</v>
      </c>
      <c r="I161" s="733">
        <f t="shared" si="51"/>
        <v>21.897297297297296</v>
      </c>
      <c r="J161" s="473">
        <f t="shared" si="52"/>
        <v>20.189189189189189</v>
      </c>
      <c r="K161" s="491">
        <f t="shared" si="53"/>
        <v>0.60188087774294674</v>
      </c>
      <c r="L161" s="473">
        <f t="shared" si="54"/>
        <v>20.189189189189189</v>
      </c>
      <c r="M161" s="473">
        <f t="shared" si="105"/>
        <v>8.4268113700486946</v>
      </c>
      <c r="N161" s="473">
        <f t="shared" si="106"/>
        <v>41.70727835719957</v>
      </c>
      <c r="O161" s="473">
        <f t="shared" si="107"/>
        <v>41.70727835719957</v>
      </c>
      <c r="P161" s="734">
        <f t="shared" si="108"/>
        <v>0</v>
      </c>
      <c r="Q161" s="473">
        <f t="shared" si="85"/>
        <v>20.189189189189189</v>
      </c>
      <c r="R161" s="475">
        <f t="shared" si="101"/>
        <v>8.4268113700486946</v>
      </c>
      <c r="S161" s="473">
        <f t="shared" si="86"/>
        <v>41.70727835719957</v>
      </c>
      <c r="T161" s="473">
        <f t="shared" si="11"/>
        <v>20.189189189189189</v>
      </c>
      <c r="U161" s="473">
        <f t="shared" si="12"/>
        <v>20.189189189189189</v>
      </c>
      <c r="V161" s="734">
        <f t="shared" si="13"/>
        <v>0</v>
      </c>
      <c r="W161" s="473">
        <f t="shared" si="56"/>
        <v>20.189189189189189</v>
      </c>
      <c r="X161" s="475">
        <f t="shared" si="57"/>
        <v>8.4268113700486946</v>
      </c>
      <c r="Y161" s="735">
        <f t="shared" si="109"/>
        <v>41.70727835719957</v>
      </c>
      <c r="Z161" s="475">
        <f t="shared" si="59"/>
        <v>9</v>
      </c>
      <c r="AA161" s="475">
        <f>IF($E$36=$D$36,MIN(AbsFeuchte(Z161,100%,$N$19),R161),MIN(AbsFeuchte(Z161,100%,$N$19),X161))</f>
        <v>7.6169281356214986</v>
      </c>
      <c r="AB161" s="735">
        <f t="shared" si="110"/>
        <v>28.236014801061046</v>
      </c>
      <c r="AC161" s="475">
        <f t="shared" si="61"/>
        <v>9</v>
      </c>
      <c r="AD161" s="475">
        <v>39</v>
      </c>
      <c r="AE161" s="735">
        <f t="shared" si="111"/>
        <v>107.26925999999999</v>
      </c>
      <c r="AF161" s="735">
        <f t="shared" si="63"/>
        <v>9</v>
      </c>
      <c r="AG161" s="735">
        <f t="shared" si="87"/>
        <v>13.815805431634768</v>
      </c>
      <c r="AH161" s="475">
        <f t="shared" si="88"/>
        <v>20.189189189189189</v>
      </c>
      <c r="AI161" s="475">
        <f t="shared" si="64"/>
        <v>8.4268113700486964</v>
      </c>
      <c r="AJ161" s="735">
        <f t="shared" si="112"/>
        <v>41.70727835719957</v>
      </c>
      <c r="AK161" s="475">
        <f t="shared" si="66"/>
        <v>20.189189189189189</v>
      </c>
      <c r="AL161" s="475">
        <f t="shared" si="67"/>
        <v>8.4268113700486946</v>
      </c>
      <c r="AM161" s="735">
        <f t="shared" si="113"/>
        <v>41.70727835719957</v>
      </c>
      <c r="AN161" s="475">
        <f t="shared" si="89"/>
        <v>20.189189189189193</v>
      </c>
      <c r="AO161" s="475">
        <f t="shared" si="69"/>
        <v>8.4268113700486946</v>
      </c>
      <c r="AP161" s="735">
        <f t="shared" si="90"/>
        <v>41.70727835719957</v>
      </c>
      <c r="AQ161" s="475" t="e">
        <f t="shared" ca="1" si="114"/>
        <v>#NAME?</v>
      </c>
      <c r="AR161" s="475">
        <f t="shared" si="91"/>
        <v>8.4268113700486964</v>
      </c>
      <c r="AS161" s="735" t="e">
        <f t="shared" ca="1" si="115"/>
        <v>#VALUE!</v>
      </c>
      <c r="AT161" s="475">
        <f t="shared" si="92"/>
        <v>20.189189189189189</v>
      </c>
      <c r="AU161" s="475">
        <f t="shared" si="16"/>
        <v>8.4268113700486946</v>
      </c>
      <c r="AV161" s="735">
        <f t="shared" si="116"/>
        <v>41.70727835719957</v>
      </c>
      <c r="AW161" s="529">
        <f t="shared" si="70"/>
        <v>1</v>
      </c>
      <c r="AX161" s="735">
        <f t="shared" si="71"/>
        <v>1</v>
      </c>
      <c r="AY161" s="735">
        <f t="shared" si="18"/>
        <v>1</v>
      </c>
      <c r="AZ161" s="735">
        <f t="shared" si="72"/>
        <v>1</v>
      </c>
      <c r="BA161" s="735">
        <f t="shared" si="73"/>
        <v>1</v>
      </c>
      <c r="BB161" s="735">
        <f>IF($E$36=$D$36,IF(AW161=1,Fall1Tzul(AX161,AY161,BJ161,Q161),0),IF(AW161=1,Fall1Tzul(AX161,AY161,BJ161,W161),0))</f>
        <v>20.189189189189189</v>
      </c>
      <c r="BC161" s="735">
        <f>IF($E$36=$D$36,IF(AW161=1,Fall1xzul(AX161,AY161,BL161,R161),0),IF(AW161=1,Fall1xzul(AX161,AY161,BL161,X161),0))</f>
        <v>8.4268113700486964</v>
      </c>
      <c r="BD161" s="735">
        <f>IF($E$36=$D$36,IF(AW161=2,Fall2Tzul(AX161, AZ161, BJ161,Q161, Z161),0),IF(AW161=2,Fall2Tzul(AX161, AZ161, BJ161,W161, Z161),0))</f>
        <v>0</v>
      </c>
      <c r="BE161" s="735">
        <f>IF($E$36=$D$36,IF(AW161=2,Fall2xzul(AX161,AZ161,BL161,R161,AA161),0),IF(AW161=2,Fall2xzul(AX161,AZ161,BL161,X161,AA161),0))</f>
        <v>0</v>
      </c>
      <c r="BF161" s="735">
        <f t="shared" si="19"/>
        <v>0</v>
      </c>
      <c r="BG161" s="735">
        <f t="shared" si="20"/>
        <v>0</v>
      </c>
      <c r="BH161" s="735">
        <f t="shared" si="21"/>
        <v>0</v>
      </c>
      <c r="BI161" s="735">
        <f t="shared" si="22"/>
        <v>0</v>
      </c>
      <c r="BJ161" s="473">
        <f t="shared" si="93"/>
        <v>20.189189189189189</v>
      </c>
      <c r="BK161" s="491">
        <f t="shared" si="117"/>
        <v>0.53609850961212524</v>
      </c>
      <c r="BL161" s="475">
        <f>AbsFeuchte(BJ161,BK161,$N$19)</f>
        <v>8.4268113700486964</v>
      </c>
      <c r="BM161" s="735">
        <f t="shared" si="118"/>
        <v>41.70727835719957</v>
      </c>
      <c r="BN161" s="473">
        <f t="shared" si="94"/>
        <v>20.189189189189189</v>
      </c>
      <c r="BO161" s="491">
        <f t="shared" si="119"/>
        <v>0.53609850961212535</v>
      </c>
      <c r="BP161" s="475">
        <f t="shared" si="74"/>
        <v>8.4268113700486964</v>
      </c>
      <c r="BQ161" s="735">
        <f t="shared" si="120"/>
        <v>41.70727835719957</v>
      </c>
      <c r="BR161" s="473">
        <f t="shared" si="75"/>
        <v>23.621621621621621</v>
      </c>
      <c r="BS161" s="491">
        <f t="shared" si="76"/>
        <v>0.43476004305272542</v>
      </c>
      <c r="BT161" s="475">
        <f>AbsFeuchte(BR161,BS161,$N$19)</f>
        <v>8.4268113700486946</v>
      </c>
      <c r="BU161" s="576">
        <f>IF($I$21=0,IF(E$13=$S$10,BR161+$N$18,BR161),IF(E$13=$S$10,BR161+$N$18+#REF!,BR161+$I$21))</f>
        <v>23.621621621621621</v>
      </c>
      <c r="BV161" s="736">
        <f t="shared" si="121"/>
        <v>0.43476004305272542</v>
      </c>
      <c r="BW161" s="726">
        <f t="shared" si="78"/>
        <v>8.4268113700486946</v>
      </c>
      <c r="BX161" s="475">
        <f t="shared" si="95"/>
        <v>0</v>
      </c>
      <c r="BY161" s="475">
        <f t="shared" si="96"/>
        <v>0</v>
      </c>
      <c r="BZ161" s="475">
        <f t="shared" si="79"/>
        <v>0</v>
      </c>
      <c r="CA161" s="475">
        <f t="shared" si="80"/>
        <v>0</v>
      </c>
      <c r="CB161" s="475">
        <f t="shared" si="27"/>
        <v>0</v>
      </c>
      <c r="CC161" s="475">
        <f t="shared" si="28"/>
        <v>0</v>
      </c>
      <c r="CD161" s="475">
        <f t="shared" si="29"/>
        <v>0</v>
      </c>
      <c r="CE161" s="621">
        <f t="shared" si="122"/>
        <v>0</v>
      </c>
      <c r="CF161" s="621">
        <f t="shared" si="123"/>
        <v>0</v>
      </c>
      <c r="CG161" s="621">
        <f t="shared" si="124"/>
        <v>0</v>
      </c>
      <c r="CH161" s="573">
        <f t="shared" si="125"/>
        <v>1.1462463510148234E-12</v>
      </c>
      <c r="CI161" s="621">
        <f t="shared" si="34"/>
        <v>8.3838368523809208E-16</v>
      </c>
      <c r="CJ161" s="621">
        <f t="shared" si="126"/>
        <v>0</v>
      </c>
      <c r="CK161" s="621">
        <f t="shared" si="127"/>
        <v>0</v>
      </c>
      <c r="CL161" s="737">
        <f t="shared" si="128"/>
        <v>0</v>
      </c>
      <c r="CM161" s="738">
        <f t="shared" si="38"/>
        <v>0</v>
      </c>
      <c r="CN161" s="475">
        <f t="shared" si="39"/>
        <v>0.53609850961212524</v>
      </c>
      <c r="CO161" s="475">
        <f t="shared" si="40"/>
        <v>0.53609850961212535</v>
      </c>
      <c r="CP161" s="475">
        <f t="shared" si="97"/>
        <v>20.189189189189189</v>
      </c>
      <c r="CQ161" s="475">
        <f t="shared" si="41"/>
        <v>20.189189189189189</v>
      </c>
      <c r="CR161" s="475">
        <f t="shared" si="42"/>
        <v>0</v>
      </c>
      <c r="CS161" s="475">
        <f t="shared" si="43"/>
        <v>0</v>
      </c>
      <c r="CT161" s="475">
        <f t="shared" si="129"/>
        <v>1.0082759295499024</v>
      </c>
      <c r="CU161" s="475">
        <f t="shared" si="45"/>
        <v>20.189189189189189</v>
      </c>
      <c r="CV161" s="475">
        <f t="shared" si="46"/>
        <v>20.189189189189189</v>
      </c>
      <c r="CW161" s="475">
        <f t="shared" si="98"/>
        <v>1.0082759295499024</v>
      </c>
      <c r="CX161" s="573">
        <f t="shared" si="99"/>
        <v>0</v>
      </c>
      <c r="CY161" s="475">
        <f t="shared" si="102"/>
        <v>20.189189189189189</v>
      </c>
      <c r="CZ161" s="475">
        <f t="shared" si="100"/>
        <v>20.189189189189189</v>
      </c>
      <c r="DA161" s="475">
        <v>15</v>
      </c>
      <c r="DB161" s="739">
        <f t="shared" si="82"/>
        <v>0</v>
      </c>
      <c r="DC161" s="740">
        <f t="shared" si="130"/>
        <v>0</v>
      </c>
    </row>
    <row r="162" spans="1:107" s="619" customFormat="1" ht="12" customHeight="1">
      <c r="A162" s="732">
        <v>16</v>
      </c>
      <c r="B162" s="917">
        <f>Klimadaten!O46/8760*$K$68</f>
        <v>173.63013698630135</v>
      </c>
      <c r="C162" s="762">
        <f>Klimadaten!Q46</f>
        <v>9.0875100766743504</v>
      </c>
      <c r="D162" s="763">
        <f>Klimadaten!N46</f>
        <v>0.7515384615384616</v>
      </c>
      <c r="E162" s="491">
        <f t="shared" si="103"/>
        <v>0.46683397009609251</v>
      </c>
      <c r="F162" s="438">
        <f t="shared" si="49"/>
        <v>0</v>
      </c>
      <c r="G162" s="733">
        <f t="shared" si="104"/>
        <v>16</v>
      </c>
      <c r="H162" s="527">
        <f t="shared" si="50"/>
        <v>4.1621621621621614</v>
      </c>
      <c r="I162" s="733">
        <f t="shared" si="51"/>
        <v>22.140540540540542</v>
      </c>
      <c r="J162" s="473">
        <f t="shared" si="52"/>
        <v>20.162162162162161</v>
      </c>
      <c r="K162" s="491">
        <f t="shared" si="53"/>
        <v>0.5422535211267604</v>
      </c>
      <c r="L162" s="473">
        <f t="shared" si="54"/>
        <v>20.162162162162161</v>
      </c>
      <c r="M162" s="473">
        <f t="shared" si="105"/>
        <v>9.0875100766743504</v>
      </c>
      <c r="N162" s="473">
        <f t="shared" si="106"/>
        <v>43.357246707321806</v>
      </c>
      <c r="O162" s="473">
        <f t="shared" si="107"/>
        <v>43.357246707321806</v>
      </c>
      <c r="P162" s="734">
        <f t="shared" si="108"/>
        <v>0</v>
      </c>
      <c r="Q162" s="473">
        <f t="shared" si="85"/>
        <v>20.162162162162161</v>
      </c>
      <c r="R162" s="475">
        <f t="shared" si="101"/>
        <v>9.0875100766743504</v>
      </c>
      <c r="S162" s="473">
        <f t="shared" si="86"/>
        <v>43.357246707321806</v>
      </c>
      <c r="T162" s="473">
        <f t="shared" si="11"/>
        <v>20.162162162162161</v>
      </c>
      <c r="U162" s="473">
        <f t="shared" si="12"/>
        <v>20.162162162162161</v>
      </c>
      <c r="V162" s="734">
        <f t="shared" si="13"/>
        <v>0</v>
      </c>
      <c r="W162" s="473">
        <f t="shared" si="56"/>
        <v>20.162162162162161</v>
      </c>
      <c r="X162" s="475">
        <f t="shared" si="57"/>
        <v>9.0875100766743504</v>
      </c>
      <c r="Y162" s="735">
        <f t="shared" si="109"/>
        <v>43.357246707321806</v>
      </c>
      <c r="Z162" s="475">
        <f t="shared" si="59"/>
        <v>9</v>
      </c>
      <c r="AA162" s="475">
        <f>IF($E$36=$D$36,MIN(AbsFeuchte(Z162,100%,$N$19),R162),MIN(AbsFeuchte(Z162,100%,$N$19),X162))</f>
        <v>7.6169281356214986</v>
      </c>
      <c r="AB162" s="735">
        <f t="shared" si="110"/>
        <v>28.236014801061046</v>
      </c>
      <c r="AC162" s="475">
        <f t="shared" si="61"/>
        <v>9</v>
      </c>
      <c r="AD162" s="475">
        <v>40</v>
      </c>
      <c r="AE162" s="735">
        <f t="shared" si="111"/>
        <v>109.7876</v>
      </c>
      <c r="AF162" s="735">
        <f t="shared" si="63"/>
        <v>9</v>
      </c>
      <c r="AG162" s="735">
        <f t="shared" si="87"/>
        <v>7.5903027574041184</v>
      </c>
      <c r="AH162" s="475">
        <f t="shared" si="88"/>
        <v>20.162162162162161</v>
      </c>
      <c r="AI162" s="475">
        <f t="shared" si="64"/>
        <v>9.0875100766743522</v>
      </c>
      <c r="AJ162" s="735">
        <f t="shared" si="112"/>
        <v>43.357246707321806</v>
      </c>
      <c r="AK162" s="475">
        <f t="shared" si="66"/>
        <v>20.162162162162161</v>
      </c>
      <c r="AL162" s="475">
        <f t="shared" si="67"/>
        <v>9.0875100766743504</v>
      </c>
      <c r="AM162" s="735">
        <f t="shared" si="113"/>
        <v>43.357246707321806</v>
      </c>
      <c r="AN162" s="475">
        <f t="shared" si="89"/>
        <v>20.162162162162165</v>
      </c>
      <c r="AO162" s="475">
        <f t="shared" si="69"/>
        <v>9.0875100766743504</v>
      </c>
      <c r="AP162" s="735">
        <f t="shared" si="90"/>
        <v>43.357246707321806</v>
      </c>
      <c r="AQ162" s="475" t="e">
        <f t="shared" ca="1" si="114"/>
        <v>#NAME?</v>
      </c>
      <c r="AR162" s="475">
        <f t="shared" si="91"/>
        <v>9.0875100766743522</v>
      </c>
      <c r="AS162" s="735" t="e">
        <f t="shared" ca="1" si="115"/>
        <v>#VALUE!</v>
      </c>
      <c r="AT162" s="475">
        <f t="shared" si="92"/>
        <v>20.162162162162161</v>
      </c>
      <c r="AU162" s="475">
        <f t="shared" si="16"/>
        <v>9.0875100766743504</v>
      </c>
      <c r="AV162" s="735">
        <f t="shared" si="116"/>
        <v>43.357246707321806</v>
      </c>
      <c r="AW162" s="529">
        <f t="shared" si="70"/>
        <v>1</v>
      </c>
      <c r="AX162" s="735">
        <f t="shared" si="71"/>
        <v>1</v>
      </c>
      <c r="AY162" s="735">
        <f t="shared" si="18"/>
        <v>1</v>
      </c>
      <c r="AZ162" s="735">
        <f t="shared" si="72"/>
        <v>1</v>
      </c>
      <c r="BA162" s="735">
        <f t="shared" si="73"/>
        <v>1</v>
      </c>
      <c r="BB162" s="735">
        <f>IF($E$36=$D$36,IF(AW162=1,Fall1Tzul(AX162,AY162,BJ162,Q162),0),IF(AW162=1,Fall1Tzul(AX162,AY162,BJ162,W162),0))</f>
        <v>20.162162162162161</v>
      </c>
      <c r="BC162" s="735">
        <f>IF($E$36=$D$36,IF(AW162=1,Fall1xzul(AX162,AY162,BL162,R162),0),IF(AW162=1,Fall1xzul(AX162,AY162,BL162,X162),0))</f>
        <v>9.0875100766743522</v>
      </c>
      <c r="BD162" s="735">
        <f>IF($E$36=$D$36,IF(AW162=2,Fall2Tzul(AX162, AZ162, BJ162,Q162, Z162),0),IF(AW162=2,Fall2Tzul(AX162, AZ162, BJ162,W162, Z162),0))</f>
        <v>0</v>
      </c>
      <c r="BE162" s="735">
        <f>IF($E$36=$D$36,IF(AW162=2,Fall2xzul(AX162,AZ162,BL162,R162,AA162),0),IF(AW162=2,Fall2xzul(AX162,AZ162,BL162,X162,AA162),0))</f>
        <v>0</v>
      </c>
      <c r="BF162" s="735">
        <f t="shared" si="19"/>
        <v>0</v>
      </c>
      <c r="BG162" s="735">
        <f t="shared" si="20"/>
        <v>0</v>
      </c>
      <c r="BH162" s="735">
        <f t="shared" si="21"/>
        <v>0</v>
      </c>
      <c r="BI162" s="735">
        <f t="shared" si="22"/>
        <v>0</v>
      </c>
      <c r="BJ162" s="473">
        <f t="shared" si="93"/>
        <v>20.162162162162161</v>
      </c>
      <c r="BK162" s="491">
        <f t="shared" si="117"/>
        <v>0.578492068970482</v>
      </c>
      <c r="BL162" s="475">
        <f>AbsFeuchte(BJ162,BK162,$N$19)</f>
        <v>9.0875100766743522</v>
      </c>
      <c r="BM162" s="735">
        <f t="shared" si="118"/>
        <v>43.357246707321806</v>
      </c>
      <c r="BN162" s="473">
        <f t="shared" si="94"/>
        <v>20.162162162162161</v>
      </c>
      <c r="BO162" s="491">
        <f t="shared" si="119"/>
        <v>0.57849206897048211</v>
      </c>
      <c r="BP162" s="475">
        <f t="shared" si="74"/>
        <v>9.0875100766743522</v>
      </c>
      <c r="BQ162" s="735">
        <f t="shared" si="120"/>
        <v>43.357246707321806</v>
      </c>
      <c r="BR162" s="473">
        <f t="shared" si="75"/>
        <v>23.675675675675677</v>
      </c>
      <c r="BS162" s="491">
        <f t="shared" si="76"/>
        <v>0.46683397009609251</v>
      </c>
      <c r="BT162" s="475">
        <f>AbsFeuchte(BR162,BS162,$N$19)</f>
        <v>9.0875100766743504</v>
      </c>
      <c r="BU162" s="576">
        <f>IF($I$21=0,IF(E$13=$S$10,BR162+$N$18,BR162),IF(E$13=$S$10,BR162+$N$18+#REF!,BR162+$I$21))</f>
        <v>23.675675675675677</v>
      </c>
      <c r="BV162" s="736">
        <f t="shared" si="121"/>
        <v>0.46683397009609251</v>
      </c>
      <c r="BW162" s="726">
        <f t="shared" si="78"/>
        <v>9.0875100766743504</v>
      </c>
      <c r="BX162" s="475">
        <f t="shared" si="95"/>
        <v>0</v>
      </c>
      <c r="BY162" s="475">
        <f t="shared" si="96"/>
        <v>0</v>
      </c>
      <c r="BZ162" s="475">
        <f t="shared" si="79"/>
        <v>0</v>
      </c>
      <c r="CA162" s="475">
        <f t="shared" si="80"/>
        <v>0</v>
      </c>
      <c r="CB162" s="475">
        <f t="shared" si="27"/>
        <v>0</v>
      </c>
      <c r="CC162" s="475">
        <f t="shared" si="28"/>
        <v>0</v>
      </c>
      <c r="CD162" s="475">
        <f t="shared" si="29"/>
        <v>0</v>
      </c>
      <c r="CE162" s="621">
        <f t="shared" si="122"/>
        <v>0</v>
      </c>
      <c r="CF162" s="621">
        <f t="shared" si="123"/>
        <v>0</v>
      </c>
      <c r="CG162" s="621">
        <f t="shared" si="124"/>
        <v>0</v>
      </c>
      <c r="CH162" s="573">
        <f t="shared" si="125"/>
        <v>1.354654778472064E-12</v>
      </c>
      <c r="CI162" s="621">
        <f t="shared" si="34"/>
        <v>9.9081708255410888E-16</v>
      </c>
      <c r="CJ162" s="621">
        <f t="shared" si="126"/>
        <v>0</v>
      </c>
      <c r="CK162" s="621">
        <f t="shared" si="127"/>
        <v>0</v>
      </c>
      <c r="CL162" s="737">
        <f t="shared" si="128"/>
        <v>0</v>
      </c>
      <c r="CM162" s="738">
        <f t="shared" si="38"/>
        <v>0</v>
      </c>
      <c r="CN162" s="475">
        <f t="shared" si="39"/>
        <v>0.578492068970482</v>
      </c>
      <c r="CO162" s="475">
        <f t="shared" si="40"/>
        <v>0.57849206897048211</v>
      </c>
      <c r="CP162" s="475">
        <f t="shared" si="97"/>
        <v>20.162162162162161</v>
      </c>
      <c r="CQ162" s="475">
        <f t="shared" si="41"/>
        <v>20.162162162162161</v>
      </c>
      <c r="CR162" s="475">
        <f t="shared" si="42"/>
        <v>0</v>
      </c>
      <c r="CS162" s="475">
        <f t="shared" si="43"/>
        <v>0</v>
      </c>
      <c r="CT162" s="475">
        <f t="shared" si="129"/>
        <v>1.1915988258317027</v>
      </c>
      <c r="CU162" s="475">
        <f t="shared" si="45"/>
        <v>20.162162162162161</v>
      </c>
      <c r="CV162" s="475">
        <f t="shared" si="46"/>
        <v>20.162162162162161</v>
      </c>
      <c r="CW162" s="475">
        <f t="shared" si="98"/>
        <v>1.1915988258317027</v>
      </c>
      <c r="CX162" s="573">
        <f t="shared" si="99"/>
        <v>0</v>
      </c>
      <c r="CY162" s="475">
        <f t="shared" si="102"/>
        <v>20.162162162162161</v>
      </c>
      <c r="CZ162" s="475">
        <f t="shared" si="100"/>
        <v>20.162162162162161</v>
      </c>
      <c r="DA162" s="475">
        <v>16</v>
      </c>
      <c r="DB162" s="739">
        <f t="shared" si="82"/>
        <v>0</v>
      </c>
      <c r="DC162" s="740">
        <f t="shared" si="130"/>
        <v>0</v>
      </c>
    </row>
    <row r="163" spans="1:107" s="619" customFormat="1" ht="12" customHeight="1">
      <c r="A163" s="732">
        <v>17</v>
      </c>
      <c r="B163" s="917">
        <f>Klimadaten!O47/8760*$K$68</f>
        <v>162.5</v>
      </c>
      <c r="C163" s="762">
        <f>Klimadaten!Q47</f>
        <v>9.4303116685884252</v>
      </c>
      <c r="D163" s="763">
        <f>Klimadaten!N47</f>
        <v>0.73139726027397256</v>
      </c>
      <c r="E163" s="491">
        <f t="shared" si="103"/>
        <v>0.482607915091325</v>
      </c>
      <c r="F163" s="438">
        <f t="shared" si="49"/>
        <v>0</v>
      </c>
      <c r="G163" s="733">
        <f t="shared" si="104"/>
        <v>17</v>
      </c>
      <c r="H163" s="527">
        <f t="shared" si="50"/>
        <v>3.1351351351351369</v>
      </c>
      <c r="I163" s="733">
        <f t="shared" si="51"/>
        <v>22.383783783783784</v>
      </c>
      <c r="J163" s="473">
        <f t="shared" si="52"/>
        <v>20.135135135135137</v>
      </c>
      <c r="K163" s="491">
        <f t="shared" si="53"/>
        <v>0.46586345381526129</v>
      </c>
      <c r="L163" s="473">
        <f t="shared" si="54"/>
        <v>20.135135135135137</v>
      </c>
      <c r="M163" s="473">
        <f t="shared" si="105"/>
        <v>9.4303116685884252</v>
      </c>
      <c r="N163" s="473">
        <f t="shared" si="106"/>
        <v>44.199991531739798</v>
      </c>
      <c r="O163" s="473">
        <f t="shared" si="107"/>
        <v>44.199991531739798</v>
      </c>
      <c r="P163" s="734">
        <f t="shared" si="108"/>
        <v>0</v>
      </c>
      <c r="Q163" s="473">
        <f t="shared" si="85"/>
        <v>20.135135135135137</v>
      </c>
      <c r="R163" s="475">
        <f t="shared" si="101"/>
        <v>9.4303116685884252</v>
      </c>
      <c r="S163" s="473">
        <f t="shared" si="86"/>
        <v>44.199991531739798</v>
      </c>
      <c r="T163" s="473">
        <f t="shared" si="11"/>
        <v>20.135135135135137</v>
      </c>
      <c r="U163" s="473">
        <f t="shared" si="12"/>
        <v>20.135135135135137</v>
      </c>
      <c r="V163" s="734">
        <f t="shared" si="13"/>
        <v>0</v>
      </c>
      <c r="W163" s="473">
        <f t="shared" si="56"/>
        <v>20.135135135135137</v>
      </c>
      <c r="X163" s="475">
        <f t="shared" si="57"/>
        <v>9.4303116685884252</v>
      </c>
      <c r="Y163" s="735">
        <f t="shared" si="109"/>
        <v>44.199991531739798</v>
      </c>
      <c r="Z163" s="475">
        <f t="shared" si="59"/>
        <v>9</v>
      </c>
      <c r="AA163" s="475">
        <f>IF($E$36=$D$36,MIN(AbsFeuchte(Z163,100%,$N$19),R163),MIN(AbsFeuchte(Z163,100%,$N$19),X163))</f>
        <v>7.6169281356214986</v>
      </c>
      <c r="AB163" s="735">
        <f t="shared" si="110"/>
        <v>28.236014801061046</v>
      </c>
      <c r="AC163" s="475">
        <f t="shared" si="61"/>
        <v>9</v>
      </c>
      <c r="AD163" s="475">
        <v>41</v>
      </c>
      <c r="AE163" s="735">
        <f t="shared" si="111"/>
        <v>112.30593999999999</v>
      </c>
      <c r="AF163" s="735">
        <f t="shared" si="63"/>
        <v>9</v>
      </c>
      <c r="AG163" s="735">
        <f t="shared" si="87"/>
        <v>6.1405295309573242</v>
      </c>
      <c r="AH163" s="475">
        <f t="shared" si="88"/>
        <v>20.135135135135137</v>
      </c>
      <c r="AI163" s="475">
        <f t="shared" si="64"/>
        <v>9.430311668588427</v>
      </c>
      <c r="AJ163" s="735">
        <f t="shared" si="112"/>
        <v>44.199991531739805</v>
      </c>
      <c r="AK163" s="475">
        <f t="shared" si="66"/>
        <v>20.135135135135137</v>
      </c>
      <c r="AL163" s="475">
        <f t="shared" si="67"/>
        <v>9.4303116685884252</v>
      </c>
      <c r="AM163" s="735">
        <f t="shared" si="113"/>
        <v>44.199991531739798</v>
      </c>
      <c r="AN163" s="475">
        <f t="shared" si="89"/>
        <v>20.135135135135137</v>
      </c>
      <c r="AO163" s="475">
        <f t="shared" si="69"/>
        <v>9.4303116685884252</v>
      </c>
      <c r="AP163" s="735">
        <f t="shared" si="90"/>
        <v>44.199991531739805</v>
      </c>
      <c r="AQ163" s="475" t="e">
        <f t="shared" ca="1" si="114"/>
        <v>#NAME?</v>
      </c>
      <c r="AR163" s="475">
        <f t="shared" si="91"/>
        <v>9.430311668588427</v>
      </c>
      <c r="AS163" s="735" t="e">
        <f t="shared" ca="1" si="115"/>
        <v>#VALUE!</v>
      </c>
      <c r="AT163" s="475">
        <f t="shared" si="92"/>
        <v>20.135135135135137</v>
      </c>
      <c r="AU163" s="475">
        <f t="shared" si="16"/>
        <v>9.4303116685884252</v>
      </c>
      <c r="AV163" s="735">
        <f t="shared" si="116"/>
        <v>44.199991531739798</v>
      </c>
      <c r="AW163" s="529">
        <f t="shared" si="70"/>
        <v>1</v>
      </c>
      <c r="AX163" s="735">
        <f t="shared" si="71"/>
        <v>1</v>
      </c>
      <c r="AY163" s="735">
        <f t="shared" si="18"/>
        <v>1</v>
      </c>
      <c r="AZ163" s="735">
        <f t="shared" si="72"/>
        <v>1</v>
      </c>
      <c r="BA163" s="735">
        <f t="shared" si="73"/>
        <v>1</v>
      </c>
      <c r="BB163" s="735">
        <f>IF($E$36=$D$36,IF(AW163=1,Fall1Tzul(AX163,AY163,BJ163,Q163),0),IF(AW163=1,Fall1Tzul(AX163,AY163,BJ163,W163),0))</f>
        <v>20.135135135135137</v>
      </c>
      <c r="BC163" s="735">
        <f>IF($E$36=$D$36,IF(AW163=1,Fall1xzul(AX163,AY163,BL163,R163),0),IF(AW163=1,Fall1xzul(AX163,AY163,BL163,X163),0))</f>
        <v>9.430311668588427</v>
      </c>
      <c r="BD163" s="735">
        <f>IF($E$36=$D$36,IF(AW163=2,Fall2Tzul(AX163, AZ163, BJ163,Q163, Z163),0),IF(AW163=2,Fall2Tzul(AX163, AZ163, BJ163,W163, Z163),0))</f>
        <v>0</v>
      </c>
      <c r="BE163" s="735">
        <f>IF($E$36=$D$36,IF(AW163=2,Fall2xzul(AX163,AZ163,BL163,R163,AA163),0),IF(AW163=2,Fall2xzul(AX163,AZ163,BL163,X163,AA163),0))</f>
        <v>0</v>
      </c>
      <c r="BF163" s="735">
        <f t="shared" si="19"/>
        <v>0</v>
      </c>
      <c r="BG163" s="735">
        <f t="shared" si="20"/>
        <v>0</v>
      </c>
      <c r="BH163" s="735">
        <f t="shared" si="21"/>
        <v>0</v>
      </c>
      <c r="BI163" s="735">
        <f t="shared" si="22"/>
        <v>0</v>
      </c>
      <c r="BJ163" s="473">
        <f t="shared" si="93"/>
        <v>20.135135135135137</v>
      </c>
      <c r="BK163" s="491">
        <f t="shared" si="117"/>
        <v>0.60099235450803878</v>
      </c>
      <c r="BL163" s="475">
        <f>AbsFeuchte(BJ163,BK163,$N$19)</f>
        <v>9.430311668588427</v>
      </c>
      <c r="BM163" s="735">
        <f t="shared" si="118"/>
        <v>44.199991531739805</v>
      </c>
      <c r="BN163" s="473">
        <f t="shared" si="94"/>
        <v>20.135135135135137</v>
      </c>
      <c r="BO163" s="491">
        <f t="shared" si="119"/>
        <v>0.60099235450803878</v>
      </c>
      <c r="BP163" s="475">
        <f t="shared" si="74"/>
        <v>9.430311668588427</v>
      </c>
      <c r="BQ163" s="735">
        <f t="shared" si="120"/>
        <v>44.199991531739805</v>
      </c>
      <c r="BR163" s="473">
        <f t="shared" si="75"/>
        <v>23.72972972972973</v>
      </c>
      <c r="BS163" s="491">
        <f t="shared" si="76"/>
        <v>0.482607915091325</v>
      </c>
      <c r="BT163" s="475">
        <f>AbsFeuchte(BR163,BS163,$N$19)</f>
        <v>9.430311668588427</v>
      </c>
      <c r="BU163" s="576">
        <f>IF($I$21=0,IF(E$13=$S$10,BR163+$N$18,BR163),IF(E$13=$S$10,BR163+$N$18+#REF!,BR163+$I$21))</f>
        <v>23.72972972972973</v>
      </c>
      <c r="BV163" s="736">
        <f t="shared" si="121"/>
        <v>0.48260791509132511</v>
      </c>
      <c r="BW163" s="726">
        <f t="shared" si="78"/>
        <v>9.430311668588427</v>
      </c>
      <c r="BX163" s="475">
        <f t="shared" si="95"/>
        <v>0</v>
      </c>
      <c r="BY163" s="475">
        <f t="shared" si="96"/>
        <v>7.1054273576010019E-15</v>
      </c>
      <c r="BZ163" s="475">
        <f t="shared" si="79"/>
        <v>0</v>
      </c>
      <c r="CA163" s="475">
        <f t="shared" si="80"/>
        <v>0</v>
      </c>
      <c r="CB163" s="475">
        <f t="shared" si="27"/>
        <v>0</v>
      </c>
      <c r="CC163" s="475">
        <f t="shared" si="28"/>
        <v>0</v>
      </c>
      <c r="CD163" s="475">
        <f t="shared" si="29"/>
        <v>7.1054273576010019E-15</v>
      </c>
      <c r="CE163" s="621">
        <f t="shared" si="122"/>
        <v>0</v>
      </c>
      <c r="CF163" s="621">
        <f t="shared" si="123"/>
        <v>0</v>
      </c>
      <c r="CG163" s="621">
        <f t="shared" si="124"/>
        <v>1.4086865929980154E-15</v>
      </c>
      <c r="CH163" s="573">
        <f t="shared" si="125"/>
        <v>1.2678179336982139E-12</v>
      </c>
      <c r="CI163" s="621">
        <f t="shared" si="34"/>
        <v>9.2730316700576851E-16</v>
      </c>
      <c r="CJ163" s="621">
        <f t="shared" si="126"/>
        <v>0</v>
      </c>
      <c r="CK163" s="621">
        <f t="shared" si="127"/>
        <v>0</v>
      </c>
      <c r="CL163" s="737">
        <f t="shared" si="128"/>
        <v>0</v>
      </c>
      <c r="CM163" s="738">
        <f t="shared" si="38"/>
        <v>1.4086865929980154E-15</v>
      </c>
      <c r="CN163" s="475">
        <f t="shared" si="39"/>
        <v>0.60099235450803878</v>
      </c>
      <c r="CO163" s="475">
        <f t="shared" si="40"/>
        <v>0.60099235450803878</v>
      </c>
      <c r="CP163" s="475">
        <f t="shared" si="97"/>
        <v>20.135135135135137</v>
      </c>
      <c r="CQ163" s="475">
        <f t="shared" si="41"/>
        <v>20.135135135135137</v>
      </c>
      <c r="CR163" s="475">
        <f t="shared" si="42"/>
        <v>7.1054273576010019E-15</v>
      </c>
      <c r="CS163" s="475">
        <f t="shared" si="43"/>
        <v>0</v>
      </c>
      <c r="CT163" s="475">
        <f t="shared" si="129"/>
        <v>1.1152142857142857</v>
      </c>
      <c r="CU163" s="475">
        <f t="shared" si="45"/>
        <v>20.135135135135137</v>
      </c>
      <c r="CV163" s="475">
        <f t="shared" si="46"/>
        <v>20.135135135135137</v>
      </c>
      <c r="CW163" s="475">
        <f t="shared" si="98"/>
        <v>1.115214285714287</v>
      </c>
      <c r="CX163" s="573">
        <f t="shared" si="99"/>
        <v>0</v>
      </c>
      <c r="CY163" s="475">
        <f t="shared" si="102"/>
        <v>20.135135135135137</v>
      </c>
      <c r="CZ163" s="475">
        <f t="shared" si="100"/>
        <v>20.135135135135137</v>
      </c>
      <c r="DA163" s="475">
        <v>17</v>
      </c>
      <c r="DB163" s="739">
        <f t="shared" si="82"/>
        <v>0</v>
      </c>
      <c r="DC163" s="740">
        <f t="shared" si="130"/>
        <v>0</v>
      </c>
    </row>
    <row r="164" spans="1:107" s="619" customFormat="1" ht="12" customHeight="1">
      <c r="A164" s="732">
        <v>18</v>
      </c>
      <c r="B164" s="917">
        <f>Klimadaten!O48/8760*$K$68</f>
        <v>131.33561643835617</v>
      </c>
      <c r="C164" s="762">
        <f>Klimadaten!Q48</f>
        <v>9.5027843565118442</v>
      </c>
      <c r="D164" s="763">
        <f>Klimadaten!N48</f>
        <v>0.69183050847457617</v>
      </c>
      <c r="E164" s="491">
        <f t="shared" si="103"/>
        <v>0.48468178552298907</v>
      </c>
      <c r="F164" s="438">
        <f t="shared" si="49"/>
        <v>0</v>
      </c>
      <c r="G164" s="733">
        <f t="shared" si="104"/>
        <v>18</v>
      </c>
      <c r="H164" s="527">
        <f t="shared" si="50"/>
        <v>2.1081081081081088</v>
      </c>
      <c r="I164" s="733">
        <f t="shared" si="51"/>
        <v>22.627027027027026</v>
      </c>
      <c r="J164" s="473">
        <f t="shared" si="52"/>
        <v>20.108108108108109</v>
      </c>
      <c r="K164" s="491">
        <f t="shared" si="53"/>
        <v>0.36448598130841142</v>
      </c>
      <c r="L164" s="473">
        <f t="shared" si="54"/>
        <v>20.108108108108109</v>
      </c>
      <c r="M164" s="473">
        <f t="shared" si="105"/>
        <v>9.5027843565118442</v>
      </c>
      <c r="N164" s="473">
        <f t="shared" si="106"/>
        <v>44.356336511220718</v>
      </c>
      <c r="O164" s="473">
        <f t="shared" si="107"/>
        <v>44.356336511220718</v>
      </c>
      <c r="P164" s="734">
        <f t="shared" si="108"/>
        <v>0</v>
      </c>
      <c r="Q164" s="473">
        <f t="shared" si="85"/>
        <v>20.108108108108109</v>
      </c>
      <c r="R164" s="475">
        <f t="shared" si="101"/>
        <v>9.5027843565118442</v>
      </c>
      <c r="S164" s="473">
        <f t="shared" si="86"/>
        <v>44.356336511220718</v>
      </c>
      <c r="T164" s="473">
        <f t="shared" si="11"/>
        <v>20.108108108108109</v>
      </c>
      <c r="U164" s="473">
        <f t="shared" si="12"/>
        <v>20.108108108108109</v>
      </c>
      <c r="V164" s="734">
        <f t="shared" si="13"/>
        <v>0</v>
      </c>
      <c r="W164" s="473">
        <f t="shared" si="56"/>
        <v>20.108108108108109</v>
      </c>
      <c r="X164" s="475">
        <f t="shared" si="57"/>
        <v>9.5027843565118442</v>
      </c>
      <c r="Y164" s="735">
        <f t="shared" si="109"/>
        <v>44.356336511220718</v>
      </c>
      <c r="Z164" s="475">
        <f t="shared" si="59"/>
        <v>9</v>
      </c>
      <c r="AA164" s="475">
        <f>IF($E$36=$D$36,MIN(AbsFeuchte(Z164,100%,$N$19),R164),MIN(AbsFeuchte(Z164,100%,$N$19),X164))</f>
        <v>7.6169281356214986</v>
      </c>
      <c r="AB164" s="735">
        <f t="shared" si="110"/>
        <v>28.236014801061046</v>
      </c>
      <c r="AC164" s="475">
        <f t="shared" si="61"/>
        <v>9</v>
      </c>
      <c r="AD164" s="475">
        <v>42</v>
      </c>
      <c r="AE164" s="735">
        <f t="shared" si="111"/>
        <v>114.82428</v>
      </c>
      <c r="AF164" s="735">
        <f t="shared" si="63"/>
        <v>9</v>
      </c>
      <c r="AG164" s="735">
        <f t="shared" si="87"/>
        <v>5.8902200417292567</v>
      </c>
      <c r="AH164" s="475">
        <f t="shared" si="88"/>
        <v>20.108108108108109</v>
      </c>
      <c r="AI164" s="475">
        <f t="shared" si="64"/>
        <v>9.5027843565118459</v>
      </c>
      <c r="AJ164" s="735">
        <f t="shared" si="112"/>
        <v>44.356336511220718</v>
      </c>
      <c r="AK164" s="475">
        <f t="shared" si="66"/>
        <v>20.108108108108109</v>
      </c>
      <c r="AL164" s="475">
        <f t="shared" si="67"/>
        <v>9.5027843565118442</v>
      </c>
      <c r="AM164" s="735">
        <f t="shared" si="113"/>
        <v>44.356336511220718</v>
      </c>
      <c r="AN164" s="475">
        <f t="shared" si="89"/>
        <v>20.108108108108112</v>
      </c>
      <c r="AO164" s="475">
        <f t="shared" si="69"/>
        <v>9.5027843565118442</v>
      </c>
      <c r="AP164" s="735">
        <f t="shared" si="90"/>
        <v>44.356336511220718</v>
      </c>
      <c r="AQ164" s="475" t="e">
        <f t="shared" ca="1" si="114"/>
        <v>#NAME?</v>
      </c>
      <c r="AR164" s="475">
        <f t="shared" si="91"/>
        <v>9.5027843565118459</v>
      </c>
      <c r="AS164" s="735" t="e">
        <f t="shared" ca="1" si="115"/>
        <v>#VALUE!</v>
      </c>
      <c r="AT164" s="475">
        <f t="shared" si="92"/>
        <v>20.108108108108109</v>
      </c>
      <c r="AU164" s="475">
        <f t="shared" si="16"/>
        <v>9.5027843565118442</v>
      </c>
      <c r="AV164" s="735">
        <f t="shared" si="116"/>
        <v>44.356336511220718</v>
      </c>
      <c r="AW164" s="529">
        <f t="shared" si="70"/>
        <v>1</v>
      </c>
      <c r="AX164" s="735">
        <f t="shared" si="71"/>
        <v>1</v>
      </c>
      <c r="AY164" s="735">
        <f t="shared" si="18"/>
        <v>1</v>
      </c>
      <c r="AZ164" s="735">
        <f t="shared" si="72"/>
        <v>1</v>
      </c>
      <c r="BA164" s="735">
        <f t="shared" si="73"/>
        <v>1</v>
      </c>
      <c r="BB164" s="735">
        <f>IF($E$36=$D$36,IF(AW164=1,Fall1Tzul(AX164,AY164,BJ164,Q164),0),IF(AW164=1,Fall1Tzul(AX164,AY164,BJ164,W164),0))</f>
        <v>20.108108108108109</v>
      </c>
      <c r="BC164" s="735">
        <f>IF($E$36=$D$36,IF(AW164=1,Fall1xzul(AX164,AY164,BL164,R164),0),IF(AW164=1,Fall1xzul(AX164,AY164,BL164,X164),0))</f>
        <v>9.5027843565118459</v>
      </c>
      <c r="BD164" s="735">
        <f>IF($E$36=$D$36,IF(AW164=2,Fall2Tzul(AX164, AZ164, BJ164,Q164, Z164),0),IF(AW164=2,Fall2Tzul(AX164, AZ164, BJ164,W164, Z164),0))</f>
        <v>0</v>
      </c>
      <c r="BE164" s="735">
        <f>IF($E$36=$D$36,IF(AW164=2,Fall2xzul(AX164,AZ164,BL164,R164,AA164),0),IF(AW164=2,Fall2xzul(AX164,AZ164,BL164,X164,AA164),0))</f>
        <v>0</v>
      </c>
      <c r="BF164" s="735">
        <f t="shared" si="19"/>
        <v>0</v>
      </c>
      <c r="BG164" s="735">
        <f t="shared" si="20"/>
        <v>0</v>
      </c>
      <c r="BH164" s="735">
        <f t="shared" si="21"/>
        <v>0</v>
      </c>
      <c r="BI164" s="735">
        <f t="shared" si="22"/>
        <v>0</v>
      </c>
      <c r="BJ164" s="473">
        <f t="shared" si="93"/>
        <v>20.108108108108109</v>
      </c>
      <c r="BK164" s="491">
        <f t="shared" si="117"/>
        <v>0.6065551878008395</v>
      </c>
      <c r="BL164" s="475">
        <f>AbsFeuchte(BJ164,BK164,$N$19)</f>
        <v>9.5027843565118459</v>
      </c>
      <c r="BM164" s="735">
        <f t="shared" si="118"/>
        <v>44.356336511220718</v>
      </c>
      <c r="BN164" s="473">
        <f t="shared" si="94"/>
        <v>20.108108108108109</v>
      </c>
      <c r="BO164" s="491">
        <f t="shared" si="119"/>
        <v>0.60655518780083961</v>
      </c>
      <c r="BP164" s="475">
        <f t="shared" si="74"/>
        <v>9.5027843565118459</v>
      </c>
      <c r="BQ164" s="735">
        <f t="shared" si="120"/>
        <v>44.356336511220718</v>
      </c>
      <c r="BR164" s="473">
        <f t="shared" si="75"/>
        <v>23.783783783783782</v>
      </c>
      <c r="BS164" s="491">
        <f t="shared" si="76"/>
        <v>0.48468178552298907</v>
      </c>
      <c r="BT164" s="475">
        <f>AbsFeuchte(BR164,BS164,$N$19)</f>
        <v>9.5027843565118442</v>
      </c>
      <c r="BU164" s="576">
        <f>IF($I$21=0,IF(E$13=$S$10,BR164+$N$18,BR164),IF(E$13=$S$10,BR164+$N$18+#REF!,BR164+$I$21))</f>
        <v>23.783783783783782</v>
      </c>
      <c r="BV164" s="736">
        <f t="shared" si="121"/>
        <v>0.48468178552298907</v>
      </c>
      <c r="BW164" s="726">
        <f t="shared" si="78"/>
        <v>9.5027843565118442</v>
      </c>
      <c r="BX164" s="475">
        <f t="shared" si="95"/>
        <v>0</v>
      </c>
      <c r="BY164" s="475">
        <f t="shared" si="96"/>
        <v>0</v>
      </c>
      <c r="BZ164" s="475">
        <f t="shared" si="79"/>
        <v>0</v>
      </c>
      <c r="CA164" s="475">
        <f t="shared" si="80"/>
        <v>0</v>
      </c>
      <c r="CB164" s="475">
        <f t="shared" si="27"/>
        <v>0</v>
      </c>
      <c r="CC164" s="475">
        <f t="shared" si="28"/>
        <v>0</v>
      </c>
      <c r="CD164" s="475">
        <f t="shared" si="29"/>
        <v>0</v>
      </c>
      <c r="CE164" s="621">
        <f t="shared" si="122"/>
        <v>0</v>
      </c>
      <c r="CF164" s="621">
        <f t="shared" si="123"/>
        <v>0</v>
      </c>
      <c r="CG164" s="621">
        <f t="shared" si="124"/>
        <v>0</v>
      </c>
      <c r="CH164" s="573">
        <f t="shared" si="125"/>
        <v>1.0246747683314331E-12</v>
      </c>
      <c r="CI164" s="621">
        <f t="shared" si="34"/>
        <v>7.4946420347041565E-16</v>
      </c>
      <c r="CJ164" s="621">
        <f t="shared" si="126"/>
        <v>0</v>
      </c>
      <c r="CK164" s="621">
        <f t="shared" si="127"/>
        <v>0</v>
      </c>
      <c r="CL164" s="737">
        <f t="shared" si="128"/>
        <v>0</v>
      </c>
      <c r="CM164" s="738">
        <f t="shared" si="38"/>
        <v>0</v>
      </c>
      <c r="CN164" s="475">
        <f t="shared" si="39"/>
        <v>0.6065551878008395</v>
      </c>
      <c r="CO164" s="475">
        <f t="shared" si="40"/>
        <v>0.60655518780083961</v>
      </c>
      <c r="CP164" s="475">
        <f t="shared" si="97"/>
        <v>20.108108108108109</v>
      </c>
      <c r="CQ164" s="475">
        <f t="shared" si="41"/>
        <v>20.108108108108109</v>
      </c>
      <c r="CR164" s="475">
        <f t="shared" si="42"/>
        <v>0</v>
      </c>
      <c r="CS164" s="475">
        <f t="shared" si="43"/>
        <v>0</v>
      </c>
      <c r="CT164" s="475">
        <f t="shared" si="129"/>
        <v>0.90133757338551879</v>
      </c>
      <c r="CU164" s="475">
        <f t="shared" si="45"/>
        <v>20.108108108108109</v>
      </c>
      <c r="CV164" s="475">
        <f t="shared" si="46"/>
        <v>20.108108108108109</v>
      </c>
      <c r="CW164" s="475">
        <f t="shared" si="98"/>
        <v>0.90133757338551879</v>
      </c>
      <c r="CX164" s="573">
        <f t="shared" si="99"/>
        <v>0</v>
      </c>
      <c r="CY164" s="475">
        <f t="shared" si="102"/>
        <v>20.108108108108109</v>
      </c>
      <c r="CZ164" s="475">
        <f t="shared" si="100"/>
        <v>20.108108108108109</v>
      </c>
      <c r="DA164" s="475">
        <v>18</v>
      </c>
      <c r="DB164" s="739">
        <f t="shared" si="82"/>
        <v>0</v>
      </c>
      <c r="DC164" s="740">
        <f t="shared" si="130"/>
        <v>0</v>
      </c>
    </row>
    <row r="165" spans="1:107" s="619" customFormat="1" ht="12" customHeight="1">
      <c r="A165" s="732">
        <v>19</v>
      </c>
      <c r="B165" s="917">
        <f>Klimadaten!O49/8760*$K$68</f>
        <v>105.95890410958904</v>
      </c>
      <c r="C165" s="762">
        <f>Klimadaten!Q49</f>
        <v>9.7628006053948742</v>
      </c>
      <c r="D165" s="763">
        <f>Klimadaten!N49</f>
        <v>0.66731092436974793</v>
      </c>
      <c r="E165" s="491">
        <f t="shared" si="103"/>
        <v>0.49612295594934075</v>
      </c>
      <c r="F165" s="438">
        <f t="shared" si="49"/>
        <v>0</v>
      </c>
      <c r="G165" s="733">
        <f t="shared" si="104"/>
        <v>19</v>
      </c>
      <c r="H165" s="527">
        <f t="shared" si="50"/>
        <v>1.0810810810810807</v>
      </c>
      <c r="I165" s="733">
        <f t="shared" si="51"/>
        <v>22.870270270270272</v>
      </c>
      <c r="J165" s="473">
        <f t="shared" si="52"/>
        <v>20.081081081081081</v>
      </c>
      <c r="K165" s="491">
        <f t="shared" si="53"/>
        <v>0.22346368715083786</v>
      </c>
      <c r="L165" s="473">
        <f t="shared" si="54"/>
        <v>20.081081081081081</v>
      </c>
      <c r="M165" s="473">
        <f t="shared" si="105"/>
        <v>9.7628006053948742</v>
      </c>
      <c r="N165" s="473">
        <f t="shared" si="106"/>
        <v>44.988838080419157</v>
      </c>
      <c r="O165" s="473">
        <f t="shared" si="107"/>
        <v>44.988838080419157</v>
      </c>
      <c r="P165" s="734">
        <f t="shared" si="108"/>
        <v>0</v>
      </c>
      <c r="Q165" s="473">
        <f t="shared" si="85"/>
        <v>20.081081081081081</v>
      </c>
      <c r="R165" s="475">
        <f t="shared" si="101"/>
        <v>9.7628006053948742</v>
      </c>
      <c r="S165" s="473">
        <f t="shared" si="86"/>
        <v>44.988838080419157</v>
      </c>
      <c r="T165" s="473">
        <f t="shared" si="11"/>
        <v>20.081081081081081</v>
      </c>
      <c r="U165" s="473">
        <f t="shared" si="12"/>
        <v>20.081081081081081</v>
      </c>
      <c r="V165" s="734">
        <f t="shared" si="13"/>
        <v>0</v>
      </c>
      <c r="W165" s="473">
        <f t="shared" si="56"/>
        <v>20.081081081081081</v>
      </c>
      <c r="X165" s="475">
        <f t="shared" si="57"/>
        <v>9.7628006053948742</v>
      </c>
      <c r="Y165" s="735">
        <f t="shared" si="109"/>
        <v>44.988838080419157</v>
      </c>
      <c r="Z165" s="475">
        <f t="shared" si="59"/>
        <v>9</v>
      </c>
      <c r="AA165" s="475">
        <f>IF($E$36=$D$36,MIN(AbsFeuchte(Z165,100%,$N$19),R165),MIN(AbsFeuchte(Z165,100%,$N$19),X165))</f>
        <v>7.6169281356214986</v>
      </c>
      <c r="AB165" s="735">
        <f t="shared" si="110"/>
        <v>28.236014801061046</v>
      </c>
      <c r="AC165" s="475">
        <f t="shared" si="61"/>
        <v>9</v>
      </c>
      <c r="AD165" s="475">
        <v>43</v>
      </c>
      <c r="AE165" s="735">
        <f t="shared" si="111"/>
        <v>117.34261999999998</v>
      </c>
      <c r="AF165" s="735">
        <f t="shared" si="63"/>
        <v>9</v>
      </c>
      <c r="AG165" s="735">
        <f t="shared" si="87"/>
        <v>5.1639047693506912</v>
      </c>
      <c r="AH165" s="475">
        <f t="shared" si="88"/>
        <v>20.081081081081081</v>
      </c>
      <c r="AI165" s="475">
        <f t="shared" si="64"/>
        <v>9.7628006053948742</v>
      </c>
      <c r="AJ165" s="735">
        <f t="shared" si="112"/>
        <v>44.988838080419157</v>
      </c>
      <c r="AK165" s="475">
        <f t="shared" si="66"/>
        <v>20.081081081081081</v>
      </c>
      <c r="AL165" s="475">
        <f t="shared" si="67"/>
        <v>9.7628006053948742</v>
      </c>
      <c r="AM165" s="735">
        <f t="shared" si="113"/>
        <v>44.988838080419157</v>
      </c>
      <c r="AN165" s="475">
        <f t="shared" si="89"/>
        <v>20.081081081081084</v>
      </c>
      <c r="AO165" s="475">
        <f t="shared" si="69"/>
        <v>9.7628006053948742</v>
      </c>
      <c r="AP165" s="735">
        <f t="shared" si="90"/>
        <v>44.988838080419157</v>
      </c>
      <c r="AQ165" s="475" t="e">
        <f t="shared" ca="1" si="114"/>
        <v>#NAME?</v>
      </c>
      <c r="AR165" s="475">
        <f t="shared" si="91"/>
        <v>9.7628006053948742</v>
      </c>
      <c r="AS165" s="735" t="e">
        <f t="shared" ca="1" si="115"/>
        <v>#VALUE!</v>
      </c>
      <c r="AT165" s="475">
        <f t="shared" si="92"/>
        <v>20.081081081081081</v>
      </c>
      <c r="AU165" s="475">
        <f t="shared" si="16"/>
        <v>9.7628006053948742</v>
      </c>
      <c r="AV165" s="735">
        <f t="shared" si="116"/>
        <v>44.988838080419157</v>
      </c>
      <c r="AW165" s="529">
        <f t="shared" si="70"/>
        <v>1</v>
      </c>
      <c r="AX165" s="735">
        <f t="shared" si="71"/>
        <v>1</v>
      </c>
      <c r="AY165" s="735">
        <f t="shared" si="18"/>
        <v>1</v>
      </c>
      <c r="AZ165" s="735">
        <f t="shared" si="72"/>
        <v>1</v>
      </c>
      <c r="BA165" s="735">
        <f t="shared" si="73"/>
        <v>1</v>
      </c>
      <c r="BB165" s="735">
        <f>IF($E$36=$D$36,IF(AW165=1,Fall1Tzul(AX165,AY165,BJ165,Q165),0),IF(AW165=1,Fall1Tzul(AX165,AY165,BJ165,W165),0))</f>
        <v>20.081081081081081</v>
      </c>
      <c r="BC165" s="735">
        <f>IF($E$36=$D$36,IF(AW165=1,Fall1xzul(AX165,AY165,BL165,R165),0),IF(AW165=1,Fall1xzul(AX165,AY165,BL165,X165),0))</f>
        <v>9.7628006053948742</v>
      </c>
      <c r="BD165" s="735">
        <f>IF($E$36=$D$36,IF(AW165=2,Fall2Tzul(AX165, AZ165, BJ165,Q165, Z165),0),IF(AW165=2,Fall2Tzul(AX165, AZ165, BJ165,W165, Z165),0))</f>
        <v>0</v>
      </c>
      <c r="BE165" s="735">
        <f>IF($E$36=$D$36,IF(AW165=2,Fall2xzul(AX165,AZ165,BL165,R165,AA165),0),IF(AW165=2,Fall2xzul(AX165,AZ165,BL165,X165,AA165),0))</f>
        <v>0</v>
      </c>
      <c r="BF165" s="735">
        <f t="shared" si="19"/>
        <v>0</v>
      </c>
      <c r="BG165" s="735">
        <f t="shared" si="20"/>
        <v>0</v>
      </c>
      <c r="BH165" s="735">
        <f t="shared" si="21"/>
        <v>0</v>
      </c>
      <c r="BI165" s="735">
        <f t="shared" si="22"/>
        <v>0</v>
      </c>
      <c r="BJ165" s="473">
        <f t="shared" si="93"/>
        <v>20.081081081081081</v>
      </c>
      <c r="BK165" s="491">
        <f t="shared" si="117"/>
        <v>0.62393827539960567</v>
      </c>
      <c r="BL165" s="475">
        <f>AbsFeuchte(BJ165,BK165,$N$19)</f>
        <v>9.7628006053948742</v>
      </c>
      <c r="BM165" s="735">
        <f t="shared" si="118"/>
        <v>44.988838080419157</v>
      </c>
      <c r="BN165" s="473">
        <f t="shared" si="94"/>
        <v>20.081081081081081</v>
      </c>
      <c r="BO165" s="491">
        <f t="shared" si="119"/>
        <v>0.62393827539960567</v>
      </c>
      <c r="BP165" s="475">
        <f t="shared" si="74"/>
        <v>9.7628006053948742</v>
      </c>
      <c r="BQ165" s="735">
        <f t="shared" si="120"/>
        <v>44.988838080419157</v>
      </c>
      <c r="BR165" s="473">
        <f t="shared" si="75"/>
        <v>23.837837837837839</v>
      </c>
      <c r="BS165" s="491">
        <f t="shared" si="76"/>
        <v>0.49612295594934075</v>
      </c>
      <c r="BT165" s="475">
        <f>AbsFeuchte(BR165,BS165,$N$19)</f>
        <v>9.7628006053948742</v>
      </c>
      <c r="BU165" s="576">
        <f>IF($I$21=0,IF(E$13=$S$10,BR165+$N$18,BR165),IF(E$13=$S$10,BR165+$N$18+#REF!,BR165+$I$21))</f>
        <v>23.837837837837839</v>
      </c>
      <c r="BV165" s="736">
        <f t="shared" si="121"/>
        <v>0.49612295594934075</v>
      </c>
      <c r="BW165" s="726">
        <f t="shared" si="78"/>
        <v>9.7628006053948742</v>
      </c>
      <c r="BX165" s="475">
        <f t="shared" si="95"/>
        <v>0</v>
      </c>
      <c r="BY165" s="475">
        <f t="shared" si="96"/>
        <v>0</v>
      </c>
      <c r="BZ165" s="475">
        <f t="shared" si="79"/>
        <v>0</v>
      </c>
      <c r="CA165" s="475">
        <f t="shared" si="80"/>
        <v>0</v>
      </c>
      <c r="CB165" s="475">
        <f t="shared" si="27"/>
        <v>0</v>
      </c>
      <c r="CC165" s="475">
        <f t="shared" si="28"/>
        <v>0</v>
      </c>
      <c r="CD165" s="475">
        <f t="shared" si="29"/>
        <v>0</v>
      </c>
      <c r="CE165" s="621">
        <f t="shared" si="122"/>
        <v>0</v>
      </c>
      <c r="CF165" s="621">
        <f t="shared" si="123"/>
        <v>0</v>
      </c>
      <c r="CG165" s="621">
        <f t="shared" si="124"/>
        <v>0</v>
      </c>
      <c r="CH165" s="573">
        <f t="shared" si="125"/>
        <v>0</v>
      </c>
      <c r="CI165" s="621">
        <f t="shared" si="34"/>
        <v>0</v>
      </c>
      <c r="CJ165" s="621">
        <f t="shared" si="126"/>
        <v>0</v>
      </c>
      <c r="CK165" s="621">
        <f t="shared" si="127"/>
        <v>0</v>
      </c>
      <c r="CL165" s="737">
        <f t="shared" si="128"/>
        <v>0</v>
      </c>
      <c r="CM165" s="738">
        <f t="shared" si="38"/>
        <v>0</v>
      </c>
      <c r="CN165" s="475">
        <f t="shared" si="39"/>
        <v>0.62393827539960567</v>
      </c>
      <c r="CO165" s="475">
        <f t="shared" si="40"/>
        <v>0.62393827539960567</v>
      </c>
      <c r="CP165" s="475">
        <f t="shared" si="97"/>
        <v>20.081081081081081</v>
      </c>
      <c r="CQ165" s="475">
        <f t="shared" si="41"/>
        <v>20.081081081081081</v>
      </c>
      <c r="CR165" s="475">
        <f t="shared" si="42"/>
        <v>0</v>
      </c>
      <c r="CS165" s="475">
        <f t="shared" si="43"/>
        <v>0</v>
      </c>
      <c r="CT165" s="475">
        <f t="shared" si="129"/>
        <v>0.72718082191780831</v>
      </c>
      <c r="CU165" s="475">
        <f t="shared" si="45"/>
        <v>20.081081081081081</v>
      </c>
      <c r="CV165" s="475">
        <f t="shared" si="46"/>
        <v>20.081081081081081</v>
      </c>
      <c r="CW165" s="475">
        <f t="shared" si="98"/>
        <v>0.72718082191780831</v>
      </c>
      <c r="CX165" s="573">
        <f t="shared" si="99"/>
        <v>0</v>
      </c>
      <c r="CY165" s="475">
        <f t="shared" si="102"/>
        <v>20.081081081081081</v>
      </c>
      <c r="CZ165" s="475">
        <f t="shared" si="100"/>
        <v>20.081081081081081</v>
      </c>
      <c r="DA165" s="475">
        <v>19</v>
      </c>
      <c r="DB165" s="739">
        <f t="shared" si="82"/>
        <v>0</v>
      </c>
      <c r="DC165" s="740">
        <f t="shared" si="130"/>
        <v>0</v>
      </c>
    </row>
    <row r="166" spans="1:107" s="619" customFormat="1" ht="12" customHeight="1">
      <c r="A166" s="732">
        <v>20</v>
      </c>
      <c r="B166" s="917">
        <f>Klimadaten!O50/8760*$K$68</f>
        <v>83.69863013698631</v>
      </c>
      <c r="C166" s="762">
        <f>Klimadaten!Q50</f>
        <v>9.2164757653867841</v>
      </c>
      <c r="D166" s="763">
        <f>Klimadaten!N50</f>
        <v>0.59250000000000003</v>
      </c>
      <c r="E166" s="491">
        <f t="shared" si="103"/>
        <v>0.46724423894028211</v>
      </c>
      <c r="F166" s="438">
        <f t="shared" si="49"/>
        <v>0</v>
      </c>
      <c r="G166" s="733">
        <f t="shared" si="104"/>
        <v>20</v>
      </c>
      <c r="H166" s="527">
        <f t="shared" si="50"/>
        <v>5.4054054054052614E-2</v>
      </c>
      <c r="I166" s="733">
        <f t="shared" si="51"/>
        <v>23.113513513513514</v>
      </c>
      <c r="J166" s="473">
        <f t="shared" si="52"/>
        <v>20.054054054054053</v>
      </c>
      <c r="K166" s="491">
        <f t="shared" si="53"/>
        <v>1.388888888888852E-2</v>
      </c>
      <c r="L166" s="473">
        <f t="shared" si="54"/>
        <v>20.054054054054053</v>
      </c>
      <c r="M166" s="473">
        <f t="shared" si="105"/>
        <v>9.2164757653867841</v>
      </c>
      <c r="N166" s="473">
        <f t="shared" si="106"/>
        <v>43.574093680997677</v>
      </c>
      <c r="O166" s="473">
        <f t="shared" si="107"/>
        <v>43.574093680997677</v>
      </c>
      <c r="P166" s="734">
        <f t="shared" si="108"/>
        <v>0</v>
      </c>
      <c r="Q166" s="473">
        <f t="shared" si="85"/>
        <v>20.054054054054053</v>
      </c>
      <c r="R166" s="475">
        <f t="shared" si="101"/>
        <v>9.2164757653867841</v>
      </c>
      <c r="S166" s="473">
        <f t="shared" si="86"/>
        <v>43.574093680997677</v>
      </c>
      <c r="T166" s="473">
        <f t="shared" si="11"/>
        <v>20.054054054054053</v>
      </c>
      <c r="U166" s="473">
        <f t="shared" si="12"/>
        <v>20.054054054054053</v>
      </c>
      <c r="V166" s="734">
        <f t="shared" si="13"/>
        <v>0</v>
      </c>
      <c r="W166" s="473">
        <f t="shared" si="56"/>
        <v>20.054054054054053</v>
      </c>
      <c r="X166" s="475">
        <f t="shared" si="57"/>
        <v>9.2164757653867841</v>
      </c>
      <c r="Y166" s="735">
        <f t="shared" si="109"/>
        <v>43.574093680997677</v>
      </c>
      <c r="Z166" s="475">
        <f t="shared" si="59"/>
        <v>9</v>
      </c>
      <c r="AA166" s="475">
        <f>IF($E$36=$D$36,MIN(AbsFeuchte(Z166,100%,$N$19),R166),MIN(AbsFeuchte(Z166,100%,$N$19),X166))</f>
        <v>7.6169281356214986</v>
      </c>
      <c r="AB166" s="735">
        <f t="shared" si="110"/>
        <v>28.236014801061046</v>
      </c>
      <c r="AC166" s="475">
        <f t="shared" si="61"/>
        <v>9</v>
      </c>
      <c r="AD166" s="475">
        <v>44</v>
      </c>
      <c r="AE166" s="735">
        <f t="shared" si="111"/>
        <v>119.86095999999998</v>
      </c>
      <c r="AF166" s="735">
        <f t="shared" si="63"/>
        <v>9</v>
      </c>
      <c r="AG166" s="735">
        <f t="shared" si="87"/>
        <v>6.9107376662963782</v>
      </c>
      <c r="AH166" s="475">
        <f t="shared" si="88"/>
        <v>20.054054054054053</v>
      </c>
      <c r="AI166" s="475">
        <f t="shared" si="64"/>
        <v>9.2164757653867824</v>
      </c>
      <c r="AJ166" s="735">
        <f t="shared" si="112"/>
        <v>43.57409368099767</v>
      </c>
      <c r="AK166" s="475">
        <f t="shared" si="66"/>
        <v>20.054054054054053</v>
      </c>
      <c r="AL166" s="475">
        <f t="shared" si="67"/>
        <v>9.2164757653867841</v>
      </c>
      <c r="AM166" s="735">
        <f t="shared" si="113"/>
        <v>43.574093680997677</v>
      </c>
      <c r="AN166" s="475">
        <f t="shared" si="89"/>
        <v>20.054054054054049</v>
      </c>
      <c r="AO166" s="475">
        <f t="shared" si="69"/>
        <v>9.2164757653867841</v>
      </c>
      <c r="AP166" s="735">
        <f t="shared" si="90"/>
        <v>43.57409368099767</v>
      </c>
      <c r="AQ166" s="475" t="e">
        <f t="shared" ca="1" si="114"/>
        <v>#NAME?</v>
      </c>
      <c r="AR166" s="475">
        <f t="shared" si="91"/>
        <v>9.2164757653867824</v>
      </c>
      <c r="AS166" s="735" t="e">
        <f t="shared" ca="1" si="115"/>
        <v>#VALUE!</v>
      </c>
      <c r="AT166" s="475">
        <f t="shared" si="92"/>
        <v>20.054054054054053</v>
      </c>
      <c r="AU166" s="475">
        <f t="shared" si="16"/>
        <v>9.2164757653867841</v>
      </c>
      <c r="AV166" s="735">
        <f t="shared" si="116"/>
        <v>43.574093680997677</v>
      </c>
      <c r="AW166" s="529">
        <f t="shared" si="70"/>
        <v>1</v>
      </c>
      <c r="AX166" s="735">
        <f t="shared" si="71"/>
        <v>1</v>
      </c>
      <c r="AY166" s="735">
        <f t="shared" si="18"/>
        <v>1</v>
      </c>
      <c r="AZ166" s="735">
        <f t="shared" si="72"/>
        <v>1</v>
      </c>
      <c r="BA166" s="735">
        <f t="shared" si="73"/>
        <v>1</v>
      </c>
      <c r="BB166" s="735">
        <f>IF($E$36=$D$36,IF(AW166=1,Fall1Tzul(AX166,AY166,BJ166,Q166),0),IF(AW166=1,Fall1Tzul(AX166,AY166,BJ166,W166),0))</f>
        <v>20.054054054054053</v>
      </c>
      <c r="BC166" s="735">
        <f>IF($E$36=$D$36,IF(AW166=1,Fall1xzul(AX166,AY166,BL166,R166),0),IF(AW166=1,Fall1xzul(AX166,AY166,BL166,X166),0))</f>
        <v>9.2164757653867824</v>
      </c>
      <c r="BD166" s="735">
        <f>IF($E$36=$D$36,IF(AW166=2,Fall2Tzul(AX166, AZ166, BJ166,Q166, Z166),0),IF(AW166=2,Fall2Tzul(AX166, AZ166, BJ166,W166, Z166),0))</f>
        <v>0</v>
      </c>
      <c r="BE166" s="735">
        <f>IF($E$36=$D$36,IF(AW166=2,Fall2xzul(AX166,AZ166,BL166,R166,AA166),0),IF(AW166=2,Fall2xzul(AX166,AZ166,BL166,X166,AA166),0))</f>
        <v>0</v>
      </c>
      <c r="BF166" s="735">
        <f t="shared" si="19"/>
        <v>0</v>
      </c>
      <c r="BG166" s="735">
        <f t="shared" si="20"/>
        <v>0</v>
      </c>
      <c r="BH166" s="735">
        <f t="shared" si="21"/>
        <v>0</v>
      </c>
      <c r="BI166" s="735">
        <f t="shared" si="22"/>
        <v>0</v>
      </c>
      <c r="BJ166" s="473">
        <f t="shared" si="93"/>
        <v>20.054054054054053</v>
      </c>
      <c r="BK166" s="491">
        <f t="shared" si="117"/>
        <v>0.59051986516414146</v>
      </c>
      <c r="BL166" s="475">
        <f>AbsFeuchte(BJ166,BK166,$N$19)</f>
        <v>9.2164757653867824</v>
      </c>
      <c r="BM166" s="735">
        <f t="shared" si="118"/>
        <v>43.57409368099767</v>
      </c>
      <c r="BN166" s="473">
        <f t="shared" si="94"/>
        <v>20.054054054054053</v>
      </c>
      <c r="BO166" s="491">
        <f t="shared" si="119"/>
        <v>0.59051986516414134</v>
      </c>
      <c r="BP166" s="475">
        <f t="shared" si="74"/>
        <v>9.2164757653867824</v>
      </c>
      <c r="BQ166" s="735">
        <f t="shared" si="120"/>
        <v>43.57409368099767</v>
      </c>
      <c r="BR166" s="473">
        <f t="shared" si="75"/>
        <v>23.891891891891891</v>
      </c>
      <c r="BS166" s="491">
        <f t="shared" si="76"/>
        <v>0.46724423894028211</v>
      </c>
      <c r="BT166" s="475">
        <f>AbsFeuchte(BR166,BS166,$N$19)</f>
        <v>9.2164757653867841</v>
      </c>
      <c r="BU166" s="576">
        <f>IF($I$21=0,IF(E$13=$S$10,BR166+$N$18,BR166),IF(E$13=$S$10,BR166+$N$18+#REF!,BR166+$I$21))</f>
        <v>23.891891891891891</v>
      </c>
      <c r="BV166" s="736">
        <f t="shared" si="121"/>
        <v>0.46724423894028211</v>
      </c>
      <c r="BW166" s="726">
        <f t="shared" si="78"/>
        <v>9.2164757653867841</v>
      </c>
      <c r="BX166" s="475">
        <f t="shared" si="95"/>
        <v>0</v>
      </c>
      <c r="BY166" s="475">
        <f t="shared" si="96"/>
        <v>-7.1054273576010019E-15</v>
      </c>
      <c r="BZ166" s="475">
        <f t="shared" si="79"/>
        <v>0</v>
      </c>
      <c r="CA166" s="475">
        <f t="shared" si="80"/>
        <v>0</v>
      </c>
      <c r="CB166" s="475">
        <f t="shared" si="27"/>
        <v>0</v>
      </c>
      <c r="CC166" s="475">
        <f t="shared" si="28"/>
        <v>0</v>
      </c>
      <c r="CD166" s="475">
        <f t="shared" si="29"/>
        <v>-7.1054273576010019E-15</v>
      </c>
      <c r="CE166" s="621">
        <f t="shared" si="122"/>
        <v>0</v>
      </c>
      <c r="CF166" s="621">
        <f t="shared" si="123"/>
        <v>0</v>
      </c>
      <c r="CG166" s="621">
        <f t="shared" si="124"/>
        <v>-7.255700807770601E-16</v>
      </c>
      <c r="CH166" s="573">
        <f t="shared" si="125"/>
        <v>0</v>
      </c>
      <c r="CI166" s="621">
        <f t="shared" si="34"/>
        <v>0</v>
      </c>
      <c r="CJ166" s="621">
        <f t="shared" si="126"/>
        <v>0</v>
      </c>
      <c r="CK166" s="621">
        <f t="shared" si="127"/>
        <v>0</v>
      </c>
      <c r="CL166" s="737">
        <f t="shared" si="128"/>
        <v>6.5301307269935416E-13</v>
      </c>
      <c r="CM166" s="738">
        <f t="shared" si="38"/>
        <v>-7.255700807770601E-16</v>
      </c>
      <c r="CN166" s="475">
        <f t="shared" si="39"/>
        <v>0.59051986516414146</v>
      </c>
      <c r="CO166" s="475">
        <f t="shared" si="40"/>
        <v>0.59051986516414134</v>
      </c>
      <c r="CP166" s="475">
        <f t="shared" si="97"/>
        <v>20.054054054054053</v>
      </c>
      <c r="CQ166" s="475">
        <f t="shared" si="41"/>
        <v>20.054054054054053</v>
      </c>
      <c r="CR166" s="475">
        <f t="shared" si="42"/>
        <v>-7.1054273576010019E-15</v>
      </c>
      <c r="CS166" s="475">
        <f t="shared" si="43"/>
        <v>0</v>
      </c>
      <c r="CT166" s="475">
        <f t="shared" si="129"/>
        <v>0.57441174168297471</v>
      </c>
      <c r="CU166" s="475">
        <f t="shared" si="45"/>
        <v>20.054054054054053</v>
      </c>
      <c r="CV166" s="475">
        <f t="shared" si="46"/>
        <v>20.054054054054053</v>
      </c>
      <c r="CW166" s="475">
        <f t="shared" si="98"/>
        <v>0.57441174168297393</v>
      </c>
      <c r="CX166" s="573">
        <f t="shared" si="99"/>
        <v>-6.5301307269935416E-13</v>
      </c>
      <c r="CY166" s="475">
        <f t="shared" si="102"/>
        <v>20.054054054054053</v>
      </c>
      <c r="CZ166" s="475">
        <f t="shared" si="100"/>
        <v>20.054054054054053</v>
      </c>
      <c r="DA166" s="475">
        <v>20</v>
      </c>
      <c r="DB166" s="739">
        <f t="shared" si="82"/>
        <v>0</v>
      </c>
      <c r="DC166" s="740">
        <f t="shared" si="130"/>
        <v>0</v>
      </c>
    </row>
    <row r="167" spans="1:107" s="619" customFormat="1" ht="12" customHeight="1">
      <c r="A167" s="732">
        <v>21</v>
      </c>
      <c r="B167" s="917">
        <f>Klimadaten!O51/8760*$K$68</f>
        <v>65</v>
      </c>
      <c r="C167" s="762">
        <f>Klimadaten!Q51</f>
        <v>9.6458938619101211</v>
      </c>
      <c r="D167" s="763">
        <f>Klimadaten!N51</f>
        <v>0.58260273972602739</v>
      </c>
      <c r="E167" s="491">
        <f t="shared" si="103"/>
        <v>0.48709674078860565</v>
      </c>
      <c r="F167" s="438">
        <f t="shared" si="49"/>
        <v>0</v>
      </c>
      <c r="G167" s="733">
        <f t="shared" si="104"/>
        <v>21</v>
      </c>
      <c r="H167" s="527">
        <f t="shared" si="50"/>
        <v>-0.97297297297297192</v>
      </c>
      <c r="I167" s="733">
        <f t="shared" si="51"/>
        <v>23.356756756756759</v>
      </c>
      <c r="J167" s="473">
        <f t="shared" si="52"/>
        <v>20.027027027027028</v>
      </c>
      <c r="K167" s="491">
        <f t="shared" si="53"/>
        <v>0</v>
      </c>
      <c r="L167" s="473">
        <f t="shared" si="54"/>
        <v>21</v>
      </c>
      <c r="M167" s="473">
        <f t="shared" si="105"/>
        <v>9.6458938619101211</v>
      </c>
      <c r="N167" s="473">
        <f t="shared" si="106"/>
        <v>45.63293669920057</v>
      </c>
      <c r="O167" s="473">
        <f t="shared" si="107"/>
        <v>45.63293669920057</v>
      </c>
      <c r="P167" s="734">
        <f t="shared" si="108"/>
        <v>0</v>
      </c>
      <c r="Q167" s="473">
        <f t="shared" si="85"/>
        <v>21</v>
      </c>
      <c r="R167" s="475">
        <f t="shared" si="101"/>
        <v>9.6458938619101211</v>
      </c>
      <c r="S167" s="473">
        <f t="shared" si="86"/>
        <v>45.63293669920057</v>
      </c>
      <c r="T167" s="473">
        <f t="shared" si="11"/>
        <v>21</v>
      </c>
      <c r="U167" s="473">
        <f t="shared" si="12"/>
        <v>21</v>
      </c>
      <c r="V167" s="734">
        <f t="shared" si="13"/>
        <v>0</v>
      </c>
      <c r="W167" s="473">
        <f t="shared" si="56"/>
        <v>21</v>
      </c>
      <c r="X167" s="475">
        <f t="shared" si="57"/>
        <v>9.6458938619101211</v>
      </c>
      <c r="Y167" s="735">
        <f t="shared" si="109"/>
        <v>45.63293669920057</v>
      </c>
      <c r="Z167" s="475">
        <f t="shared" si="59"/>
        <v>9</v>
      </c>
      <c r="AA167" s="475">
        <f>IF($E$36=$D$36,MIN(AbsFeuchte(Z167,100%,$N$19),R167),MIN(AbsFeuchte(Z167,100%,$N$19),X167))</f>
        <v>7.6169281356214986</v>
      </c>
      <c r="AB167" s="735">
        <f t="shared" si="110"/>
        <v>28.236014801061046</v>
      </c>
      <c r="AC167" s="475">
        <f t="shared" si="61"/>
        <v>9</v>
      </c>
      <c r="AD167" s="475">
        <v>45</v>
      </c>
      <c r="AE167" s="735">
        <f t="shared" si="111"/>
        <v>122.37929999999999</v>
      </c>
      <c r="AF167" s="735">
        <f t="shared" si="63"/>
        <v>9</v>
      </c>
      <c r="AG167" s="735">
        <f t="shared" si="87"/>
        <v>5.9143433743212412</v>
      </c>
      <c r="AH167" s="475">
        <f t="shared" si="88"/>
        <v>21</v>
      </c>
      <c r="AI167" s="475">
        <f t="shared" si="64"/>
        <v>9.6458938619101193</v>
      </c>
      <c r="AJ167" s="735">
        <f t="shared" si="112"/>
        <v>45.632936699200563</v>
      </c>
      <c r="AK167" s="475">
        <f t="shared" si="66"/>
        <v>20.027027027027028</v>
      </c>
      <c r="AL167" s="475">
        <f t="shared" si="67"/>
        <v>9.4813831273461791</v>
      </c>
      <c r="AM167" s="735">
        <f t="shared" si="113"/>
        <v>44.219001304588019</v>
      </c>
      <c r="AN167" s="475">
        <f t="shared" si="89"/>
        <v>20.027027027027025</v>
      </c>
      <c r="AO167" s="475">
        <f t="shared" si="69"/>
        <v>9.6458938619101211</v>
      </c>
      <c r="AP167" s="735">
        <f t="shared" si="90"/>
        <v>44.636669427498035</v>
      </c>
      <c r="AQ167" s="475" t="e">
        <f t="shared" ca="1" si="114"/>
        <v>#NAME?</v>
      </c>
      <c r="AR167" s="475">
        <f t="shared" si="91"/>
        <v>9.6458938619101193</v>
      </c>
      <c r="AS167" s="735" t="e">
        <f t="shared" ca="1" si="115"/>
        <v>#VALUE!</v>
      </c>
      <c r="AT167" s="475">
        <f t="shared" si="92"/>
        <v>20.027027027027028</v>
      </c>
      <c r="AU167" s="475">
        <f t="shared" si="16"/>
        <v>9.6458938619101211</v>
      </c>
      <c r="AV167" s="735">
        <f t="shared" si="116"/>
        <v>44.636669427498042</v>
      </c>
      <c r="AW167" s="529">
        <f t="shared" si="70"/>
        <v>4</v>
      </c>
      <c r="AX167" s="735">
        <f t="shared" si="71"/>
        <v>1</v>
      </c>
      <c r="AY167" s="735">
        <f t="shared" si="18"/>
        <v>1</v>
      </c>
      <c r="AZ167" s="735">
        <f t="shared" si="72"/>
        <v>1</v>
      </c>
      <c r="BA167" s="735">
        <f t="shared" si="73"/>
        <v>1</v>
      </c>
      <c r="BB167" s="735">
        <f>IF($E$36=$D$36,IF(AW167=1,Fall1Tzul(AX167,AY167,BJ167,Q167),0),IF(AW167=1,Fall1Tzul(AX167,AY167,BJ167,W167),0))</f>
        <v>0</v>
      </c>
      <c r="BC167" s="735">
        <f>IF($E$36=$D$36,IF(AW167=1,Fall1xzul(AX167,AY167,BL167,R167),0),IF(AW167=1,Fall1xzul(AX167,AY167,BL167,X167),0))</f>
        <v>0</v>
      </c>
      <c r="BD167" s="735">
        <f>IF($E$36=$D$36,IF(AW167=2,Fall2Tzul(AX167, AZ167, BJ167,Q167, Z167),0),IF(AW167=2,Fall2Tzul(AX167, AZ167, BJ167,W167, Z167),0))</f>
        <v>0</v>
      </c>
      <c r="BE167" s="735">
        <f>IF($E$36=$D$36,IF(AW167=2,Fall2xzul(AX167,AZ167,BL167,R167,AA167),0),IF(AW167=2,Fall2xzul(AX167,AZ167,BL167,X167,AA167),0))</f>
        <v>0</v>
      </c>
      <c r="BF167" s="735">
        <f t="shared" si="19"/>
        <v>0</v>
      </c>
      <c r="BG167" s="735">
        <f t="shared" si="20"/>
        <v>0</v>
      </c>
      <c r="BH167" s="735">
        <f t="shared" si="21"/>
        <v>20.027027027027028</v>
      </c>
      <c r="BI167" s="735">
        <f t="shared" si="22"/>
        <v>9.6458938619101193</v>
      </c>
      <c r="BJ167" s="473">
        <f t="shared" si="93"/>
        <v>20.027027027027028</v>
      </c>
      <c r="BK167" s="491">
        <f t="shared" si="117"/>
        <v>0.61864798061354942</v>
      </c>
      <c r="BL167" s="475">
        <f>AbsFeuchte(BJ167,BK167,$N$19)</f>
        <v>9.6458938619101193</v>
      </c>
      <c r="BM167" s="735">
        <f t="shared" si="118"/>
        <v>44.636669427498035</v>
      </c>
      <c r="BN167" s="473">
        <f t="shared" si="94"/>
        <v>20.027027027027028</v>
      </c>
      <c r="BO167" s="491">
        <f t="shared" si="119"/>
        <v>0.61864798061354942</v>
      </c>
      <c r="BP167" s="475">
        <f t="shared" si="74"/>
        <v>9.6458938619101193</v>
      </c>
      <c r="BQ167" s="735">
        <f t="shared" si="120"/>
        <v>44.636669427498035</v>
      </c>
      <c r="BR167" s="473">
        <f t="shared" si="75"/>
        <v>23.945945945945947</v>
      </c>
      <c r="BS167" s="491">
        <f t="shared" si="76"/>
        <v>0.48709674078860565</v>
      </c>
      <c r="BT167" s="475">
        <f>AbsFeuchte(BR167,BS167,$N$19)</f>
        <v>9.6458938619101193</v>
      </c>
      <c r="BU167" s="576">
        <f>IF($I$21=0,IF(E$13=$S$10,BR167+$N$18,BR167),IF(E$13=$S$10,BR167+$N$18+#REF!,BR167+$I$21))</f>
        <v>23.945945945945947</v>
      </c>
      <c r="BV167" s="736">
        <f t="shared" si="121"/>
        <v>0.48709674078860565</v>
      </c>
      <c r="BW167" s="726">
        <f t="shared" si="78"/>
        <v>9.6458938619101193</v>
      </c>
      <c r="BX167" s="475">
        <f t="shared" si="95"/>
        <v>1.413935394612551</v>
      </c>
      <c r="BY167" s="475">
        <f t="shared" si="96"/>
        <v>-7.1054273576010019E-15</v>
      </c>
      <c r="BZ167" s="475">
        <f t="shared" si="79"/>
        <v>1.413935394612551</v>
      </c>
      <c r="CA167" s="475">
        <f>IF($E$36=$D$36,MAX(IF(BA167=1,IF(AW167=3,AM167-AJ167,IF(AW167=2,(IF(BP167=R167,0,S167-AB167-BZ167)),0)),0),0),MAX(IF(BA167=1,IF(AW167=3,AM167-AJ167,IF(AW167=2,(IF(BP167=X167,0,Y167-AB167-BZ167)),0)),0),0))</f>
        <v>0</v>
      </c>
      <c r="CB167" s="475">
        <f t="shared" si="27"/>
        <v>0</v>
      </c>
      <c r="CC167" s="475">
        <f t="shared" si="28"/>
        <v>0</v>
      </c>
      <c r="CD167" s="475">
        <f t="shared" si="29"/>
        <v>-7.1054273576010019E-15</v>
      </c>
      <c r="CE167" s="621">
        <f t="shared" si="122"/>
        <v>0</v>
      </c>
      <c r="CF167" s="621">
        <f t="shared" si="123"/>
        <v>0</v>
      </c>
      <c r="CG167" s="621">
        <f t="shared" si="124"/>
        <v>-5.6347463719920617E-16</v>
      </c>
      <c r="CH167" s="573">
        <f t="shared" si="125"/>
        <v>0</v>
      </c>
      <c r="CI167" s="621">
        <f t="shared" si="34"/>
        <v>0</v>
      </c>
      <c r="CJ167" s="621">
        <f t="shared" si="126"/>
        <v>0.1121279120037923</v>
      </c>
      <c r="CK167" s="621">
        <f t="shared" si="127"/>
        <v>0</v>
      </c>
      <c r="CL167" s="737">
        <f t="shared" si="128"/>
        <v>5.0712717347928556E-13</v>
      </c>
      <c r="CM167" s="738">
        <f t="shared" si="38"/>
        <v>-5.6347463719920617E-16</v>
      </c>
      <c r="CN167" s="475">
        <f t="shared" si="39"/>
        <v>0.61864798061354942</v>
      </c>
      <c r="CO167" s="475">
        <f t="shared" si="40"/>
        <v>0.61864798061354942</v>
      </c>
      <c r="CP167" s="475">
        <f t="shared" si="97"/>
        <v>21</v>
      </c>
      <c r="CQ167" s="475">
        <f t="shared" si="41"/>
        <v>21</v>
      </c>
      <c r="CR167" s="475">
        <f t="shared" si="42"/>
        <v>-7.1054273576010019E-15</v>
      </c>
      <c r="CS167" s="475">
        <f t="shared" si="43"/>
        <v>1.413935394612551</v>
      </c>
      <c r="CT167" s="475">
        <f t="shared" si="129"/>
        <v>0.44608571428571436</v>
      </c>
      <c r="CU167" s="475">
        <f t="shared" si="45"/>
        <v>20.027027027027028</v>
      </c>
      <c r="CV167" s="475">
        <f t="shared" si="46"/>
        <v>20.027027027027028</v>
      </c>
      <c r="CW167" s="475">
        <f t="shared" si="98"/>
        <v>0.5582136262895061</v>
      </c>
      <c r="CX167" s="573">
        <f t="shared" si="99"/>
        <v>-5.0712717347928556E-13</v>
      </c>
      <c r="CY167" s="475">
        <f t="shared" si="102"/>
        <v>20.027027027027028</v>
      </c>
      <c r="CZ167" s="475">
        <f t="shared" si="100"/>
        <v>20.027027027027028</v>
      </c>
      <c r="DA167" s="475">
        <v>21</v>
      </c>
      <c r="DB167" s="739">
        <f t="shared" si="82"/>
        <v>0</v>
      </c>
      <c r="DC167" s="740">
        <f t="shared" si="130"/>
        <v>0</v>
      </c>
    </row>
    <row r="168" spans="1:107" s="619" customFormat="1" ht="12" customHeight="1">
      <c r="A168" s="732">
        <v>22</v>
      </c>
      <c r="B168" s="917">
        <f>Klimadaten!O52/8760*$K$68</f>
        <v>59.657534246575345</v>
      </c>
      <c r="C168" s="762">
        <f>Klimadaten!Q52</f>
        <v>10.036723173953218</v>
      </c>
      <c r="D168" s="763">
        <f>Klimadaten!N52</f>
        <v>0.56985074626865673</v>
      </c>
      <c r="E168" s="491">
        <f t="shared" si="103"/>
        <v>0.50487709059335162</v>
      </c>
      <c r="F168" s="438">
        <f t="shared" si="49"/>
        <v>0</v>
      </c>
      <c r="G168" s="733">
        <f t="shared" si="104"/>
        <v>22</v>
      </c>
      <c r="H168" s="527">
        <f t="shared" si="50"/>
        <v>-2</v>
      </c>
      <c r="I168" s="733">
        <f t="shared" si="51"/>
        <v>23.6</v>
      </c>
      <c r="J168" s="473">
        <f t="shared" si="52"/>
        <v>20</v>
      </c>
      <c r="K168" s="491">
        <f t="shared" si="53"/>
        <v>0</v>
      </c>
      <c r="L168" s="473">
        <f t="shared" si="54"/>
        <v>22</v>
      </c>
      <c r="M168" s="473">
        <f t="shared" si="105"/>
        <v>10.036723173953218</v>
      </c>
      <c r="N168" s="473">
        <f t="shared" si="106"/>
        <v>47.65056940423954</v>
      </c>
      <c r="O168" s="473">
        <f t="shared" si="107"/>
        <v>47.65056940423954</v>
      </c>
      <c r="P168" s="734">
        <f t="shared" si="108"/>
        <v>0</v>
      </c>
      <c r="Q168" s="473">
        <f t="shared" si="85"/>
        <v>22</v>
      </c>
      <c r="R168" s="475">
        <f t="shared" si="101"/>
        <v>10.036723173953218</v>
      </c>
      <c r="S168" s="473">
        <f t="shared" si="86"/>
        <v>47.65056940423954</v>
      </c>
      <c r="T168" s="473">
        <f t="shared" si="11"/>
        <v>22</v>
      </c>
      <c r="U168" s="473">
        <f t="shared" si="12"/>
        <v>22</v>
      </c>
      <c r="V168" s="734">
        <f t="shared" si="13"/>
        <v>0</v>
      </c>
      <c r="W168" s="473">
        <f t="shared" si="56"/>
        <v>22</v>
      </c>
      <c r="X168" s="475">
        <f t="shared" si="57"/>
        <v>10.036723173953218</v>
      </c>
      <c r="Y168" s="735">
        <f t="shared" si="109"/>
        <v>47.65056940423954</v>
      </c>
      <c r="Z168" s="475">
        <f t="shared" si="59"/>
        <v>9</v>
      </c>
      <c r="AA168" s="475">
        <f>IF($E$36=$D$36,MIN(AbsFeuchte(Z168,100%,$N$19),R168),MIN(AbsFeuchte(Z168,100%,$N$19),X168))</f>
        <v>7.6169281356214986</v>
      </c>
      <c r="AB168" s="735">
        <f t="shared" si="110"/>
        <v>28.236014801061046</v>
      </c>
      <c r="AC168" s="475">
        <f t="shared" si="61"/>
        <v>9</v>
      </c>
      <c r="AD168" s="475">
        <v>46</v>
      </c>
      <c r="AE168" s="735">
        <f t="shared" si="111"/>
        <v>124.89763999999998</v>
      </c>
      <c r="AF168" s="735">
        <f t="shared" si="63"/>
        <v>9</v>
      </c>
      <c r="AG168" s="735">
        <f t="shared" si="87"/>
        <v>5.3723558376095335</v>
      </c>
      <c r="AH168" s="475">
        <f t="shared" si="88"/>
        <v>22</v>
      </c>
      <c r="AI168" s="475">
        <f t="shared" si="64"/>
        <v>10.03672317395322</v>
      </c>
      <c r="AJ168" s="735">
        <f t="shared" si="112"/>
        <v>47.650569404239548</v>
      </c>
      <c r="AK168" s="475">
        <f t="shared" si="66"/>
        <v>20</v>
      </c>
      <c r="AL168" s="475">
        <f t="shared" si="67"/>
        <v>9.6644470142098768</v>
      </c>
      <c r="AM168" s="735">
        <f t="shared" si="113"/>
        <v>44.656098079676035</v>
      </c>
      <c r="AN168" s="475">
        <f t="shared" si="89"/>
        <v>20</v>
      </c>
      <c r="AO168" s="475">
        <f t="shared" si="69"/>
        <v>10.036723173953218</v>
      </c>
      <c r="AP168" s="735">
        <f t="shared" si="90"/>
        <v>45.601232794032434</v>
      </c>
      <c r="AQ168" s="475" t="e">
        <f t="shared" ca="1" si="114"/>
        <v>#NAME?</v>
      </c>
      <c r="AR168" s="475">
        <f t="shared" si="91"/>
        <v>10.03672317395322</v>
      </c>
      <c r="AS168" s="735" t="e">
        <f t="shared" ca="1" si="115"/>
        <v>#VALUE!</v>
      </c>
      <c r="AT168" s="475">
        <f t="shared" si="92"/>
        <v>20</v>
      </c>
      <c r="AU168" s="475">
        <f t="shared" si="16"/>
        <v>10.036723173953218</v>
      </c>
      <c r="AV168" s="735">
        <f t="shared" si="116"/>
        <v>45.601232794032427</v>
      </c>
      <c r="AW168" s="529">
        <f t="shared" si="70"/>
        <v>4</v>
      </c>
      <c r="AX168" s="735">
        <f t="shared" si="71"/>
        <v>1</v>
      </c>
      <c r="AY168" s="735">
        <f t="shared" si="18"/>
        <v>1</v>
      </c>
      <c r="AZ168" s="735">
        <f t="shared" si="72"/>
        <v>1</v>
      </c>
      <c r="BA168" s="735">
        <f t="shared" si="73"/>
        <v>1</v>
      </c>
      <c r="BB168" s="735">
        <f>IF($E$36=$D$36,IF(AW168=1,Fall1Tzul(AX168,AY168,BJ168,Q168),0),IF(AW168=1,Fall1Tzul(AX168,AY168,BJ168,W168),0))</f>
        <v>0</v>
      </c>
      <c r="BC168" s="735">
        <f>IF($E$36=$D$36,IF(AW168=1,Fall1xzul(AX168,AY168,BL168,R168),0),IF(AW168=1,Fall1xzul(AX168,AY168,BL168,X168),0))</f>
        <v>0</v>
      </c>
      <c r="BD168" s="735">
        <f>IF($E$36=$D$36,IF(AW168=2,Fall2Tzul(AX168, AZ168, BJ168,Q168, Z168),0),IF(AW168=2,Fall2Tzul(AX168, AZ168, BJ168,W168, Z168),0))</f>
        <v>0</v>
      </c>
      <c r="BE168" s="735">
        <f>IF($E$36=$D$36,IF(AW168=2,Fall2xzul(AX168,AZ168,BL168,R168,AA168),0),IF(AW168=2,Fall2xzul(AX168,AZ168,BL168,X168,AA168),0))</f>
        <v>0</v>
      </c>
      <c r="BF168" s="735">
        <f t="shared" si="19"/>
        <v>0</v>
      </c>
      <c r="BG168" s="735">
        <f t="shared" si="20"/>
        <v>0</v>
      </c>
      <c r="BH168" s="735">
        <f t="shared" si="21"/>
        <v>20</v>
      </c>
      <c r="BI168" s="735">
        <f t="shared" si="22"/>
        <v>10.03672317395322</v>
      </c>
      <c r="BJ168" s="473">
        <f t="shared" si="93"/>
        <v>20</v>
      </c>
      <c r="BK168" s="491">
        <f t="shared" si="117"/>
        <v>0.64439391165118243</v>
      </c>
      <c r="BL168" s="475">
        <f>AbsFeuchte(BJ168,BK168,$N$19)</f>
        <v>10.03672317395322</v>
      </c>
      <c r="BM168" s="735">
        <f t="shared" si="118"/>
        <v>45.601232794032434</v>
      </c>
      <c r="BN168" s="473">
        <f t="shared" si="94"/>
        <v>20</v>
      </c>
      <c r="BO168" s="491">
        <f t="shared" si="119"/>
        <v>0.64439391165118254</v>
      </c>
      <c r="BP168" s="475">
        <f t="shared" si="74"/>
        <v>10.03672317395322</v>
      </c>
      <c r="BQ168" s="735">
        <f t="shared" si="120"/>
        <v>45.601232794032434</v>
      </c>
      <c r="BR168" s="473">
        <f t="shared" si="75"/>
        <v>24</v>
      </c>
      <c r="BS168" s="491">
        <f t="shared" si="76"/>
        <v>0.50487709059335162</v>
      </c>
      <c r="BT168" s="475">
        <f>AbsFeuchte(BR168,BS168,$N$19)</f>
        <v>10.036723173953218</v>
      </c>
      <c r="BU168" s="576">
        <f>IF($I$21=0,IF(E$13=$S$10,BR168+$N$18,BR168),IF(E$13=$S$10,BR168+$N$18+#REF!,BR168+$I$21))</f>
        <v>24</v>
      </c>
      <c r="BV168" s="736">
        <f t="shared" si="121"/>
        <v>0.50487709059335162</v>
      </c>
      <c r="BW168" s="726">
        <f t="shared" si="78"/>
        <v>10.036723173953218</v>
      </c>
      <c r="BX168" s="475">
        <f t="shared" si="95"/>
        <v>2.9944713245635057</v>
      </c>
      <c r="BY168" s="475">
        <f t="shared" si="96"/>
        <v>7.1054273576010019E-15</v>
      </c>
      <c r="BZ168" s="475">
        <f t="shared" si="79"/>
        <v>2.9944713245635057</v>
      </c>
      <c r="CA168" s="475">
        <f t="shared" si="80"/>
        <v>0</v>
      </c>
      <c r="CB168" s="475">
        <f t="shared" si="27"/>
        <v>0</v>
      </c>
      <c r="CC168" s="475">
        <f t="shared" si="28"/>
        <v>0</v>
      </c>
      <c r="CD168" s="475">
        <f t="shared" si="29"/>
        <v>7.1054273576010019E-15</v>
      </c>
      <c r="CE168" s="621">
        <f t="shared" si="122"/>
        <v>0</v>
      </c>
      <c r="CF168" s="621">
        <f t="shared" si="123"/>
        <v>0</v>
      </c>
      <c r="CG168" s="621">
        <f t="shared" si="124"/>
        <v>5.1716165331981936E-16</v>
      </c>
      <c r="CH168" s="573">
        <f t="shared" si="125"/>
        <v>4.6544548798783746E-13</v>
      </c>
      <c r="CI168" s="621">
        <f t="shared" si="34"/>
        <v>3.4043458733910413E-16</v>
      </c>
      <c r="CJ168" s="621">
        <f t="shared" si="126"/>
        <v>0.21794969719497817</v>
      </c>
      <c r="CK168" s="621">
        <f t="shared" si="127"/>
        <v>0</v>
      </c>
      <c r="CL168" s="737">
        <f t="shared" si="128"/>
        <v>0</v>
      </c>
      <c r="CM168" s="738">
        <f t="shared" si="38"/>
        <v>5.1716165331981936E-16</v>
      </c>
      <c r="CN168" s="475">
        <f t="shared" si="39"/>
        <v>0.64439391165118243</v>
      </c>
      <c r="CO168" s="475">
        <f t="shared" si="40"/>
        <v>0.64439391165118254</v>
      </c>
      <c r="CP168" s="475">
        <f t="shared" si="97"/>
        <v>22</v>
      </c>
      <c r="CQ168" s="475">
        <f t="shared" si="41"/>
        <v>22</v>
      </c>
      <c r="CR168" s="475">
        <f t="shared" si="42"/>
        <v>7.1054273576010019E-15</v>
      </c>
      <c r="CS168" s="475">
        <f t="shared" si="43"/>
        <v>2.9944713245635057</v>
      </c>
      <c r="CT168" s="475">
        <f t="shared" si="129"/>
        <v>0.40942113502935429</v>
      </c>
      <c r="CU168" s="475">
        <f t="shared" si="45"/>
        <v>20</v>
      </c>
      <c r="CV168" s="475">
        <f t="shared" si="46"/>
        <v>20</v>
      </c>
      <c r="CW168" s="475">
        <f t="shared" si="98"/>
        <v>0.62737083222433299</v>
      </c>
      <c r="CX168" s="573">
        <f t="shared" si="99"/>
        <v>0</v>
      </c>
      <c r="CY168" s="475">
        <f t="shared" si="102"/>
        <v>20</v>
      </c>
      <c r="CZ168" s="475">
        <f t="shared" si="100"/>
        <v>20</v>
      </c>
      <c r="DA168" s="475">
        <v>22</v>
      </c>
      <c r="DB168" s="739">
        <f t="shared" si="82"/>
        <v>0</v>
      </c>
      <c r="DC168" s="740">
        <f t="shared" si="130"/>
        <v>0</v>
      </c>
    </row>
    <row r="169" spans="1:107" s="619" customFormat="1" ht="12" customHeight="1">
      <c r="A169" s="732">
        <v>23</v>
      </c>
      <c r="B169" s="917">
        <f>Klimadaten!O53/8760*$K$68</f>
        <v>50.753424657534246</v>
      </c>
      <c r="C169" s="762">
        <f>Klimadaten!Q53</f>
        <v>10.455194597031547</v>
      </c>
      <c r="D169" s="763">
        <f>Klimadaten!N53</f>
        <v>0.55824561403508777</v>
      </c>
      <c r="E169" s="491">
        <f t="shared" si="103"/>
        <v>0.51005835336953576</v>
      </c>
      <c r="F169" s="438">
        <f t="shared" si="49"/>
        <v>0</v>
      </c>
      <c r="G169" s="733">
        <f t="shared" si="104"/>
        <v>23</v>
      </c>
      <c r="H169" s="527">
        <f t="shared" si="50"/>
        <v>-3</v>
      </c>
      <c r="I169" s="733">
        <f t="shared" si="51"/>
        <v>24.2</v>
      </c>
      <c r="J169" s="473">
        <f t="shared" si="52"/>
        <v>20</v>
      </c>
      <c r="K169" s="491">
        <f t="shared" si="53"/>
        <v>0</v>
      </c>
      <c r="L169" s="473">
        <f t="shared" si="54"/>
        <v>23</v>
      </c>
      <c r="M169" s="473">
        <f t="shared" si="105"/>
        <v>10.455194597031547</v>
      </c>
      <c r="N169" s="473">
        <f t="shared" si="106"/>
        <v>49.739988028795125</v>
      </c>
      <c r="O169" s="473">
        <f t="shared" si="107"/>
        <v>49.739988028795125</v>
      </c>
      <c r="P169" s="734">
        <f t="shared" si="108"/>
        <v>0</v>
      </c>
      <c r="Q169" s="473">
        <f t="shared" si="85"/>
        <v>23</v>
      </c>
      <c r="R169" s="475">
        <f t="shared" si="101"/>
        <v>10.455194597031547</v>
      </c>
      <c r="S169" s="473">
        <f t="shared" si="86"/>
        <v>49.739988028795125</v>
      </c>
      <c r="T169" s="473">
        <f t="shared" si="11"/>
        <v>23</v>
      </c>
      <c r="U169" s="473">
        <f t="shared" si="12"/>
        <v>23</v>
      </c>
      <c r="V169" s="734">
        <f t="shared" si="13"/>
        <v>0</v>
      </c>
      <c r="W169" s="473">
        <f t="shared" si="56"/>
        <v>23</v>
      </c>
      <c r="X169" s="475">
        <f t="shared" si="57"/>
        <v>10.455194597031547</v>
      </c>
      <c r="Y169" s="735">
        <f t="shared" si="109"/>
        <v>49.739988028795125</v>
      </c>
      <c r="Z169" s="475">
        <f t="shared" si="59"/>
        <v>9</v>
      </c>
      <c r="AA169" s="475">
        <f>IF($E$36=$D$36,MIN(AbsFeuchte(Z169,100%,$N$19),R169),MIN(AbsFeuchte(Z169,100%,$N$19),X169))</f>
        <v>7.6169281356214986</v>
      </c>
      <c r="AB169" s="735">
        <f t="shared" si="110"/>
        <v>28.236014801061046</v>
      </c>
      <c r="AC169" s="475">
        <f t="shared" si="61"/>
        <v>9</v>
      </c>
      <c r="AD169" s="475">
        <v>47</v>
      </c>
      <c r="AE169" s="735">
        <f t="shared" si="111"/>
        <v>127.41597999999999</v>
      </c>
      <c r="AF169" s="735">
        <f t="shared" si="63"/>
        <v>9</v>
      </c>
      <c r="AG169" s="735">
        <f t="shared" si="87"/>
        <v>4.9325883211982902</v>
      </c>
      <c r="AH169" s="475">
        <f t="shared" si="88"/>
        <v>23</v>
      </c>
      <c r="AI169" s="475">
        <f t="shared" si="64"/>
        <v>10.455194597031547</v>
      </c>
      <c r="AJ169" s="735">
        <f t="shared" si="112"/>
        <v>49.739988028795125</v>
      </c>
      <c r="AK169" s="475">
        <f t="shared" si="66"/>
        <v>20</v>
      </c>
      <c r="AL169" s="475">
        <f t="shared" si="67"/>
        <v>9.8469946410151081</v>
      </c>
      <c r="AM169" s="735">
        <f t="shared" si="113"/>
        <v>45.119549994609159</v>
      </c>
      <c r="AN169" s="475">
        <f t="shared" si="89"/>
        <v>20</v>
      </c>
      <c r="AO169" s="475">
        <f t="shared" si="69"/>
        <v>10.455194597031547</v>
      </c>
      <c r="AP169" s="735">
        <f t="shared" si="90"/>
        <v>46.663648042943692</v>
      </c>
      <c r="AQ169" s="475" t="e">
        <f t="shared" ca="1" si="114"/>
        <v>#NAME?</v>
      </c>
      <c r="AR169" s="475">
        <f t="shared" si="91"/>
        <v>10.455194597031547</v>
      </c>
      <c r="AS169" s="735" t="e">
        <f t="shared" ca="1" si="115"/>
        <v>#VALUE!</v>
      </c>
      <c r="AT169" s="475">
        <f>BN169</f>
        <v>20</v>
      </c>
      <c r="AU169" s="475">
        <f t="shared" si="16"/>
        <v>10.455194597031547</v>
      </c>
      <c r="AV169" s="735">
        <f t="shared" si="116"/>
        <v>46.663648042943692</v>
      </c>
      <c r="AW169" s="529">
        <f t="shared" si="70"/>
        <v>4</v>
      </c>
      <c r="AX169" s="735">
        <f t="shared" si="71"/>
        <v>1</v>
      </c>
      <c r="AY169" s="735">
        <f t="shared" si="18"/>
        <v>1</v>
      </c>
      <c r="AZ169" s="735">
        <f t="shared" si="72"/>
        <v>1</v>
      </c>
      <c r="BA169" s="735">
        <f t="shared" si="73"/>
        <v>1</v>
      </c>
      <c r="BB169" s="735">
        <f>IF($E$36=$D$36,IF(AW169=1,Fall1Tzul(AX169,AY169,BJ169,Q169),0),IF(AW169=1,Fall1Tzul(AX169,AY169,BJ169,W169),0))</f>
        <v>0</v>
      </c>
      <c r="BC169" s="735">
        <f>IF($E$36=$D$36,IF(AW169=1,Fall1xzul(AX169,AY169,BL169,R169),0),IF(AW169=1,Fall1xzul(AX169,AY169,BL169,X169),0))</f>
        <v>0</v>
      </c>
      <c r="BD169" s="735">
        <f>IF($E$36=$D$36,IF(AW169=2,Fall2Tzul(AX169, AZ169, BJ169,Q169, Z169),0),IF(AW169=2,Fall2Tzul(AX169, AZ169, BJ169,W169, Z169),0))</f>
        <v>0</v>
      </c>
      <c r="BE169" s="735">
        <f>IF($E$36=$D$36,IF(AW169=2,Fall2xzul(AX169,AZ169,BL169,R169,AA169),0),IF(AW169=2,Fall2xzul(AX169,AZ169,BL169,X169,AA169),0))</f>
        <v>0</v>
      </c>
      <c r="BF169" s="735">
        <f t="shared" si="19"/>
        <v>0</v>
      </c>
      <c r="BG169" s="735">
        <f t="shared" si="20"/>
        <v>0</v>
      </c>
      <c r="BH169" s="735">
        <f t="shared" si="21"/>
        <v>20</v>
      </c>
      <c r="BI169" s="735">
        <f t="shared" si="22"/>
        <v>10.455194597031547</v>
      </c>
      <c r="BJ169" s="473">
        <f t="shared" si="93"/>
        <v>20</v>
      </c>
      <c r="BK169" s="491">
        <f t="shared" si="117"/>
        <v>0.6708171419013691</v>
      </c>
      <c r="BL169" s="475">
        <f>AbsFeuchte(BJ169,BK169,$N$19)</f>
        <v>10.455194597031547</v>
      </c>
      <c r="BM169" s="735">
        <f t="shared" si="118"/>
        <v>46.663648042943692</v>
      </c>
      <c r="BN169" s="473">
        <f t="shared" si="94"/>
        <v>20</v>
      </c>
      <c r="BO169" s="491">
        <f t="shared" si="119"/>
        <v>0.6708171419013691</v>
      </c>
      <c r="BP169" s="475">
        <f t="shared" si="74"/>
        <v>10.455194597031547</v>
      </c>
      <c r="BQ169" s="735">
        <f t="shared" si="120"/>
        <v>46.663648042943692</v>
      </c>
      <c r="BR169" s="473">
        <f t="shared" si="75"/>
        <v>24.5</v>
      </c>
      <c r="BS169" s="491">
        <f t="shared" si="76"/>
        <v>0.51005835336953576</v>
      </c>
      <c r="BT169" s="475">
        <f>AbsFeuchte(BR169,BS169,$N$19)</f>
        <v>10.455194597031547</v>
      </c>
      <c r="BU169" s="576">
        <f>IF($I$21=0,IF(E$13=$S$10,BR169+$N$18,BR169),IF(E$13=$S$10,BR169+$N$18+#REF!,BR169+$I$21))</f>
        <v>24.5</v>
      </c>
      <c r="BV169" s="736">
        <f t="shared" si="121"/>
        <v>0.51005835336953576</v>
      </c>
      <c r="BW169" s="726">
        <f t="shared" si="78"/>
        <v>10.455194597031547</v>
      </c>
      <c r="BX169" s="475">
        <f t="shared" si="95"/>
        <v>4.6204380341859661</v>
      </c>
      <c r="BY169" s="475">
        <f t="shared" si="96"/>
        <v>0</v>
      </c>
      <c r="BZ169" s="475">
        <f t="shared" si="79"/>
        <v>4.6204380341859661</v>
      </c>
      <c r="CA169" s="475">
        <f t="shared" si="80"/>
        <v>0</v>
      </c>
      <c r="CB169" s="475">
        <f t="shared" si="27"/>
        <v>0</v>
      </c>
      <c r="CC169" s="475">
        <f t="shared" si="28"/>
        <v>0</v>
      </c>
      <c r="CD169" s="475">
        <f t="shared" si="29"/>
        <v>0</v>
      </c>
      <c r="CE169" s="621">
        <f t="shared" si="122"/>
        <v>0</v>
      </c>
      <c r="CF169" s="621">
        <f t="shared" si="123"/>
        <v>0</v>
      </c>
      <c r="CG169" s="621">
        <f t="shared" si="124"/>
        <v>0</v>
      </c>
      <c r="CH169" s="573">
        <f t="shared" si="125"/>
        <v>0</v>
      </c>
      <c r="CI169" s="621">
        <f t="shared" si="34"/>
        <v>0</v>
      </c>
      <c r="CJ169" s="621">
        <f t="shared" si="126"/>
        <v>0.28610095966408955</v>
      </c>
      <c r="CK169" s="621">
        <f t="shared" si="127"/>
        <v>0</v>
      </c>
      <c r="CL169" s="737">
        <f t="shared" si="128"/>
        <v>0</v>
      </c>
      <c r="CM169" s="738">
        <f t="shared" si="38"/>
        <v>0</v>
      </c>
      <c r="CN169" s="475">
        <f t="shared" si="39"/>
        <v>0.6708171419013691</v>
      </c>
      <c r="CO169" s="475">
        <f t="shared" si="40"/>
        <v>0.6708171419013691</v>
      </c>
      <c r="CP169" s="475">
        <f t="shared" si="97"/>
        <v>23</v>
      </c>
      <c r="CQ169" s="475">
        <f t="shared" si="41"/>
        <v>23</v>
      </c>
      <c r="CR169" s="475">
        <f t="shared" si="42"/>
        <v>0</v>
      </c>
      <c r="CS169" s="475">
        <f t="shared" si="43"/>
        <v>4.6204380341859661</v>
      </c>
      <c r="CT169" s="475">
        <f t="shared" si="129"/>
        <v>0.34831350293542079</v>
      </c>
      <c r="CU169" s="475">
        <f t="shared" si="45"/>
        <v>20</v>
      </c>
      <c r="CV169" s="475">
        <f t="shared" si="46"/>
        <v>20</v>
      </c>
      <c r="CW169" s="475">
        <f t="shared" si="98"/>
        <v>0.63441446259951029</v>
      </c>
      <c r="CX169" s="573">
        <f t="shared" si="99"/>
        <v>0</v>
      </c>
      <c r="CY169" s="475">
        <f t="shared" si="102"/>
        <v>20</v>
      </c>
      <c r="CZ169" s="475">
        <f t="shared" si="100"/>
        <v>20</v>
      </c>
      <c r="DA169" s="475">
        <v>23</v>
      </c>
      <c r="DB169" s="739">
        <f t="shared" si="82"/>
        <v>0</v>
      </c>
      <c r="DC169" s="740">
        <f t="shared" si="130"/>
        <v>0</v>
      </c>
    </row>
    <row r="170" spans="1:107" s="619" customFormat="1" ht="12" customHeight="1">
      <c r="A170" s="732">
        <v>24</v>
      </c>
      <c r="B170" s="917">
        <f>Klimadaten!O54/8760*$K$68</f>
        <v>45.856164383561641</v>
      </c>
      <c r="C170" s="762">
        <f>Klimadaten!Q54</f>
        <v>10.106875028410924</v>
      </c>
      <c r="D170" s="763">
        <f>Klimadaten!N54</f>
        <v>0.50834951456310673</v>
      </c>
      <c r="E170" s="491">
        <f t="shared" si="103"/>
        <v>0.47882297533369572</v>
      </c>
      <c r="F170" s="438">
        <f t="shared" si="49"/>
        <v>0</v>
      </c>
      <c r="G170" s="733">
        <f t="shared" si="104"/>
        <v>24</v>
      </c>
      <c r="H170" s="527">
        <f t="shared" si="50"/>
        <v>-4</v>
      </c>
      <c r="I170" s="733">
        <f t="shared" si="51"/>
        <v>24.8</v>
      </c>
      <c r="J170" s="473">
        <f t="shared" si="52"/>
        <v>20</v>
      </c>
      <c r="K170" s="491">
        <f t="shared" si="53"/>
        <v>0</v>
      </c>
      <c r="L170" s="473">
        <f t="shared" si="54"/>
        <v>24</v>
      </c>
      <c r="M170" s="473">
        <f t="shared" si="105"/>
        <v>10.106875028410924</v>
      </c>
      <c r="N170" s="473">
        <f t="shared" si="106"/>
        <v>49.878529472341029</v>
      </c>
      <c r="O170" s="473">
        <f t="shared" si="107"/>
        <v>49.878529472341029</v>
      </c>
      <c r="P170" s="734">
        <f t="shared" si="108"/>
        <v>0</v>
      </c>
      <c r="Q170" s="473">
        <f t="shared" si="85"/>
        <v>24</v>
      </c>
      <c r="R170" s="475">
        <f t="shared" si="101"/>
        <v>10.106875028410924</v>
      </c>
      <c r="S170" s="473">
        <f t="shared" si="86"/>
        <v>49.878529472341029</v>
      </c>
      <c r="T170" s="473">
        <f t="shared" si="11"/>
        <v>24</v>
      </c>
      <c r="U170" s="473">
        <f t="shared" si="12"/>
        <v>24</v>
      </c>
      <c r="V170" s="734">
        <f t="shared" si="13"/>
        <v>0</v>
      </c>
      <c r="W170" s="473">
        <f t="shared" si="56"/>
        <v>24</v>
      </c>
      <c r="X170" s="475">
        <f t="shared" si="57"/>
        <v>10.106875028410924</v>
      </c>
      <c r="Y170" s="735">
        <f t="shared" si="109"/>
        <v>49.878529472341029</v>
      </c>
      <c r="Z170" s="475">
        <f t="shared" si="59"/>
        <v>9</v>
      </c>
      <c r="AA170" s="475">
        <f>IF($E$36=$D$36,MIN(AbsFeuchte(Z170,100%,$N$19),R170),MIN(AbsFeuchte(Z170,100%,$N$19),X170))</f>
        <v>7.6169281356214986</v>
      </c>
      <c r="AB170" s="735">
        <f t="shared" si="110"/>
        <v>28.236014801061046</v>
      </c>
      <c r="AC170" s="475">
        <f t="shared" si="61"/>
        <v>9</v>
      </c>
      <c r="AD170" s="475">
        <v>48</v>
      </c>
      <c r="AE170" s="735">
        <f t="shared" si="111"/>
        <v>129.93431999999999</v>
      </c>
      <c r="AF170" s="735">
        <f t="shared" si="63"/>
        <v>9</v>
      </c>
      <c r="AG170" s="735">
        <f t="shared" si="87"/>
        <v>6.0242248713971067</v>
      </c>
      <c r="AH170" s="475">
        <f t="shared" si="88"/>
        <v>24</v>
      </c>
      <c r="AI170" s="475">
        <f t="shared" si="64"/>
        <v>10.106875028410922</v>
      </c>
      <c r="AJ170" s="735">
        <f t="shared" si="112"/>
        <v>49.878529472341022</v>
      </c>
      <c r="AK170" s="475">
        <f t="shared" si="66"/>
        <v>20</v>
      </c>
      <c r="AL170" s="475">
        <f t="shared" si="67"/>
        <v>9.4428891903337444</v>
      </c>
      <c r="AM170" s="735">
        <f t="shared" si="113"/>
        <v>44.09360707641931</v>
      </c>
      <c r="AN170" s="475">
        <f t="shared" si="89"/>
        <v>19.999999999999996</v>
      </c>
      <c r="AO170" s="475">
        <f t="shared" si="69"/>
        <v>10.106875028410924</v>
      </c>
      <c r="AP170" s="735">
        <f t="shared" si="90"/>
        <v>45.77933432212965</v>
      </c>
      <c r="AQ170" s="475" t="e">
        <f t="shared" ca="1" si="114"/>
        <v>#NAME?</v>
      </c>
      <c r="AR170" s="475">
        <f t="shared" si="91"/>
        <v>10.106875028410922</v>
      </c>
      <c r="AS170" s="735" t="e">
        <f t="shared" ca="1" si="115"/>
        <v>#VALUE!</v>
      </c>
      <c r="AT170" s="475">
        <f t="shared" si="92"/>
        <v>20</v>
      </c>
      <c r="AU170" s="475">
        <f t="shared" si="16"/>
        <v>10.106875028410924</v>
      </c>
      <c r="AV170" s="735">
        <f t="shared" si="116"/>
        <v>45.779334322129657</v>
      </c>
      <c r="AW170" s="529">
        <f t="shared" si="70"/>
        <v>4</v>
      </c>
      <c r="AX170" s="735">
        <f t="shared" si="71"/>
        <v>1</v>
      </c>
      <c r="AY170" s="735">
        <f t="shared" si="18"/>
        <v>1</v>
      </c>
      <c r="AZ170" s="735">
        <f t="shared" si="72"/>
        <v>1</v>
      </c>
      <c r="BA170" s="735">
        <f t="shared" si="73"/>
        <v>1</v>
      </c>
      <c r="BB170" s="735">
        <f>IF($E$36=$D$36,IF(AW170=1,Fall1Tzul(AX170,AY170,BJ170,Q170),0),IF(AW170=1,Fall1Tzul(AX170,AY170,BJ170,W170),0))</f>
        <v>0</v>
      </c>
      <c r="BC170" s="735">
        <f>IF($E$36=$D$36,IF(AW170=1,Fall1xzul(AX170,AY170,BL170,R170),0),IF(AW170=1,Fall1xzul(AX170,AY170,BL170,X170),0))</f>
        <v>0</v>
      </c>
      <c r="BD170" s="735">
        <f>IF($E$36=$D$36,IF(AW170=2,Fall2Tzul(AX170, AZ170, BJ170,Q170, Z170),0),IF(AW170=2,Fall2Tzul(AX170, AZ170, BJ170,W170, Z170),0))</f>
        <v>0</v>
      </c>
      <c r="BE170" s="735">
        <f>IF($E$36=$D$36,IF(AW170=2,Fall2xzul(AX170,AZ170,BL170,R170,AA170),0),IF(AW170=2,Fall2xzul(AX170,AZ170,BL170,X170,AA170),0))</f>
        <v>0</v>
      </c>
      <c r="BF170" s="735">
        <f t="shared" si="19"/>
        <v>0</v>
      </c>
      <c r="BG170" s="735">
        <f t="shared" si="20"/>
        <v>0</v>
      </c>
      <c r="BH170" s="735">
        <f t="shared" si="21"/>
        <v>20</v>
      </c>
      <c r="BI170" s="735">
        <f t="shared" si="22"/>
        <v>10.106875028410922</v>
      </c>
      <c r="BJ170" s="473">
        <f t="shared" si="93"/>
        <v>20</v>
      </c>
      <c r="BK170" s="491">
        <f t="shared" si="117"/>
        <v>0.64882589897338794</v>
      </c>
      <c r="BL170" s="475">
        <f>AbsFeuchte(BJ170,BK170,$N$19)</f>
        <v>10.106875028410922</v>
      </c>
      <c r="BM170" s="735">
        <f t="shared" si="118"/>
        <v>45.77933432212965</v>
      </c>
      <c r="BN170" s="473">
        <f t="shared" si="94"/>
        <v>20</v>
      </c>
      <c r="BO170" s="491">
        <f t="shared" si="119"/>
        <v>0.64882589897338794</v>
      </c>
      <c r="BP170" s="475">
        <f t="shared" si="74"/>
        <v>10.106875028410922</v>
      </c>
      <c r="BQ170" s="735">
        <f t="shared" si="120"/>
        <v>45.77933432212965</v>
      </c>
      <c r="BR170" s="473">
        <f t="shared" si="75"/>
        <v>25</v>
      </c>
      <c r="BS170" s="491">
        <f t="shared" si="76"/>
        <v>0.47882297533369572</v>
      </c>
      <c r="BT170" s="475">
        <f>AbsFeuchte(BR170,BS170,$N$19)</f>
        <v>10.106875028410922</v>
      </c>
      <c r="BU170" s="576">
        <f>IF($I$21=0,IF(E$13=$S$10,BR170+$N$18,BR170),IF(E$13=$S$10,BR170+$N$18+#REF!,BR170+$I$21))</f>
        <v>25</v>
      </c>
      <c r="BV170" s="736">
        <f t="shared" si="121"/>
        <v>0.47882297533369567</v>
      </c>
      <c r="BW170" s="726">
        <f t="shared" si="78"/>
        <v>10.106875028410922</v>
      </c>
      <c r="BX170" s="475">
        <f t="shared" si="95"/>
        <v>5.7849223959217184</v>
      </c>
      <c r="BY170" s="475">
        <f t="shared" si="96"/>
        <v>-7.1054273576010019E-15</v>
      </c>
      <c r="BZ170" s="475">
        <f t="shared" si="79"/>
        <v>5.7849223959217184</v>
      </c>
      <c r="CA170" s="475">
        <f t="shared" si="80"/>
        <v>0</v>
      </c>
      <c r="CB170" s="475">
        <f t="shared" si="27"/>
        <v>0</v>
      </c>
      <c r="CC170" s="475">
        <f t="shared" si="28"/>
        <v>0</v>
      </c>
      <c r="CD170" s="475">
        <f t="shared" si="29"/>
        <v>-7.1054273576010019E-15</v>
      </c>
      <c r="CE170" s="621">
        <f t="shared" si="122"/>
        <v>0</v>
      </c>
      <c r="CF170" s="621">
        <f t="shared" si="123"/>
        <v>0</v>
      </c>
      <c r="CG170" s="621">
        <f t="shared" si="124"/>
        <v>-3.9751977829807006E-16</v>
      </c>
      <c r="CH170" s="573">
        <f t="shared" si="125"/>
        <v>0</v>
      </c>
      <c r="CI170" s="621">
        <f t="shared" si="34"/>
        <v>0</v>
      </c>
      <c r="CJ170" s="621">
        <f t="shared" si="126"/>
        <v>0.32364289332130475</v>
      </c>
      <c r="CK170" s="621">
        <f t="shared" si="127"/>
        <v>0</v>
      </c>
      <c r="CL170" s="737">
        <f t="shared" si="128"/>
        <v>3.5776780046826303E-13</v>
      </c>
      <c r="CM170" s="738">
        <f t="shared" si="38"/>
        <v>-3.9751977829807006E-16</v>
      </c>
      <c r="CN170" s="475">
        <f t="shared" si="39"/>
        <v>0.64882589897338794</v>
      </c>
      <c r="CO170" s="475">
        <f t="shared" si="40"/>
        <v>0.64882589897338794</v>
      </c>
      <c r="CP170" s="475">
        <f t="shared" si="97"/>
        <v>24</v>
      </c>
      <c r="CQ170" s="475">
        <f t="shared" si="41"/>
        <v>24</v>
      </c>
      <c r="CR170" s="475">
        <f t="shared" si="42"/>
        <v>-7.1054273576010019E-15</v>
      </c>
      <c r="CS170" s="475">
        <f t="shared" si="43"/>
        <v>5.7849223959217184</v>
      </c>
      <c r="CT170" s="475">
        <f t="shared" si="129"/>
        <v>0.31470430528375737</v>
      </c>
      <c r="CU170" s="475">
        <f t="shared" si="45"/>
        <v>20</v>
      </c>
      <c r="CV170" s="475">
        <f t="shared" si="46"/>
        <v>20</v>
      </c>
      <c r="CW170" s="475">
        <f t="shared" si="98"/>
        <v>0.63834719860506173</v>
      </c>
      <c r="CX170" s="573">
        <f t="shared" si="99"/>
        <v>-3.5776780046826303E-13</v>
      </c>
      <c r="CY170" s="475">
        <f t="shared" si="102"/>
        <v>20</v>
      </c>
      <c r="CZ170" s="475">
        <f t="shared" si="100"/>
        <v>20</v>
      </c>
      <c r="DA170" s="475">
        <v>24</v>
      </c>
      <c r="DB170" s="739">
        <f t="shared" si="82"/>
        <v>0</v>
      </c>
      <c r="DC170" s="740">
        <f t="shared" si="130"/>
        <v>0</v>
      </c>
    </row>
    <row r="171" spans="1:107" s="619" customFormat="1" ht="12" customHeight="1">
      <c r="A171" s="732">
        <v>25</v>
      </c>
      <c r="B171" s="917">
        <f>Klimadaten!O55/8760*$K$68</f>
        <v>20.479452054794521</v>
      </c>
      <c r="C171" s="762">
        <f>Klimadaten!Q55</f>
        <v>10.654876344186441</v>
      </c>
      <c r="D171" s="763">
        <f>Klimadaten!N55</f>
        <v>0.5043478260869565</v>
      </c>
      <c r="E171" s="491">
        <f t="shared" si="103"/>
        <v>0.50434782608695661</v>
      </c>
      <c r="F171" s="438">
        <f t="shared" si="49"/>
        <v>0</v>
      </c>
      <c r="G171" s="733">
        <f t="shared" si="104"/>
        <v>25</v>
      </c>
      <c r="H171" s="527">
        <f t="shared" si="50"/>
        <v>-5</v>
      </c>
      <c r="I171" s="733">
        <f t="shared" si="51"/>
        <v>25</v>
      </c>
      <c r="J171" s="473">
        <f t="shared" si="52"/>
        <v>20</v>
      </c>
      <c r="K171" s="491">
        <f t="shared" si="53"/>
        <v>0</v>
      </c>
      <c r="L171" s="473">
        <f t="shared" si="54"/>
        <v>25</v>
      </c>
      <c r="M171" s="473">
        <f t="shared" si="105"/>
        <v>10.654876344186441</v>
      </c>
      <c r="N171" s="473">
        <f t="shared" si="106"/>
        <v>52.299690412621466</v>
      </c>
      <c r="O171" s="473">
        <f t="shared" si="107"/>
        <v>52.299690412621466</v>
      </c>
      <c r="P171" s="734">
        <f t="shared" si="108"/>
        <v>0</v>
      </c>
      <c r="Q171" s="473">
        <f t="shared" si="85"/>
        <v>25</v>
      </c>
      <c r="R171" s="475">
        <f t="shared" si="101"/>
        <v>10.654876344186441</v>
      </c>
      <c r="S171" s="473">
        <f t="shared" si="86"/>
        <v>52.299690412621466</v>
      </c>
      <c r="T171" s="473">
        <f t="shared" si="11"/>
        <v>25</v>
      </c>
      <c r="U171" s="473">
        <f t="shared" si="12"/>
        <v>25</v>
      </c>
      <c r="V171" s="734">
        <f t="shared" si="13"/>
        <v>0</v>
      </c>
      <c r="W171" s="473">
        <f t="shared" si="56"/>
        <v>25</v>
      </c>
      <c r="X171" s="475">
        <f t="shared" si="57"/>
        <v>10.654876344186441</v>
      </c>
      <c r="Y171" s="735">
        <f t="shared" si="109"/>
        <v>52.299690412621466</v>
      </c>
      <c r="Z171" s="475">
        <f t="shared" si="59"/>
        <v>9</v>
      </c>
      <c r="AA171" s="475">
        <f>IF($E$36=$D$36,MIN(AbsFeuchte(Z171,100%,$N$19),R171),MIN(AbsFeuchte(Z171,100%,$N$19),X171))</f>
        <v>7.6169281356214986</v>
      </c>
      <c r="AB171" s="735">
        <f t="shared" si="110"/>
        <v>28.236014801061046</v>
      </c>
      <c r="AC171" s="475">
        <f t="shared" si="61"/>
        <v>9</v>
      </c>
      <c r="AD171" s="475">
        <v>49</v>
      </c>
      <c r="AE171" s="735">
        <f t="shared" si="111"/>
        <v>132.45265999999998</v>
      </c>
      <c r="AF171" s="735">
        <f t="shared" si="63"/>
        <v>9</v>
      </c>
      <c r="AG171" s="735">
        <f t="shared" si="87"/>
        <v>5.2667125643850383</v>
      </c>
      <c r="AH171" s="475">
        <f t="shared" si="88"/>
        <v>25</v>
      </c>
      <c r="AI171" s="475">
        <f t="shared" si="64"/>
        <v>10.654876344186446</v>
      </c>
      <c r="AJ171" s="735">
        <f t="shared" si="112"/>
        <v>52.29969041262148</v>
      </c>
      <c r="AK171" s="475">
        <f t="shared" si="66"/>
        <v>20</v>
      </c>
      <c r="AL171" s="475">
        <f t="shared" si="67"/>
        <v>9.7055175290098958</v>
      </c>
      <c r="AM171" s="735">
        <f t="shared" si="113"/>
        <v>44.760367902650316</v>
      </c>
      <c r="AN171" s="475">
        <f t="shared" si="89"/>
        <v>20.000000000000014</v>
      </c>
      <c r="AO171" s="475">
        <f t="shared" si="69"/>
        <v>10.654876344186441</v>
      </c>
      <c r="AP171" s="735">
        <f t="shared" si="90"/>
        <v>47.170600062620551</v>
      </c>
      <c r="AQ171" s="475" t="e">
        <f t="shared" ca="1" si="114"/>
        <v>#NAME?</v>
      </c>
      <c r="AR171" s="475">
        <f t="shared" si="91"/>
        <v>10.654876344186446</v>
      </c>
      <c r="AS171" s="735" t="e">
        <f t="shared" ca="1" si="115"/>
        <v>#VALUE!</v>
      </c>
      <c r="AT171" s="475">
        <f t="shared" si="92"/>
        <v>20</v>
      </c>
      <c r="AU171" s="475">
        <f t="shared" si="16"/>
        <v>10.654876344186441</v>
      </c>
      <c r="AV171" s="735">
        <f t="shared" si="116"/>
        <v>47.170600062620537</v>
      </c>
      <c r="AW171" s="529">
        <f t="shared" si="70"/>
        <v>4</v>
      </c>
      <c r="AX171" s="735">
        <f t="shared" si="71"/>
        <v>1</v>
      </c>
      <c r="AY171" s="735">
        <f t="shared" si="18"/>
        <v>1</v>
      </c>
      <c r="AZ171" s="735">
        <f t="shared" si="72"/>
        <v>1</v>
      </c>
      <c r="BA171" s="735">
        <f t="shared" si="73"/>
        <v>1</v>
      </c>
      <c r="BB171" s="735">
        <f>IF($E$36=$D$36,IF(AW171=1,Fall1Tzul(AX171,AY171,BJ171,Q171),0),IF(AW171=1,Fall1Tzul(AX171,AY171,BJ171,W171),0))</f>
        <v>0</v>
      </c>
      <c r="BC171" s="735">
        <f>IF($E$36=$D$36,IF(AW171=1,Fall1xzul(AX171,AY171,BL171,R171),0),IF(AW171=1,Fall1xzul(AX171,AY171,BL171,X171),0))</f>
        <v>0</v>
      </c>
      <c r="BD171" s="735">
        <f>IF($E$36=$D$36,IF(AW171=2,Fall2Tzul(AX171, AZ171, BJ171,Q171, Z171),0),IF(AW171=2,Fall2Tzul(AX171, AZ171, BJ171,W171, Z171),0))</f>
        <v>0</v>
      </c>
      <c r="BE171" s="735">
        <f>IF($E$36=$D$36,IF(AW171=2,Fall2xzul(AX171,AZ171,BL171,R171,AA171),0),IF(AW171=2,Fall2xzul(AX171,AZ171,BL171,X171,AA171),0))</f>
        <v>0</v>
      </c>
      <c r="BF171" s="735">
        <f t="shared" si="19"/>
        <v>0</v>
      </c>
      <c r="BG171" s="735">
        <f t="shared" si="20"/>
        <v>0</v>
      </c>
      <c r="BH171" s="735">
        <f t="shared" si="21"/>
        <v>20</v>
      </c>
      <c r="BI171" s="735">
        <f t="shared" si="22"/>
        <v>10.654876344186446</v>
      </c>
      <c r="BJ171" s="473">
        <f t="shared" si="93"/>
        <v>20</v>
      </c>
      <c r="BK171" s="491">
        <f t="shared" si="117"/>
        <v>0.68341317880181418</v>
      </c>
      <c r="BL171" s="475">
        <f>AbsFeuchte(BJ171,BK171,$N$19)</f>
        <v>10.654876344186446</v>
      </c>
      <c r="BM171" s="735">
        <f t="shared" si="118"/>
        <v>47.170600062620551</v>
      </c>
      <c r="BN171" s="473">
        <f t="shared" si="94"/>
        <v>20</v>
      </c>
      <c r="BO171" s="491">
        <f t="shared" si="119"/>
        <v>0.68341317880181429</v>
      </c>
      <c r="BP171" s="475">
        <f t="shared" si="74"/>
        <v>10.654876344186446</v>
      </c>
      <c r="BQ171" s="735">
        <f t="shared" si="120"/>
        <v>47.170600062620551</v>
      </c>
      <c r="BR171" s="473">
        <f t="shared" si="75"/>
        <v>25</v>
      </c>
      <c r="BS171" s="491">
        <f t="shared" si="76"/>
        <v>0.50434782608695661</v>
      </c>
      <c r="BT171" s="475">
        <f>AbsFeuchte(BR171,BS171,$N$19)</f>
        <v>10.654876344186444</v>
      </c>
      <c r="BU171" s="576">
        <f>IF($I$21=0,IF(E$13=$S$10,BR171+$N$18,BR171),IF(E$13=$S$10,BR171+$N$18+#REF!,BR171+$I$21))</f>
        <v>25</v>
      </c>
      <c r="BV171" s="736">
        <f t="shared" si="121"/>
        <v>0.50434782608695672</v>
      </c>
      <c r="BW171" s="726">
        <f t="shared" si="78"/>
        <v>10.654876344186444</v>
      </c>
      <c r="BX171" s="475">
        <f t="shared" si="95"/>
        <v>7.5393225099711501</v>
      </c>
      <c r="BY171" s="475">
        <f t="shared" si="96"/>
        <v>1.4210854715202004E-14</v>
      </c>
      <c r="BZ171" s="475">
        <f t="shared" si="79"/>
        <v>7.5393225099711501</v>
      </c>
      <c r="CA171" s="475">
        <f t="shared" si="80"/>
        <v>0</v>
      </c>
      <c r="CB171" s="475">
        <f t="shared" si="27"/>
        <v>0</v>
      </c>
      <c r="CC171" s="475">
        <f t="shared" si="28"/>
        <v>0</v>
      </c>
      <c r="CD171" s="475">
        <f t="shared" si="29"/>
        <v>1.4210854715202004E-14</v>
      </c>
      <c r="CE171" s="621">
        <f t="shared" si="122"/>
        <v>0</v>
      </c>
      <c r="CF171" s="621">
        <f t="shared" si="123"/>
        <v>0</v>
      </c>
      <c r="CG171" s="621">
        <f t="shared" si="124"/>
        <v>3.5506620974196558E-16</v>
      </c>
      <c r="CH171" s="573">
        <f t="shared" si="125"/>
        <v>4.7933938315165349E-13</v>
      </c>
      <c r="CI171" s="621">
        <f t="shared" si="34"/>
        <v>3.505968138268386E-16</v>
      </c>
      <c r="CJ171" s="621">
        <f t="shared" si="126"/>
        <v>0.18837421965718032</v>
      </c>
      <c r="CK171" s="621">
        <f t="shared" si="127"/>
        <v>0</v>
      </c>
      <c r="CL171" s="737">
        <f t="shared" si="128"/>
        <v>0</v>
      </c>
      <c r="CM171" s="738">
        <f t="shared" si="38"/>
        <v>3.5506620974196558E-16</v>
      </c>
      <c r="CN171" s="475">
        <f t="shared" si="39"/>
        <v>0.68341317880181418</v>
      </c>
      <c r="CO171" s="475">
        <f t="shared" si="40"/>
        <v>0.68341317880181429</v>
      </c>
      <c r="CP171" s="475">
        <f t="shared" si="97"/>
        <v>25</v>
      </c>
      <c r="CQ171" s="475">
        <f t="shared" si="41"/>
        <v>25</v>
      </c>
      <c r="CR171" s="475">
        <f t="shared" si="42"/>
        <v>1.4210854715202004E-14</v>
      </c>
      <c r="CS171" s="475">
        <f t="shared" si="43"/>
        <v>7.5393225099711501</v>
      </c>
      <c r="CT171" s="475">
        <f t="shared" si="129"/>
        <v>0.14054755381604697</v>
      </c>
      <c r="CU171" s="475">
        <f t="shared" si="45"/>
        <v>20</v>
      </c>
      <c r="CV171" s="475">
        <f t="shared" si="46"/>
        <v>20</v>
      </c>
      <c r="CW171" s="475">
        <f t="shared" si="98"/>
        <v>0.32892177347322765</v>
      </c>
      <c r="CX171" s="573">
        <f t="shared" si="99"/>
        <v>0</v>
      </c>
      <c r="CY171" s="475">
        <f t="shared" si="102"/>
        <v>20</v>
      </c>
      <c r="CZ171" s="475">
        <f t="shared" si="100"/>
        <v>20</v>
      </c>
      <c r="DA171" s="475">
        <v>25</v>
      </c>
      <c r="DB171" s="739">
        <f t="shared" si="82"/>
        <v>0</v>
      </c>
      <c r="DC171" s="740">
        <f t="shared" si="130"/>
        <v>0</v>
      </c>
    </row>
    <row r="172" spans="1:107" s="619" customFormat="1" ht="12" customHeight="1">
      <c r="A172" s="732">
        <v>26</v>
      </c>
      <c r="B172" s="917">
        <f>Klimadaten!O56/8760*$K$68</f>
        <v>20.924657534246577</v>
      </c>
      <c r="C172" s="762">
        <f>Klimadaten!Q56</f>
        <v>10.588087791667846</v>
      </c>
      <c r="D172" s="763">
        <f>Klimadaten!N56</f>
        <v>0.47234042553191485</v>
      </c>
      <c r="E172" s="491">
        <f t="shared" si="103"/>
        <v>0.50123930980965026</v>
      </c>
      <c r="F172" s="438">
        <f t="shared" si="49"/>
        <v>1</v>
      </c>
      <c r="G172" s="733">
        <f t="shared" si="104"/>
        <v>26</v>
      </c>
      <c r="H172" s="527">
        <f t="shared" si="50"/>
        <v>-6</v>
      </c>
      <c r="I172" s="733">
        <f t="shared" si="51"/>
        <v>25.2</v>
      </c>
      <c r="J172" s="473">
        <f t="shared" si="52"/>
        <v>25.2</v>
      </c>
      <c r="K172" s="491">
        <f t="shared" si="53"/>
        <v>0.80000000000000071</v>
      </c>
      <c r="L172" s="473">
        <f t="shared" si="54"/>
        <v>25.2</v>
      </c>
      <c r="M172" s="473">
        <f t="shared" si="105"/>
        <v>10.588087791667846</v>
      </c>
      <c r="N172" s="473">
        <f t="shared" si="106"/>
        <v>52.334645270607332</v>
      </c>
      <c r="O172" s="473">
        <f t="shared" si="107"/>
        <v>52.334645270607332</v>
      </c>
      <c r="P172" s="734">
        <f t="shared" si="108"/>
        <v>0</v>
      </c>
      <c r="Q172" s="473">
        <f t="shared" si="85"/>
        <v>25.2</v>
      </c>
      <c r="R172" s="475">
        <f t="shared" si="101"/>
        <v>10.588087791667846</v>
      </c>
      <c r="S172" s="473">
        <f t="shared" si="86"/>
        <v>52.334645270607332</v>
      </c>
      <c r="T172" s="473">
        <f t="shared" si="11"/>
        <v>25.2</v>
      </c>
      <c r="U172" s="473">
        <f t="shared" si="12"/>
        <v>25.2</v>
      </c>
      <c r="V172" s="734">
        <f t="shared" si="13"/>
        <v>0</v>
      </c>
      <c r="W172" s="473">
        <f t="shared" si="56"/>
        <v>25.2</v>
      </c>
      <c r="X172" s="475">
        <f t="shared" si="57"/>
        <v>10.588087791667846</v>
      </c>
      <c r="Y172" s="735">
        <f t="shared" si="109"/>
        <v>52.334645270607332</v>
      </c>
      <c r="Z172" s="475">
        <f t="shared" si="59"/>
        <v>9</v>
      </c>
      <c r="AA172" s="475">
        <f>IF($E$36=$D$36,MIN(AbsFeuchte(Z172,100%,$N$19),R172),MIN(AbsFeuchte(Z172,100%,$N$19),X172))</f>
        <v>7.6169281356214986</v>
      </c>
      <c r="AB172" s="735">
        <f t="shared" si="110"/>
        <v>28.236014801061046</v>
      </c>
      <c r="AC172" s="475">
        <f t="shared" si="61"/>
        <v>9</v>
      </c>
      <c r="AD172" s="475">
        <v>50</v>
      </c>
      <c r="AE172" s="735">
        <f t="shared" si="111"/>
        <v>134.97099999999998</v>
      </c>
      <c r="AF172" s="735">
        <f t="shared" si="63"/>
        <v>9</v>
      </c>
      <c r="AG172" s="735">
        <f t="shared" si="87"/>
        <v>5.4524165226304131</v>
      </c>
      <c r="AH172" s="475">
        <f t="shared" si="88"/>
        <v>25.2</v>
      </c>
      <c r="AI172" s="475">
        <f t="shared" si="64"/>
        <v>10.588087791667846</v>
      </c>
      <c r="AJ172" s="735">
        <f t="shared" si="112"/>
        <v>52.334645270607332</v>
      </c>
      <c r="AK172" s="475">
        <f t="shared" si="66"/>
        <v>20</v>
      </c>
      <c r="AL172" s="475">
        <f t="shared" si="67"/>
        <v>9.6343822230603759</v>
      </c>
      <c r="AM172" s="735">
        <f t="shared" si="113"/>
        <v>44.57976958790568</v>
      </c>
      <c r="AN172" s="475">
        <f t="shared" si="89"/>
        <v>19.999999999999993</v>
      </c>
      <c r="AO172" s="475">
        <f t="shared" si="69"/>
        <v>10.588087791667846</v>
      </c>
      <c r="AP172" s="735">
        <f t="shared" si="90"/>
        <v>47.001037285486319</v>
      </c>
      <c r="AQ172" s="475" t="e">
        <f t="shared" ca="1" si="114"/>
        <v>#NAME?</v>
      </c>
      <c r="AR172" s="475">
        <f t="shared" si="91"/>
        <v>10.588087791667846</v>
      </c>
      <c r="AS172" s="735" t="e">
        <f t="shared" ca="1" si="115"/>
        <v>#VALUE!</v>
      </c>
      <c r="AT172" s="475">
        <f t="shared" si="92"/>
        <v>20</v>
      </c>
      <c r="AU172" s="475">
        <f t="shared" si="16"/>
        <v>10.588087791667846</v>
      </c>
      <c r="AV172" s="735">
        <f t="shared" si="116"/>
        <v>47.001037285486319</v>
      </c>
      <c r="AW172" s="529">
        <f t="shared" si="70"/>
        <v>4</v>
      </c>
      <c r="AX172" s="735">
        <f t="shared" si="71"/>
        <v>1</v>
      </c>
      <c r="AY172" s="735">
        <f t="shared" si="18"/>
        <v>1</v>
      </c>
      <c r="AZ172" s="735">
        <f t="shared" si="72"/>
        <v>1</v>
      </c>
      <c r="BA172" s="735">
        <f t="shared" si="73"/>
        <v>1</v>
      </c>
      <c r="BB172" s="735">
        <f>IF($E$36=$D$36,IF(AW172=1,Fall1Tzul(AX172,AY172,BJ172,Q172),0),IF(AW172=1,Fall1Tzul(AX172,AY172,BJ172,W172),0))</f>
        <v>0</v>
      </c>
      <c r="BC172" s="735">
        <f>IF($E$36=$D$36,IF(AW172=1,Fall1xzul(AX172,AY172,BL172,R172),0),IF(AW172=1,Fall1xzul(AX172,AY172,BL172,X172),0))</f>
        <v>0</v>
      </c>
      <c r="BD172" s="735">
        <f>IF($E$36=$D$36,IF(AW172=2,Fall2Tzul(AX172, AZ172, BJ172,Q172, Z172),0),IF(AW172=2,Fall2Tzul(AX172, AZ172, BJ172,W172, Z172),0))</f>
        <v>0</v>
      </c>
      <c r="BE172" s="735">
        <f>IF($E$36=$D$36,IF(AW172=2,Fall2xzul(AX172,AZ172,BL172,R172,AA172),0),IF(AW172=2,Fall2xzul(AX172,AZ172,BL172,X172,AA172),0))</f>
        <v>0</v>
      </c>
      <c r="BF172" s="735">
        <f t="shared" si="19"/>
        <v>0</v>
      </c>
      <c r="BG172" s="735">
        <f t="shared" si="20"/>
        <v>0</v>
      </c>
      <c r="BH172" s="735">
        <f t="shared" si="21"/>
        <v>20</v>
      </c>
      <c r="BI172" s="735">
        <f t="shared" si="22"/>
        <v>10.588087791667846</v>
      </c>
      <c r="BJ172" s="473">
        <f t="shared" si="93"/>
        <v>20</v>
      </c>
      <c r="BK172" s="491">
        <f t="shared" si="117"/>
        <v>0.67920100442423503</v>
      </c>
      <c r="BL172" s="475">
        <f>AbsFeuchte(BJ172,BK172,$N$19)</f>
        <v>10.588087791667846</v>
      </c>
      <c r="BM172" s="735">
        <f t="shared" si="118"/>
        <v>47.001037285486319</v>
      </c>
      <c r="BN172" s="473">
        <f t="shared" si="94"/>
        <v>20</v>
      </c>
      <c r="BO172" s="491">
        <f t="shared" si="119"/>
        <v>0.67920100442423503</v>
      </c>
      <c r="BP172" s="475">
        <f t="shared" si="74"/>
        <v>10.588087791667846</v>
      </c>
      <c r="BQ172" s="735">
        <f t="shared" si="120"/>
        <v>47.001037285486319</v>
      </c>
      <c r="BR172" s="473">
        <f t="shared" si="75"/>
        <v>25</v>
      </c>
      <c r="BS172" s="491">
        <f t="shared" si="76"/>
        <v>0.50123930980965026</v>
      </c>
      <c r="BT172" s="475">
        <f>AbsFeuchte(BR172,BS172,$N$19)</f>
        <v>10.588087791667846</v>
      </c>
      <c r="BU172" s="576">
        <f>IF($I$21=0,IF(E$13=$S$10,BR172+$N$18,BR172),IF(E$13=$S$10,BR172+$N$18+#REF!,BR172+$I$21))</f>
        <v>25</v>
      </c>
      <c r="BV172" s="736">
        <f t="shared" si="121"/>
        <v>0.50123930980965026</v>
      </c>
      <c r="BW172" s="726">
        <f t="shared" si="78"/>
        <v>10.588087791667846</v>
      </c>
      <c r="BX172" s="475">
        <f t="shared" si="95"/>
        <v>7.7548756827016518</v>
      </c>
      <c r="BY172" s="475">
        <f t="shared" si="96"/>
        <v>0</v>
      </c>
      <c r="BZ172" s="475">
        <f t="shared" si="79"/>
        <v>7.7548756827016518</v>
      </c>
      <c r="CA172" s="475">
        <f t="shared" si="80"/>
        <v>0</v>
      </c>
      <c r="CB172" s="475">
        <f t="shared" si="27"/>
        <v>0</v>
      </c>
      <c r="CC172" s="475">
        <f t="shared" si="28"/>
        <v>0</v>
      </c>
      <c r="CD172" s="475">
        <f t="shared" si="29"/>
        <v>0</v>
      </c>
      <c r="CE172" s="621">
        <f t="shared" si="122"/>
        <v>0</v>
      </c>
      <c r="CF172" s="621">
        <f t="shared" si="123"/>
        <v>0</v>
      </c>
      <c r="CG172" s="621">
        <f t="shared" si="124"/>
        <v>0</v>
      </c>
      <c r="CH172" s="573">
        <f t="shared" si="125"/>
        <v>0</v>
      </c>
      <c r="CI172" s="621">
        <f t="shared" si="34"/>
        <v>0</v>
      </c>
      <c r="CJ172" s="621">
        <f t="shared" si="126"/>
        <v>0.19797210964006096</v>
      </c>
      <c r="CK172" s="621">
        <f t="shared" si="127"/>
        <v>0</v>
      </c>
      <c r="CL172" s="737">
        <f t="shared" si="128"/>
        <v>0</v>
      </c>
      <c r="CM172" s="738">
        <f t="shared" si="38"/>
        <v>0</v>
      </c>
      <c r="CN172" s="475">
        <f t="shared" si="39"/>
        <v>0.67920100442423503</v>
      </c>
      <c r="CO172" s="475">
        <f t="shared" si="40"/>
        <v>0.67920100442423503</v>
      </c>
      <c r="CP172" s="475">
        <f t="shared" si="97"/>
        <v>25.2</v>
      </c>
      <c r="CQ172" s="475">
        <f t="shared" si="41"/>
        <v>25.2</v>
      </c>
      <c r="CR172" s="475">
        <f t="shared" si="42"/>
        <v>0</v>
      </c>
      <c r="CS172" s="475">
        <f t="shared" si="43"/>
        <v>7.7548756827016518</v>
      </c>
      <c r="CT172" s="475">
        <f t="shared" si="129"/>
        <v>0.14360293542074368</v>
      </c>
      <c r="CU172" s="475">
        <f t="shared" si="45"/>
        <v>20</v>
      </c>
      <c r="CV172" s="475">
        <f t="shared" si="46"/>
        <v>20</v>
      </c>
      <c r="CW172" s="475">
        <f t="shared" si="98"/>
        <v>0.34157504506080461</v>
      </c>
      <c r="CX172" s="573">
        <f t="shared" si="99"/>
        <v>0</v>
      </c>
      <c r="CY172" s="475">
        <f t="shared" si="102"/>
        <v>20</v>
      </c>
      <c r="CZ172" s="475">
        <f t="shared" si="100"/>
        <v>20</v>
      </c>
      <c r="DA172" s="475">
        <v>26</v>
      </c>
      <c r="DB172" s="739">
        <f t="shared" si="82"/>
        <v>0</v>
      </c>
      <c r="DC172" s="740">
        <f t="shared" si="130"/>
        <v>0</v>
      </c>
    </row>
    <row r="173" spans="1:107" s="619" customFormat="1" ht="12" customHeight="1">
      <c r="A173" s="732">
        <v>27</v>
      </c>
      <c r="B173" s="917">
        <f>Klimadaten!O57/8760*$K$68</f>
        <v>12.91095890410959</v>
      </c>
      <c r="C173" s="762">
        <f>Klimadaten!Q57</f>
        <v>10.526445754832219</v>
      </c>
      <c r="D173" s="763">
        <f>Klimadaten!N57</f>
        <v>0.44275862068965516</v>
      </c>
      <c r="E173" s="491">
        <f t="shared" si="103"/>
        <v>0.49836974348516733</v>
      </c>
      <c r="F173" s="438">
        <f t="shared" si="49"/>
        <v>1</v>
      </c>
      <c r="G173" s="733">
        <f t="shared" si="104"/>
        <v>27</v>
      </c>
      <c r="H173" s="527">
        <f t="shared" si="50"/>
        <v>-7</v>
      </c>
      <c r="I173" s="733">
        <f t="shared" si="51"/>
        <v>25.4</v>
      </c>
      <c r="J173" s="473">
        <f t="shared" si="52"/>
        <v>25.4</v>
      </c>
      <c r="K173" s="491">
        <f t="shared" si="53"/>
        <v>0.80000000000000071</v>
      </c>
      <c r="L173" s="473">
        <f t="shared" si="54"/>
        <v>25.4</v>
      </c>
      <c r="M173" s="473">
        <f t="shared" si="105"/>
        <v>10.526445754832219</v>
      </c>
      <c r="N173" s="473">
        <f t="shared" si="106"/>
        <v>52.382668103529568</v>
      </c>
      <c r="O173" s="473">
        <f t="shared" si="107"/>
        <v>52.382668103529568</v>
      </c>
      <c r="P173" s="734">
        <f t="shared" si="108"/>
        <v>0</v>
      </c>
      <c r="Q173" s="473">
        <f t="shared" si="85"/>
        <v>25.4</v>
      </c>
      <c r="R173" s="475">
        <f t="shared" si="101"/>
        <v>10.526445754832219</v>
      </c>
      <c r="S173" s="473">
        <f t="shared" si="86"/>
        <v>52.382668103529568</v>
      </c>
      <c r="T173" s="473">
        <f t="shared" si="11"/>
        <v>25.4</v>
      </c>
      <c r="U173" s="473">
        <f t="shared" si="12"/>
        <v>25.4</v>
      </c>
      <c r="V173" s="734">
        <f t="shared" si="13"/>
        <v>0</v>
      </c>
      <c r="W173" s="473">
        <f t="shared" si="56"/>
        <v>25.4</v>
      </c>
      <c r="X173" s="475">
        <f t="shared" si="57"/>
        <v>10.526445754832219</v>
      </c>
      <c r="Y173" s="735">
        <f t="shared" si="109"/>
        <v>52.382668103529568</v>
      </c>
      <c r="Z173" s="475">
        <f t="shared" si="59"/>
        <v>9</v>
      </c>
      <c r="AA173" s="475">
        <f>IF($E$36=$D$36,MIN(AbsFeuchte(Z173,100%,$N$19),R173),MIN(AbsFeuchte(Z173,100%,$N$19),X173))</f>
        <v>7.6169281356214986</v>
      </c>
      <c r="AB173" s="735">
        <f t="shared" si="110"/>
        <v>28.236014801061046</v>
      </c>
      <c r="AC173" s="475">
        <f t="shared" si="61"/>
        <v>9</v>
      </c>
      <c r="AD173" s="475">
        <v>51</v>
      </c>
      <c r="AE173" s="735">
        <f t="shared" si="111"/>
        <v>137.48933999999997</v>
      </c>
      <c r="AF173" s="735">
        <f t="shared" si="63"/>
        <v>9</v>
      </c>
      <c r="AG173" s="735">
        <f t="shared" si="87"/>
        <v>5.6366732037350271</v>
      </c>
      <c r="AH173" s="475">
        <f t="shared" si="88"/>
        <v>25.4</v>
      </c>
      <c r="AI173" s="475">
        <f t="shared" si="64"/>
        <v>10.526445754832219</v>
      </c>
      <c r="AJ173" s="735">
        <f t="shared" si="112"/>
        <v>52.382668103529568</v>
      </c>
      <c r="AK173" s="475">
        <f t="shared" si="66"/>
        <v>20</v>
      </c>
      <c r="AL173" s="475">
        <f t="shared" si="67"/>
        <v>9.5684338558238107</v>
      </c>
      <c r="AM173" s="735">
        <f t="shared" si="113"/>
        <v>44.412339873165493</v>
      </c>
      <c r="AN173" s="475">
        <f t="shared" si="89"/>
        <v>19.999999999999996</v>
      </c>
      <c r="AO173" s="475">
        <f t="shared" si="69"/>
        <v>10.526445754832219</v>
      </c>
      <c r="AP173" s="735">
        <f t="shared" si="90"/>
        <v>46.844540482368032</v>
      </c>
      <c r="AQ173" s="475" t="e">
        <f t="shared" ca="1" si="114"/>
        <v>#NAME?</v>
      </c>
      <c r="AR173" s="475">
        <f t="shared" si="91"/>
        <v>10.526445754832219</v>
      </c>
      <c r="AS173" s="735" t="e">
        <f t="shared" ca="1" si="115"/>
        <v>#VALUE!</v>
      </c>
      <c r="AT173" s="475">
        <f t="shared" si="92"/>
        <v>20</v>
      </c>
      <c r="AU173" s="475">
        <f t="shared" si="16"/>
        <v>10.526445754832219</v>
      </c>
      <c r="AV173" s="735">
        <f t="shared" si="116"/>
        <v>46.844540482368032</v>
      </c>
      <c r="AW173" s="529">
        <f t="shared" si="70"/>
        <v>4</v>
      </c>
      <c r="AX173" s="735">
        <f t="shared" si="71"/>
        <v>1</v>
      </c>
      <c r="AY173" s="735">
        <f t="shared" si="18"/>
        <v>1</v>
      </c>
      <c r="AZ173" s="735">
        <f t="shared" si="72"/>
        <v>1</v>
      </c>
      <c r="BA173" s="735">
        <f t="shared" si="73"/>
        <v>1</v>
      </c>
      <c r="BB173" s="735">
        <f>IF($E$36=$D$36,IF(AW173=1,Fall1Tzul(AX173,AY173,BJ173,Q173),0),IF(AW173=1,Fall1Tzul(AX173,AY173,BJ173,W173),0))</f>
        <v>0</v>
      </c>
      <c r="BC173" s="735">
        <f>IF($E$36=$D$36,IF(AW173=1,Fall1xzul(AX173,AY173,BL173,R173),0),IF(AW173=1,Fall1xzul(AX173,AY173,BL173,X173),0))</f>
        <v>0</v>
      </c>
      <c r="BD173" s="735">
        <f>IF($E$36=$D$36,IF(AW173=2,Fall2Tzul(AX173, AZ173, BJ173,Q173, Z173),0),IF(AW173=2,Fall2Tzul(AX173, AZ173, BJ173,W173, Z173),0))</f>
        <v>0</v>
      </c>
      <c r="BE173" s="735">
        <f>IF($E$36=$D$36,IF(AW173=2,Fall2xzul(AX173,AZ173,BL173,R173,AA173),0),IF(AW173=2,Fall2xzul(AX173,AZ173,BL173,X173,AA173),0))</f>
        <v>0</v>
      </c>
      <c r="BF173" s="735">
        <f t="shared" si="19"/>
        <v>0</v>
      </c>
      <c r="BG173" s="735">
        <f t="shared" si="20"/>
        <v>0</v>
      </c>
      <c r="BH173" s="735">
        <f t="shared" si="21"/>
        <v>20</v>
      </c>
      <c r="BI173" s="735">
        <f t="shared" si="22"/>
        <v>10.526445754832219</v>
      </c>
      <c r="BJ173" s="473">
        <f t="shared" si="93"/>
        <v>20</v>
      </c>
      <c r="BK173" s="491">
        <f t="shared" si="117"/>
        <v>0.67531261759641237</v>
      </c>
      <c r="BL173" s="475">
        <f>AbsFeuchte(BJ173,BK173,$N$19)</f>
        <v>10.526445754832219</v>
      </c>
      <c r="BM173" s="735">
        <f t="shared" si="118"/>
        <v>46.844540482368032</v>
      </c>
      <c r="BN173" s="473">
        <f t="shared" si="94"/>
        <v>20</v>
      </c>
      <c r="BO173" s="491">
        <f t="shared" si="119"/>
        <v>0.67531261759641237</v>
      </c>
      <c r="BP173" s="475">
        <f t="shared" si="74"/>
        <v>10.526445754832219</v>
      </c>
      <c r="BQ173" s="735">
        <f t="shared" si="120"/>
        <v>46.844540482368032</v>
      </c>
      <c r="BR173" s="473">
        <f t="shared" si="75"/>
        <v>25</v>
      </c>
      <c r="BS173" s="491">
        <f t="shared" si="76"/>
        <v>0.49836974348516733</v>
      </c>
      <c r="BT173" s="475">
        <f>AbsFeuchte(BR173,BS173,$N$19)</f>
        <v>10.526445754832219</v>
      </c>
      <c r="BU173" s="576">
        <f>IF($I$21=0,IF(E$13=$S$10,BR173+$N$18,BR173),IF(E$13=$S$10,BR173+$N$18+#REF!,BR173+$I$21))</f>
        <v>25</v>
      </c>
      <c r="BV173" s="736">
        <f t="shared" si="121"/>
        <v>0.49836974348516733</v>
      </c>
      <c r="BW173" s="726">
        <f t="shared" si="78"/>
        <v>10.526445754832219</v>
      </c>
      <c r="BX173" s="475">
        <f t="shared" si="95"/>
        <v>7.9703282303640748</v>
      </c>
      <c r="BY173" s="475">
        <f t="shared" si="96"/>
        <v>0</v>
      </c>
      <c r="BZ173" s="475">
        <f t="shared" si="79"/>
        <v>7.9703282303640748</v>
      </c>
      <c r="CA173" s="475">
        <f t="shared" si="80"/>
        <v>0</v>
      </c>
      <c r="CB173" s="475">
        <f t="shared" si="27"/>
        <v>0</v>
      </c>
      <c r="CC173" s="475">
        <f t="shared" si="28"/>
        <v>0</v>
      </c>
      <c r="CD173" s="475">
        <f t="shared" si="29"/>
        <v>0</v>
      </c>
      <c r="CE173" s="621">
        <f t="shared" si="122"/>
        <v>0</v>
      </c>
      <c r="CF173" s="621">
        <f t="shared" si="123"/>
        <v>0</v>
      </c>
      <c r="CG173" s="621">
        <f t="shared" si="124"/>
        <v>0</v>
      </c>
      <c r="CH173" s="573">
        <f t="shared" si="125"/>
        <v>0</v>
      </c>
      <c r="CI173" s="621">
        <f t="shared" si="34"/>
        <v>0</v>
      </c>
      <c r="CJ173" s="621">
        <f t="shared" si="126"/>
        <v>0.12554676239952622</v>
      </c>
      <c r="CK173" s="621">
        <f t="shared" si="127"/>
        <v>0</v>
      </c>
      <c r="CL173" s="737">
        <f t="shared" si="128"/>
        <v>0</v>
      </c>
      <c r="CM173" s="738">
        <f t="shared" si="38"/>
        <v>0</v>
      </c>
      <c r="CN173" s="475">
        <f t="shared" si="39"/>
        <v>0.67531261759641237</v>
      </c>
      <c r="CO173" s="475">
        <f t="shared" si="40"/>
        <v>0.67531261759641237</v>
      </c>
      <c r="CP173" s="475">
        <f t="shared" si="97"/>
        <v>25.4</v>
      </c>
      <c r="CQ173" s="475">
        <f t="shared" si="41"/>
        <v>25.4</v>
      </c>
      <c r="CR173" s="475">
        <f t="shared" si="42"/>
        <v>0</v>
      </c>
      <c r="CS173" s="475">
        <f t="shared" si="43"/>
        <v>7.9703282303640748</v>
      </c>
      <c r="CT173" s="475">
        <f t="shared" si="129"/>
        <v>8.8606066536203537E-2</v>
      </c>
      <c r="CU173" s="475">
        <f t="shared" si="45"/>
        <v>20</v>
      </c>
      <c r="CV173" s="475">
        <f t="shared" si="46"/>
        <v>20</v>
      </c>
      <c r="CW173" s="475">
        <f t="shared" si="98"/>
        <v>0.21415282893572976</v>
      </c>
      <c r="CX173" s="573">
        <f t="shared" si="99"/>
        <v>0</v>
      </c>
      <c r="CY173" s="475">
        <f t="shared" si="102"/>
        <v>20</v>
      </c>
      <c r="CZ173" s="475">
        <f t="shared" si="100"/>
        <v>20</v>
      </c>
      <c r="DA173" s="475">
        <v>27</v>
      </c>
      <c r="DB173" s="739">
        <f t="shared" si="82"/>
        <v>0</v>
      </c>
      <c r="DC173" s="740">
        <f t="shared" si="130"/>
        <v>0</v>
      </c>
    </row>
    <row r="174" spans="1:107" s="619" customFormat="1" ht="12" customHeight="1">
      <c r="A174" s="732">
        <v>28</v>
      </c>
      <c r="B174" s="917">
        <f>Klimadaten!O58/8760*$K$68</f>
        <v>10.684931506849315</v>
      </c>
      <c r="C174" s="762">
        <f>Klimadaten!Q58</f>
        <v>10.096823845730837</v>
      </c>
      <c r="D174" s="763">
        <f>Klimadaten!N58</f>
        <v>0.40083333333333337</v>
      </c>
      <c r="E174" s="491">
        <f t="shared" si="103"/>
        <v>0.47835439718926631</v>
      </c>
      <c r="F174" s="438">
        <f t="shared" si="49"/>
        <v>1</v>
      </c>
      <c r="G174" s="733">
        <f t="shared" si="104"/>
        <v>28</v>
      </c>
      <c r="H174" s="527">
        <f t="shared" si="50"/>
        <v>-8</v>
      </c>
      <c r="I174" s="733">
        <f t="shared" si="51"/>
        <v>25.6</v>
      </c>
      <c r="J174" s="473">
        <f t="shared" si="52"/>
        <v>25.6</v>
      </c>
      <c r="K174" s="491">
        <f t="shared" si="53"/>
        <v>0.79999999999999949</v>
      </c>
      <c r="L174" s="473">
        <f t="shared" si="54"/>
        <v>25.6</v>
      </c>
      <c r="M174" s="473">
        <f t="shared" si="105"/>
        <v>10.096823845730837</v>
      </c>
      <c r="N174" s="473">
        <f t="shared" si="106"/>
        <v>51.492584896718583</v>
      </c>
      <c r="O174" s="473">
        <f t="shared" si="107"/>
        <v>51.492584896718583</v>
      </c>
      <c r="P174" s="734">
        <f t="shared" si="108"/>
        <v>0</v>
      </c>
      <c r="Q174" s="473">
        <f t="shared" si="85"/>
        <v>25.6</v>
      </c>
      <c r="R174" s="475">
        <f t="shared" si="101"/>
        <v>10.096823845730837</v>
      </c>
      <c r="S174" s="473">
        <f t="shared" si="86"/>
        <v>51.492584896718583</v>
      </c>
      <c r="T174" s="473">
        <f t="shared" si="11"/>
        <v>25.6</v>
      </c>
      <c r="U174" s="473">
        <f t="shared" si="12"/>
        <v>25.6</v>
      </c>
      <c r="V174" s="734">
        <f t="shared" si="13"/>
        <v>0</v>
      </c>
      <c r="W174" s="473">
        <f t="shared" si="56"/>
        <v>25.6</v>
      </c>
      <c r="X174" s="475">
        <f t="shared" si="57"/>
        <v>10.096823845730837</v>
      </c>
      <c r="Y174" s="735">
        <f t="shared" si="109"/>
        <v>51.492584896718583</v>
      </c>
      <c r="Z174" s="475">
        <f t="shared" si="59"/>
        <v>9</v>
      </c>
      <c r="AA174" s="475">
        <f>IF($E$36=$D$36,MIN(AbsFeuchte(Z174,100%,$N$19),R174),MIN(AbsFeuchte(Z174,100%,$N$19),X174))</f>
        <v>7.6169281356214986</v>
      </c>
      <c r="AB174" s="735">
        <f t="shared" si="110"/>
        <v>28.236014801061046</v>
      </c>
      <c r="AC174" s="475">
        <f t="shared" si="61"/>
        <v>9</v>
      </c>
      <c r="AD174" s="475">
        <v>52</v>
      </c>
      <c r="AE174" s="735">
        <f t="shared" si="111"/>
        <v>140.00767999999999</v>
      </c>
      <c r="AF174" s="735">
        <f t="shared" si="63"/>
        <v>9</v>
      </c>
      <c r="AG174" s="735">
        <f t="shared" si="87"/>
        <v>6.6938298785427994</v>
      </c>
      <c r="AH174" s="475">
        <f t="shared" si="88"/>
        <v>25.6</v>
      </c>
      <c r="AI174" s="475">
        <f t="shared" si="64"/>
        <v>10.096823845730841</v>
      </c>
      <c r="AJ174" s="735">
        <f t="shared" si="112"/>
        <v>51.492584896718597</v>
      </c>
      <c r="AK174" s="475">
        <f t="shared" si="66"/>
        <v>20</v>
      </c>
      <c r="AL174" s="475">
        <f t="shared" si="67"/>
        <v>9.26023252183853</v>
      </c>
      <c r="AM174" s="735">
        <f t="shared" si="113"/>
        <v>43.629878326443659</v>
      </c>
      <c r="AN174" s="475">
        <f t="shared" si="89"/>
        <v>20.000000000000011</v>
      </c>
      <c r="AO174" s="475">
        <f t="shared" si="69"/>
        <v>10.096823845730837</v>
      </c>
      <c r="AP174" s="735">
        <f t="shared" si="90"/>
        <v>45.753816379541462</v>
      </c>
      <c r="AQ174" s="475" t="e">
        <f t="shared" ca="1" si="114"/>
        <v>#NAME?</v>
      </c>
      <c r="AR174" s="475">
        <f t="shared" si="91"/>
        <v>10.096823845730841</v>
      </c>
      <c r="AS174" s="735" t="e">
        <f t="shared" ca="1" si="115"/>
        <v>#VALUE!</v>
      </c>
      <c r="AT174" s="475">
        <f t="shared" si="92"/>
        <v>20</v>
      </c>
      <c r="AU174" s="475">
        <f t="shared" si="16"/>
        <v>10.096823845730837</v>
      </c>
      <c r="AV174" s="735">
        <f t="shared" si="116"/>
        <v>45.753816379541448</v>
      </c>
      <c r="AW174" s="529">
        <f t="shared" si="70"/>
        <v>4</v>
      </c>
      <c r="AX174" s="735">
        <f t="shared" si="71"/>
        <v>1</v>
      </c>
      <c r="AY174" s="735">
        <f t="shared" si="18"/>
        <v>1</v>
      </c>
      <c r="AZ174" s="735">
        <f t="shared" si="72"/>
        <v>1</v>
      </c>
      <c r="BA174" s="735">
        <f t="shared" si="73"/>
        <v>1</v>
      </c>
      <c r="BB174" s="735">
        <f>IF($E$36=$D$36,IF(AW174=1,Fall1Tzul(AX174,AY174,BJ174,Q174),0),IF(AW174=1,Fall1Tzul(AX174,AY174,BJ174,W174),0))</f>
        <v>0</v>
      </c>
      <c r="BC174" s="735">
        <f>IF($E$36=$D$36,IF(AW174=1,Fall1xzul(AX174,AY174,BL174,R174),0),IF(AW174=1,Fall1xzul(AX174,AY174,BL174,X174),0))</f>
        <v>0</v>
      </c>
      <c r="BD174" s="735">
        <f>IF($E$36=$D$36,IF(AW174=2,Fall2Tzul(AX174, AZ174, BJ174,Q174, Z174),0),IF(AW174=2,Fall2Tzul(AX174, AZ174, BJ174,W174, Z174),0))</f>
        <v>0</v>
      </c>
      <c r="BE174" s="735">
        <f>IF($E$36=$D$36,IF(AW174=2,Fall2xzul(AX174,AZ174,BL174,R174,AA174),0),IF(AW174=2,Fall2xzul(AX174,AZ174,BL174,X174,AA174),0))</f>
        <v>0</v>
      </c>
      <c r="BF174" s="735">
        <f t="shared" si="19"/>
        <v>0</v>
      </c>
      <c r="BG174" s="735">
        <f t="shared" si="20"/>
        <v>0</v>
      </c>
      <c r="BH174" s="735">
        <f t="shared" si="21"/>
        <v>20</v>
      </c>
      <c r="BI174" s="735">
        <f t="shared" si="22"/>
        <v>10.096823845730841</v>
      </c>
      <c r="BJ174" s="473">
        <f t="shared" si="93"/>
        <v>20</v>
      </c>
      <c r="BK174" s="491">
        <f t="shared" si="117"/>
        <v>0.64819095526462633</v>
      </c>
      <c r="BL174" s="475">
        <f>AbsFeuchte(BJ174,BK174,$N$19)</f>
        <v>10.096823845730841</v>
      </c>
      <c r="BM174" s="735">
        <f t="shared" si="118"/>
        <v>45.753816379541462</v>
      </c>
      <c r="BN174" s="473">
        <f t="shared" si="94"/>
        <v>20</v>
      </c>
      <c r="BO174" s="491">
        <f t="shared" si="119"/>
        <v>0.64819095526462644</v>
      </c>
      <c r="BP174" s="475">
        <f t="shared" si="74"/>
        <v>10.096823845730841</v>
      </c>
      <c r="BQ174" s="735">
        <f t="shared" si="120"/>
        <v>45.753816379541462</v>
      </c>
      <c r="BR174" s="473">
        <f t="shared" si="75"/>
        <v>25</v>
      </c>
      <c r="BS174" s="491">
        <f t="shared" si="76"/>
        <v>0.47835439718926631</v>
      </c>
      <c r="BT174" s="475">
        <f>AbsFeuchte(BR174,BS174,$N$19)</f>
        <v>10.096823845730839</v>
      </c>
      <c r="BU174" s="576">
        <f>IF($I$21=0,IF(E$13=$S$10,BR174+$N$18,BR174),IF(E$13=$S$10,BR174+$N$18+#REF!,BR174+$I$21))</f>
        <v>25</v>
      </c>
      <c r="BV174" s="736">
        <f t="shared" si="121"/>
        <v>0.47835439718926637</v>
      </c>
      <c r="BW174" s="726">
        <f t="shared" si="78"/>
        <v>10.096823845730839</v>
      </c>
      <c r="BX174" s="475">
        <f t="shared" si="95"/>
        <v>7.8627065702749235</v>
      </c>
      <c r="BY174" s="475">
        <f t="shared" si="96"/>
        <v>1.4210854715202004E-14</v>
      </c>
      <c r="BZ174" s="475">
        <f t="shared" si="79"/>
        <v>7.8627065702749235</v>
      </c>
      <c r="CA174" s="475">
        <f t="shared" si="80"/>
        <v>0</v>
      </c>
      <c r="CB174" s="475">
        <f t="shared" si="27"/>
        <v>0</v>
      </c>
      <c r="CC174" s="475">
        <f t="shared" si="28"/>
        <v>0</v>
      </c>
      <c r="CD174" s="475">
        <f t="shared" si="29"/>
        <v>1.4210854715202004E-14</v>
      </c>
      <c r="CE174" s="621">
        <f t="shared" si="122"/>
        <v>0</v>
      </c>
      <c r="CF174" s="621">
        <f t="shared" si="123"/>
        <v>0</v>
      </c>
      <c r="CG174" s="621">
        <f t="shared" si="124"/>
        <v>1.8525193551754723E-16</v>
      </c>
      <c r="CH174" s="573">
        <f t="shared" si="125"/>
        <v>1.667267419657925E-13</v>
      </c>
      <c r="CI174" s="621">
        <f t="shared" si="34"/>
        <v>1.2194671785281339E-16</v>
      </c>
      <c r="CJ174" s="621">
        <f t="shared" si="126"/>
        <v>0.1024978187266803</v>
      </c>
      <c r="CK174" s="621">
        <f t="shared" si="127"/>
        <v>0</v>
      </c>
      <c r="CL174" s="737">
        <f t="shared" si="128"/>
        <v>0</v>
      </c>
      <c r="CM174" s="738">
        <f t="shared" si="38"/>
        <v>1.8525193551754723E-16</v>
      </c>
      <c r="CN174" s="475">
        <f t="shared" si="39"/>
        <v>0.64819095526462633</v>
      </c>
      <c r="CO174" s="475">
        <f t="shared" si="40"/>
        <v>0.64819095526462644</v>
      </c>
      <c r="CP174" s="475">
        <f t="shared" si="97"/>
        <v>25.6</v>
      </c>
      <c r="CQ174" s="475">
        <f t="shared" si="41"/>
        <v>25.6</v>
      </c>
      <c r="CR174" s="475">
        <f t="shared" si="42"/>
        <v>1.4210854715202004E-14</v>
      </c>
      <c r="CS174" s="475">
        <f t="shared" si="43"/>
        <v>7.8627065702749235</v>
      </c>
      <c r="CT174" s="475">
        <f t="shared" si="129"/>
        <v>7.3329158512720163E-2</v>
      </c>
      <c r="CU174" s="475">
        <f t="shared" si="45"/>
        <v>20</v>
      </c>
      <c r="CV174" s="475">
        <f t="shared" si="46"/>
        <v>20</v>
      </c>
      <c r="CW174" s="475">
        <f t="shared" si="98"/>
        <v>0.17582697723940066</v>
      </c>
      <c r="CX174" s="573">
        <f t="shared" si="99"/>
        <v>0</v>
      </c>
      <c r="CY174" s="475">
        <f t="shared" si="102"/>
        <v>20</v>
      </c>
      <c r="CZ174" s="475">
        <f t="shared" si="100"/>
        <v>20</v>
      </c>
      <c r="DA174" s="475">
        <v>28</v>
      </c>
      <c r="DB174" s="739">
        <f t="shared" si="82"/>
        <v>0</v>
      </c>
      <c r="DC174" s="740">
        <f t="shared" si="130"/>
        <v>0</v>
      </c>
    </row>
    <row r="175" spans="1:107" s="619" customFormat="1" ht="12" customHeight="1">
      <c r="A175" s="732">
        <v>29</v>
      </c>
      <c r="B175" s="917">
        <f>Klimadaten!O59/8760*$K$68</f>
        <v>6.2328767123287676</v>
      </c>
      <c r="C175" s="762">
        <f>Klimadaten!Q59</f>
        <v>10.590957931484501</v>
      </c>
      <c r="D175" s="763">
        <f>Klimadaten!N59</f>
        <v>0.39642857142857146</v>
      </c>
      <c r="E175" s="491">
        <f t="shared" si="103"/>
        <v>0.50137290722250294</v>
      </c>
      <c r="F175" s="438">
        <f t="shared" si="49"/>
        <v>1</v>
      </c>
      <c r="G175" s="733">
        <f t="shared" si="104"/>
        <v>29</v>
      </c>
      <c r="H175" s="527">
        <f t="shared" si="50"/>
        <v>-9</v>
      </c>
      <c r="I175" s="733">
        <f t="shared" si="51"/>
        <v>25.8</v>
      </c>
      <c r="J175" s="473">
        <f t="shared" si="52"/>
        <v>25.8</v>
      </c>
      <c r="K175" s="491">
        <f t="shared" si="53"/>
        <v>0.79999999999999982</v>
      </c>
      <c r="L175" s="473">
        <f t="shared" si="54"/>
        <v>25.8</v>
      </c>
      <c r="M175" s="473">
        <f t="shared" si="105"/>
        <v>10.590957931484501</v>
      </c>
      <c r="N175" s="473">
        <f t="shared" si="106"/>
        <v>52.957379250617706</v>
      </c>
      <c r="O175" s="473">
        <f t="shared" si="107"/>
        <v>52.957379250617706</v>
      </c>
      <c r="P175" s="734">
        <f t="shared" si="108"/>
        <v>0</v>
      </c>
      <c r="Q175" s="473">
        <f t="shared" si="85"/>
        <v>25.8</v>
      </c>
      <c r="R175" s="475">
        <f t="shared" si="101"/>
        <v>10.590957931484501</v>
      </c>
      <c r="S175" s="473">
        <f t="shared" si="86"/>
        <v>52.957379250617706</v>
      </c>
      <c r="T175" s="473">
        <f t="shared" si="11"/>
        <v>25.8</v>
      </c>
      <c r="U175" s="473">
        <f t="shared" si="12"/>
        <v>25.8</v>
      </c>
      <c r="V175" s="734">
        <f t="shared" si="13"/>
        <v>0</v>
      </c>
      <c r="W175" s="473">
        <f t="shared" si="56"/>
        <v>25.8</v>
      </c>
      <c r="X175" s="475">
        <f t="shared" si="57"/>
        <v>10.590957931484501</v>
      </c>
      <c r="Y175" s="735">
        <f t="shared" si="109"/>
        <v>52.957379250617706</v>
      </c>
      <c r="Z175" s="475">
        <f t="shared" si="59"/>
        <v>9</v>
      </c>
      <c r="AA175" s="475">
        <f>IF($E$36=$D$36,MIN(AbsFeuchte(Z175,100%,$N$19),R175),MIN(AbsFeuchte(Z175,100%,$N$19),X175))</f>
        <v>7.6169281356214986</v>
      </c>
      <c r="AB175" s="735">
        <f t="shared" si="110"/>
        <v>28.236014801061046</v>
      </c>
      <c r="AC175" s="475">
        <f t="shared" si="61"/>
        <v>9</v>
      </c>
      <c r="AD175" s="475">
        <v>53</v>
      </c>
      <c r="AE175" s="735">
        <f t="shared" si="111"/>
        <v>142.52601999999999</v>
      </c>
      <c r="AF175" s="735">
        <f t="shared" si="63"/>
        <v>9</v>
      </c>
      <c r="AG175" s="735">
        <f t="shared" si="87"/>
        <v>5.6489010376995843</v>
      </c>
      <c r="AH175" s="475">
        <f t="shared" si="88"/>
        <v>25.8</v>
      </c>
      <c r="AI175" s="475">
        <f t="shared" si="64"/>
        <v>10.590957931484501</v>
      </c>
      <c r="AJ175" s="735">
        <f t="shared" si="112"/>
        <v>52.957379250617706</v>
      </c>
      <c r="AK175" s="475">
        <f t="shared" si="66"/>
        <v>20</v>
      </c>
      <c r="AL175" s="475">
        <f t="shared" si="67"/>
        <v>9.5642095495794166</v>
      </c>
      <c r="AM175" s="735">
        <f t="shared" si="113"/>
        <v>44.401615204472222</v>
      </c>
      <c r="AN175" s="475">
        <f t="shared" si="89"/>
        <v>20</v>
      </c>
      <c r="AO175" s="475">
        <f t="shared" si="69"/>
        <v>10.590957931484501</v>
      </c>
      <c r="AP175" s="735">
        <f t="shared" si="90"/>
        <v>47.008323996452852</v>
      </c>
      <c r="AQ175" s="475" t="e">
        <f t="shared" ca="1" si="114"/>
        <v>#NAME?</v>
      </c>
      <c r="AR175" s="475">
        <f t="shared" si="91"/>
        <v>10.590957931484501</v>
      </c>
      <c r="AS175" s="735" t="e">
        <f t="shared" ca="1" si="115"/>
        <v>#VALUE!</v>
      </c>
      <c r="AT175" s="475">
        <f t="shared" si="92"/>
        <v>20</v>
      </c>
      <c r="AU175" s="475">
        <f t="shared" si="16"/>
        <v>10.590957931484501</v>
      </c>
      <c r="AV175" s="735">
        <f t="shared" si="116"/>
        <v>47.008323996452852</v>
      </c>
      <c r="AW175" s="529">
        <f t="shared" si="70"/>
        <v>4</v>
      </c>
      <c r="AX175" s="735">
        <f t="shared" si="71"/>
        <v>1</v>
      </c>
      <c r="AY175" s="735">
        <f t="shared" si="18"/>
        <v>1</v>
      </c>
      <c r="AZ175" s="735">
        <f t="shared" si="72"/>
        <v>1</v>
      </c>
      <c r="BA175" s="735">
        <f t="shared" si="73"/>
        <v>1</v>
      </c>
      <c r="BB175" s="735">
        <f>IF($E$36=$D$36,IF(AW175=1,Fall1Tzul(AX175,AY175,BJ175,Q175),0),IF(AW175=1,Fall1Tzul(AX175,AY175,BJ175,W175),0))</f>
        <v>0</v>
      </c>
      <c r="BC175" s="735">
        <f>IF($E$36=$D$36,IF(AW175=1,Fall1xzul(AX175,AY175,BL175,R175),0),IF(AW175=1,Fall1xzul(AX175,AY175,BL175,X175),0))</f>
        <v>0</v>
      </c>
      <c r="BD175" s="735">
        <f>IF($E$36=$D$36,IF(AW175=2,Fall2Tzul(AX175, AZ175, BJ175,Q175, Z175),0),IF(AW175=2,Fall2Tzul(AX175, AZ175, BJ175,W175, Z175),0))</f>
        <v>0</v>
      </c>
      <c r="BE175" s="735">
        <f>IF($E$36=$D$36,IF(AW175=2,Fall2xzul(AX175,AZ175,BL175,R175,AA175),0),IF(AW175=2,Fall2xzul(AX175,AZ175,BL175,X175,AA175),0))</f>
        <v>0</v>
      </c>
      <c r="BF175" s="735">
        <f t="shared" si="19"/>
        <v>0</v>
      </c>
      <c r="BG175" s="735">
        <f t="shared" si="20"/>
        <v>0</v>
      </c>
      <c r="BH175" s="735">
        <f t="shared" si="21"/>
        <v>20</v>
      </c>
      <c r="BI175" s="735">
        <f t="shared" si="22"/>
        <v>10.590957931484501</v>
      </c>
      <c r="BJ175" s="473">
        <f t="shared" si="93"/>
        <v>20</v>
      </c>
      <c r="BK175" s="491">
        <f t="shared" si="117"/>
        <v>0.67938203471300562</v>
      </c>
      <c r="BL175" s="475">
        <f>AbsFeuchte(BJ175,BK175,$N$19)</f>
        <v>10.590957931484501</v>
      </c>
      <c r="BM175" s="735">
        <f t="shared" si="118"/>
        <v>47.008323996452852</v>
      </c>
      <c r="BN175" s="473">
        <f t="shared" si="94"/>
        <v>20</v>
      </c>
      <c r="BO175" s="491">
        <f t="shared" si="119"/>
        <v>0.67938203471300573</v>
      </c>
      <c r="BP175" s="475">
        <f t="shared" si="74"/>
        <v>10.590957931484501</v>
      </c>
      <c r="BQ175" s="735">
        <f t="shared" si="120"/>
        <v>47.008323996452852</v>
      </c>
      <c r="BR175" s="473">
        <f t="shared" si="75"/>
        <v>25</v>
      </c>
      <c r="BS175" s="491">
        <f t="shared" si="76"/>
        <v>0.50137290722250294</v>
      </c>
      <c r="BT175" s="475">
        <f>AbsFeuchte(BR175,BS175,$N$19)</f>
        <v>10.5909579314845</v>
      </c>
      <c r="BU175" s="576">
        <f>IF($I$21=0,IF(E$13=$S$10,BR175+$N$18,BR175),IF(E$13=$S$10,BR175+$N$18+#REF!,BR175+$I$21))</f>
        <v>25</v>
      </c>
      <c r="BV175" s="736">
        <f t="shared" si="121"/>
        <v>0.50137290722250294</v>
      </c>
      <c r="BW175" s="726">
        <f t="shared" si="78"/>
        <v>10.5909579314845</v>
      </c>
      <c r="BX175" s="475">
        <f t="shared" si="95"/>
        <v>8.5557640461454838</v>
      </c>
      <c r="BY175" s="475">
        <f t="shared" si="96"/>
        <v>0</v>
      </c>
      <c r="BZ175" s="475">
        <f t="shared" si="79"/>
        <v>8.5557640461454838</v>
      </c>
      <c r="CA175" s="475">
        <f t="shared" si="80"/>
        <v>0</v>
      </c>
      <c r="CB175" s="475">
        <f t="shared" si="27"/>
        <v>0</v>
      </c>
      <c r="CC175" s="475">
        <f t="shared" si="28"/>
        <v>0</v>
      </c>
      <c r="CD175" s="475">
        <f t="shared" si="29"/>
        <v>0</v>
      </c>
      <c r="CE175" s="621">
        <f t="shared" si="122"/>
        <v>0</v>
      </c>
      <c r="CF175" s="621">
        <f t="shared" si="123"/>
        <v>0</v>
      </c>
      <c r="CG175" s="621">
        <f t="shared" si="124"/>
        <v>0</v>
      </c>
      <c r="CH175" s="573">
        <f t="shared" si="125"/>
        <v>0</v>
      </c>
      <c r="CI175" s="621">
        <f t="shared" si="34"/>
        <v>0</v>
      </c>
      <c r="CJ175" s="621">
        <f t="shared" si="126"/>
        <v>6.5060612515390692E-2</v>
      </c>
      <c r="CK175" s="621">
        <f t="shared" si="127"/>
        <v>0</v>
      </c>
      <c r="CL175" s="737">
        <f t="shared" si="128"/>
        <v>0</v>
      </c>
      <c r="CM175" s="738">
        <f t="shared" si="38"/>
        <v>0</v>
      </c>
      <c r="CN175" s="475">
        <f t="shared" si="39"/>
        <v>0.67938203471300562</v>
      </c>
      <c r="CO175" s="475">
        <f t="shared" si="40"/>
        <v>0.67938203471300573</v>
      </c>
      <c r="CP175" s="475">
        <f t="shared" si="97"/>
        <v>25.8</v>
      </c>
      <c r="CQ175" s="475">
        <f t="shared" si="41"/>
        <v>25.8</v>
      </c>
      <c r="CR175" s="475">
        <f t="shared" si="42"/>
        <v>0</v>
      </c>
      <c r="CS175" s="475">
        <f t="shared" si="43"/>
        <v>8.5557640461454838</v>
      </c>
      <c r="CT175" s="475">
        <f t="shared" si="129"/>
        <v>4.277534246575343E-2</v>
      </c>
      <c r="CU175" s="475">
        <f t="shared" si="45"/>
        <v>20</v>
      </c>
      <c r="CV175" s="475">
        <f t="shared" si="46"/>
        <v>20</v>
      </c>
      <c r="CW175" s="475">
        <f t="shared" si="98"/>
        <v>0.10783595498114412</v>
      </c>
      <c r="CX175" s="573">
        <f t="shared" si="99"/>
        <v>0</v>
      </c>
      <c r="CY175" s="475">
        <f t="shared" si="102"/>
        <v>20</v>
      </c>
      <c r="CZ175" s="475">
        <f t="shared" si="100"/>
        <v>20</v>
      </c>
      <c r="DA175" s="475">
        <v>29</v>
      </c>
      <c r="DB175" s="739">
        <f t="shared" si="82"/>
        <v>0</v>
      </c>
      <c r="DC175" s="740">
        <f t="shared" si="130"/>
        <v>0</v>
      </c>
    </row>
    <row r="176" spans="1:107" s="619" customFormat="1" ht="12" customHeight="1">
      <c r="A176" s="732">
        <v>30</v>
      </c>
      <c r="B176" s="917">
        <f>Klimadaten!O60/8760*$K$68</f>
        <v>7.1232876712328768</v>
      </c>
      <c r="C176" s="762">
        <f>Klimadaten!Q60</f>
        <v>10.918959306969693</v>
      </c>
      <c r="D176" s="763">
        <f>Klimadaten!N60</f>
        <v>0.385625</v>
      </c>
      <c r="E176" s="491">
        <f t="shared" si="103"/>
        <v>0.51663252176745744</v>
      </c>
      <c r="F176" s="438">
        <f t="shared" si="49"/>
        <v>1</v>
      </c>
      <c r="G176" s="733">
        <f t="shared" si="104"/>
        <v>30</v>
      </c>
      <c r="H176" s="527">
        <f t="shared" si="50"/>
        <v>-10</v>
      </c>
      <c r="I176" s="733">
        <f t="shared" si="51"/>
        <v>26</v>
      </c>
      <c r="J176" s="473">
        <f t="shared" si="52"/>
        <v>26</v>
      </c>
      <c r="K176" s="491">
        <f t="shared" si="53"/>
        <v>0.8</v>
      </c>
      <c r="L176" s="473">
        <f t="shared" si="54"/>
        <v>26</v>
      </c>
      <c r="M176" s="473">
        <f t="shared" si="105"/>
        <v>10.918959306969693</v>
      </c>
      <c r="N176" s="473">
        <f t="shared" si="106"/>
        <v>53.998909474400435</v>
      </c>
      <c r="O176" s="473">
        <f t="shared" si="107"/>
        <v>53.998909474400435</v>
      </c>
      <c r="P176" s="734">
        <f t="shared" si="108"/>
        <v>0</v>
      </c>
      <c r="Q176" s="473">
        <f t="shared" si="85"/>
        <v>26</v>
      </c>
      <c r="R176" s="475">
        <f t="shared" si="101"/>
        <v>10.918959306969693</v>
      </c>
      <c r="S176" s="473">
        <f t="shared" si="86"/>
        <v>53.998909474400435</v>
      </c>
      <c r="T176" s="473">
        <f t="shared" si="11"/>
        <v>26</v>
      </c>
      <c r="U176" s="473">
        <f t="shared" si="12"/>
        <v>26</v>
      </c>
      <c r="V176" s="734">
        <f t="shared" si="13"/>
        <v>0</v>
      </c>
      <c r="W176" s="473">
        <f t="shared" si="56"/>
        <v>26</v>
      </c>
      <c r="X176" s="475">
        <f t="shared" si="57"/>
        <v>10.918959306969693</v>
      </c>
      <c r="Y176" s="735">
        <f t="shared" si="109"/>
        <v>53.998909474400435</v>
      </c>
      <c r="Z176" s="475">
        <f t="shared" si="59"/>
        <v>9</v>
      </c>
      <c r="AA176" s="475">
        <f>IF($E$36=$D$36,MIN(AbsFeuchte(Z176,100%,$N$19),R176),MIN(AbsFeuchte(Z176,100%,$N$19),X176))</f>
        <v>7.6169281356214986</v>
      </c>
      <c r="AB176" s="735">
        <f t="shared" si="110"/>
        <v>28.236014801061046</v>
      </c>
      <c r="AC176" s="475">
        <f t="shared" si="61"/>
        <v>9</v>
      </c>
      <c r="AD176" s="475">
        <v>54</v>
      </c>
      <c r="AE176" s="735">
        <f t="shared" si="111"/>
        <v>145.04435999999998</v>
      </c>
      <c r="AF176" s="735">
        <f t="shared" si="63"/>
        <v>9</v>
      </c>
      <c r="AG176" s="735">
        <f t="shared" si="87"/>
        <v>5.1483463110552732</v>
      </c>
      <c r="AH176" s="475">
        <f t="shared" si="88"/>
        <v>26</v>
      </c>
      <c r="AI176" s="475">
        <f t="shared" si="64"/>
        <v>10.918959306969693</v>
      </c>
      <c r="AJ176" s="735">
        <f t="shared" si="112"/>
        <v>53.998909474400435</v>
      </c>
      <c r="AK176" s="475">
        <f t="shared" si="66"/>
        <v>20</v>
      </c>
      <c r="AL176" s="475">
        <f t="shared" si="67"/>
        <v>9.7535365406115062</v>
      </c>
      <c r="AM176" s="735">
        <f t="shared" si="113"/>
        <v>44.882278569304489</v>
      </c>
      <c r="AN176" s="475">
        <f t="shared" si="89"/>
        <v>20</v>
      </c>
      <c r="AO176" s="475">
        <f t="shared" si="69"/>
        <v>10.918959306969693</v>
      </c>
      <c r="AP176" s="735">
        <f t="shared" si="90"/>
        <v>47.84105388853466</v>
      </c>
      <c r="AQ176" s="475" t="e">
        <f t="shared" ca="1" si="114"/>
        <v>#NAME?</v>
      </c>
      <c r="AR176" s="475">
        <f t="shared" si="91"/>
        <v>10.918959306969693</v>
      </c>
      <c r="AS176" s="735" t="e">
        <f t="shared" ca="1" si="115"/>
        <v>#VALUE!</v>
      </c>
      <c r="AT176" s="475">
        <f t="shared" si="92"/>
        <v>20</v>
      </c>
      <c r="AU176" s="475">
        <f t="shared" si="16"/>
        <v>10.918959306969693</v>
      </c>
      <c r="AV176" s="735">
        <f t="shared" si="116"/>
        <v>47.84105388853466</v>
      </c>
      <c r="AW176" s="529">
        <f t="shared" si="70"/>
        <v>4</v>
      </c>
      <c r="AX176" s="735">
        <f t="shared" si="71"/>
        <v>1</v>
      </c>
      <c r="AY176" s="735">
        <f t="shared" si="18"/>
        <v>1</v>
      </c>
      <c r="AZ176" s="735">
        <f t="shared" si="72"/>
        <v>1</v>
      </c>
      <c r="BA176" s="735">
        <f t="shared" si="73"/>
        <v>1</v>
      </c>
      <c r="BB176" s="735">
        <f>IF($E$36=$D$36,IF(AW176=1,Fall1Tzul(AX176,AY176,BJ176,Q176),0),IF(AW176=1,Fall1Tzul(AX176,AY176,BJ176,W176),0))</f>
        <v>0</v>
      </c>
      <c r="BC176" s="735">
        <f>IF($E$36=$D$36,IF(AW176=1,Fall1xzul(AX176,AY176,BL176,R176),0),IF(AW176=1,Fall1xzul(AX176,AY176,BL176,X176),0))</f>
        <v>0</v>
      </c>
      <c r="BD176" s="735">
        <f>IF($E$36=$D$36,IF(AW176=2,Fall2Tzul(AX176, AZ176, BJ176,Q176, Z176),0),IF(AW176=2,Fall2Tzul(AX176, AZ176, BJ176,W176, Z176),0))</f>
        <v>0</v>
      </c>
      <c r="BE176" s="735">
        <f>IF($E$36=$D$36,IF(AW176=2,Fall2xzul(AX176,AZ176,BL176,R176,AA176),0),IF(AW176=2,Fall2xzul(AX176,AZ176,BL176,X176,AA176),0))</f>
        <v>0</v>
      </c>
      <c r="BF176" s="735">
        <f t="shared" si="19"/>
        <v>0</v>
      </c>
      <c r="BG176" s="735">
        <f t="shared" si="20"/>
        <v>0</v>
      </c>
      <c r="BH176" s="735">
        <f t="shared" si="21"/>
        <v>20</v>
      </c>
      <c r="BI176" s="735">
        <f t="shared" si="22"/>
        <v>10.918959306969693</v>
      </c>
      <c r="BJ176" s="473">
        <f t="shared" si="93"/>
        <v>20</v>
      </c>
      <c r="BK176" s="491">
        <f t="shared" si="117"/>
        <v>0.70005947425779247</v>
      </c>
      <c r="BL176" s="475">
        <f>AbsFeuchte(BJ176,BK176,$N$19)</f>
        <v>10.918959306969693</v>
      </c>
      <c r="BM176" s="735">
        <f t="shared" si="118"/>
        <v>47.84105388853466</v>
      </c>
      <c r="BN176" s="473">
        <f t="shared" si="94"/>
        <v>20</v>
      </c>
      <c r="BO176" s="491">
        <f>MIN(1,RelFeuchte(BN176,BP176,$N$19))</f>
        <v>0.70005947425779247</v>
      </c>
      <c r="BP176" s="475">
        <f t="shared" si="74"/>
        <v>10.918959306969693</v>
      </c>
      <c r="BQ176" s="735">
        <f t="shared" si="120"/>
        <v>47.84105388853466</v>
      </c>
      <c r="BR176" s="473">
        <f t="shared" si="75"/>
        <v>25</v>
      </c>
      <c r="BS176" s="491">
        <f t="shared" si="76"/>
        <v>0.51663252176745744</v>
      </c>
      <c r="BT176" s="475">
        <f>AbsFeuchte(BR176,BS176,$N$19)</f>
        <v>10.918959306969693</v>
      </c>
      <c r="BU176" s="576">
        <f>IF($I$21=0,IF(E$13=$S$10,BR176+$N$18,BR176),IF(E$13=$S$10,BR176+$N$18+#REF!,BR176+$I$21))</f>
        <v>25</v>
      </c>
      <c r="BV176" s="736">
        <f t="shared" si="121"/>
        <v>0.51663252176745744</v>
      </c>
      <c r="BW176" s="726">
        <f t="shared" si="78"/>
        <v>10.918959306969693</v>
      </c>
      <c r="BX176" s="475">
        <f t="shared" si="95"/>
        <v>9.1166309050959455</v>
      </c>
      <c r="BY176" s="475">
        <f t="shared" si="96"/>
        <v>0</v>
      </c>
      <c r="BZ176" s="475">
        <f t="shared" si="79"/>
        <v>9.1166309050959455</v>
      </c>
      <c r="CA176" s="475">
        <f t="shared" si="80"/>
        <v>0</v>
      </c>
      <c r="CB176" s="475">
        <f t="shared" si="27"/>
        <v>0</v>
      </c>
      <c r="CC176" s="475">
        <f t="shared" si="28"/>
        <v>0</v>
      </c>
      <c r="CD176" s="475">
        <f t="shared" si="29"/>
        <v>0</v>
      </c>
      <c r="CE176" s="621">
        <f t="shared" si="122"/>
        <v>0</v>
      </c>
      <c r="CF176" s="621">
        <f t="shared" si="123"/>
        <v>0</v>
      </c>
      <c r="CG176" s="621">
        <f t="shared" si="124"/>
        <v>0</v>
      </c>
      <c r="CH176" s="573">
        <f t="shared" si="125"/>
        <v>0</v>
      </c>
      <c r="CI176" s="621">
        <f t="shared" si="34"/>
        <v>0</v>
      </c>
      <c r="CJ176" s="621">
        <f t="shared" si="126"/>
        <v>7.922927247819217E-2</v>
      </c>
      <c r="CK176" s="621">
        <f t="shared" si="127"/>
        <v>0</v>
      </c>
      <c r="CL176" s="737">
        <f t="shared" si="128"/>
        <v>0</v>
      </c>
      <c r="CM176" s="738">
        <f t="shared" si="38"/>
        <v>0</v>
      </c>
      <c r="CN176" s="475">
        <f t="shared" si="39"/>
        <v>0.70005947425779247</v>
      </c>
      <c r="CO176" s="475">
        <f t="shared" si="40"/>
        <v>0.70005947425779247</v>
      </c>
      <c r="CP176" s="475">
        <f t="shared" si="97"/>
        <v>26</v>
      </c>
      <c r="CQ176" s="475">
        <f t="shared" si="41"/>
        <v>26</v>
      </c>
      <c r="CR176" s="475">
        <f t="shared" si="42"/>
        <v>0</v>
      </c>
      <c r="CS176" s="475">
        <f t="shared" si="43"/>
        <v>9.1166309050959455</v>
      </c>
      <c r="CT176" s="475">
        <f t="shared" si="129"/>
        <v>4.8886105675146778E-2</v>
      </c>
      <c r="CU176" s="475">
        <f t="shared" si="45"/>
        <v>20</v>
      </c>
      <c r="CV176" s="475">
        <f t="shared" si="46"/>
        <v>20</v>
      </c>
      <c r="CW176" s="475">
        <f t="shared" si="98"/>
        <v>0.12811537815333895</v>
      </c>
      <c r="CX176" s="573">
        <f t="shared" si="99"/>
        <v>0</v>
      </c>
      <c r="CY176" s="475">
        <f t="shared" si="102"/>
        <v>20</v>
      </c>
      <c r="CZ176" s="475">
        <f t="shared" si="100"/>
        <v>20</v>
      </c>
      <c r="DA176" s="475">
        <v>30</v>
      </c>
      <c r="DB176" s="739">
        <f t="shared" si="82"/>
        <v>0</v>
      </c>
      <c r="DC176" s="740">
        <f t="shared" si="130"/>
        <v>0</v>
      </c>
    </row>
    <row r="177" spans="1:107" s="619" customFormat="1" ht="12" customHeight="1">
      <c r="A177" s="732">
        <v>31</v>
      </c>
      <c r="B177" s="917">
        <f>Klimadaten!O61/8760*$K$68</f>
        <v>2.6712328767123288</v>
      </c>
      <c r="C177" s="762">
        <f>Klimadaten!Q61</f>
        <v>10.943572231900754</v>
      </c>
      <c r="D177" s="763">
        <f>Klimadaten!N61</f>
        <v>0.36499999999999999</v>
      </c>
      <c r="E177" s="491">
        <f t="shared" si="103"/>
        <v>0.51777695144601821</v>
      </c>
      <c r="F177" s="438">
        <f t="shared" si="49"/>
        <v>1</v>
      </c>
      <c r="G177" s="733">
        <f t="shared" si="104"/>
        <v>31</v>
      </c>
      <c r="H177" s="527">
        <f t="shared" si="50"/>
        <v>-11</v>
      </c>
      <c r="I177" s="733">
        <f t="shared" si="51"/>
        <v>26.2</v>
      </c>
      <c r="J177" s="473">
        <f t="shared" si="52"/>
        <v>26.2</v>
      </c>
      <c r="K177" s="491">
        <f t="shared" si="53"/>
        <v>0.80000000000000016</v>
      </c>
      <c r="L177" s="473">
        <f t="shared" si="54"/>
        <v>26.2</v>
      </c>
      <c r="M177" s="473">
        <f t="shared" si="105"/>
        <v>10.943572231900754</v>
      </c>
      <c r="N177" s="473">
        <f t="shared" si="106"/>
        <v>54.266942457327914</v>
      </c>
      <c r="O177" s="473">
        <f t="shared" si="107"/>
        <v>54.266942457327914</v>
      </c>
      <c r="P177" s="734">
        <f t="shared" si="108"/>
        <v>0</v>
      </c>
      <c r="Q177" s="473">
        <f t="shared" si="85"/>
        <v>26.2</v>
      </c>
      <c r="R177" s="475">
        <f t="shared" si="101"/>
        <v>10.943572231900754</v>
      </c>
      <c r="S177" s="473">
        <f t="shared" si="86"/>
        <v>54.266942457327914</v>
      </c>
      <c r="T177" s="473">
        <f t="shared" si="11"/>
        <v>26.2</v>
      </c>
      <c r="U177" s="473">
        <f t="shared" si="12"/>
        <v>26.2</v>
      </c>
      <c r="V177" s="734">
        <f t="shared" si="13"/>
        <v>0</v>
      </c>
      <c r="W177" s="473">
        <f t="shared" si="56"/>
        <v>26.2</v>
      </c>
      <c r="X177" s="475">
        <f t="shared" si="57"/>
        <v>10.943572231900754</v>
      </c>
      <c r="Y177" s="735">
        <f t="shared" si="109"/>
        <v>54.266942457327914</v>
      </c>
      <c r="Z177" s="475">
        <f t="shared" si="59"/>
        <v>9</v>
      </c>
      <c r="AA177" s="475">
        <f>IF($E$36=$D$36,MIN(AbsFeuchte(Z177,100%,$N$19),R177),MIN(AbsFeuchte(Z177,100%,$N$19),X177))</f>
        <v>7.6169281356214986</v>
      </c>
      <c r="AB177" s="735">
        <f t="shared" si="110"/>
        <v>28.236014801061046</v>
      </c>
      <c r="AC177" s="475">
        <f t="shared" si="61"/>
        <v>9</v>
      </c>
      <c r="AD177" s="475">
        <v>55</v>
      </c>
      <c r="AE177" s="735">
        <f t="shared" si="111"/>
        <v>147.56269999999998</v>
      </c>
      <c r="AF177" s="735">
        <f t="shared" si="63"/>
        <v>9</v>
      </c>
      <c r="AG177" s="735">
        <f t="shared" si="87"/>
        <v>5.1703757607366674</v>
      </c>
      <c r="AH177" s="475">
        <f t="shared" si="88"/>
        <v>26.2</v>
      </c>
      <c r="AI177" s="475">
        <f t="shared" si="64"/>
        <v>10.943572231900758</v>
      </c>
      <c r="AJ177" s="735">
        <f t="shared" si="112"/>
        <v>54.266942457327922</v>
      </c>
      <c r="AK177" s="475">
        <f t="shared" si="66"/>
        <v>20</v>
      </c>
      <c r="AL177" s="475">
        <f t="shared" si="67"/>
        <v>9.7444330809163713</v>
      </c>
      <c r="AM177" s="735">
        <f t="shared" si="113"/>
        <v>44.859166705830482</v>
      </c>
      <c r="AN177" s="475">
        <f t="shared" si="89"/>
        <v>20.000000000000007</v>
      </c>
      <c r="AO177" s="475">
        <f t="shared" si="69"/>
        <v>10.943572231900754</v>
      </c>
      <c r="AP177" s="735">
        <f t="shared" si="90"/>
        <v>47.903541182349642</v>
      </c>
      <c r="AQ177" s="475" t="e">
        <f t="shared" ca="1" si="114"/>
        <v>#NAME?</v>
      </c>
      <c r="AR177" s="475">
        <f t="shared" si="91"/>
        <v>10.943572231900758</v>
      </c>
      <c r="AS177" s="735" t="e">
        <f t="shared" ca="1" si="115"/>
        <v>#VALUE!</v>
      </c>
      <c r="AT177" s="475">
        <f t="shared" si="92"/>
        <v>20</v>
      </c>
      <c r="AU177" s="475">
        <f t="shared" si="16"/>
        <v>10.943572231900754</v>
      </c>
      <c r="AV177" s="735">
        <f t="shared" si="116"/>
        <v>47.903541182349628</v>
      </c>
      <c r="AW177" s="529">
        <f t="shared" si="70"/>
        <v>4</v>
      </c>
      <c r="AX177" s="735">
        <f t="shared" si="71"/>
        <v>1</v>
      </c>
      <c r="AY177" s="735">
        <f t="shared" si="18"/>
        <v>1</v>
      </c>
      <c r="AZ177" s="735">
        <f t="shared" si="72"/>
        <v>1</v>
      </c>
      <c r="BA177" s="735">
        <f t="shared" si="73"/>
        <v>1</v>
      </c>
      <c r="BB177" s="735">
        <f>IF($E$36=$D$36,IF(AW177=1,Fall1Tzul(AX177,AY177,BJ177,Q177),0),IF(AW177=1,Fall1Tzul(AX177,AY177,BJ177,W177),0))</f>
        <v>0</v>
      </c>
      <c r="BC177" s="735">
        <f>IF($E$36=$D$36,IF(AW177=1,Fall1xzul(AX177,AY177,BL177,R177),0),IF(AW177=1,Fall1xzul(AX177,AY177,BL177,X177),0))</f>
        <v>0</v>
      </c>
      <c r="BD177" s="735">
        <f>IF($E$36=$D$36,IF(AW177=2,Fall2Tzul(AX177, AZ177, BJ177,Q177, Z177),0),IF(AW177=2,Fall2Tzul(AX177, AZ177, BJ177,W177, Z177),0))</f>
        <v>0</v>
      </c>
      <c r="BE177" s="735">
        <f>IF($E$36=$D$36,IF(AW177=2,Fall2xzul(AX177,AZ177,BL177,R177,AA177),0),IF(AW177=2,Fall2xzul(AX177,AZ177,BL177,X177,AA177),0))</f>
        <v>0</v>
      </c>
      <c r="BF177" s="735">
        <f t="shared" si="19"/>
        <v>0</v>
      </c>
      <c r="BG177" s="735">
        <f t="shared" si="20"/>
        <v>0</v>
      </c>
      <c r="BH177" s="735">
        <f t="shared" si="21"/>
        <v>20</v>
      </c>
      <c r="BI177" s="735">
        <f t="shared" si="22"/>
        <v>10.943572231900758</v>
      </c>
      <c r="BJ177" s="473">
        <f t="shared" si="93"/>
        <v>20</v>
      </c>
      <c r="BK177" s="491">
        <f t="shared" si="117"/>
        <v>0.70161022610817425</v>
      </c>
      <c r="BL177" s="475">
        <f>AbsFeuchte(BJ177,BK177,$N$19)</f>
        <v>10.943572231900758</v>
      </c>
      <c r="BM177" s="735">
        <f t="shared" si="118"/>
        <v>47.903541182349642</v>
      </c>
      <c r="BN177" s="473">
        <f t="shared" si="94"/>
        <v>20</v>
      </c>
      <c r="BO177" s="491">
        <f t="shared" si="119"/>
        <v>0.70161022610817436</v>
      </c>
      <c r="BP177" s="475">
        <f t="shared" si="74"/>
        <v>10.943572231900758</v>
      </c>
      <c r="BQ177" s="735">
        <f t="shared" si="120"/>
        <v>47.903541182349642</v>
      </c>
      <c r="BR177" s="473">
        <f t="shared" si="75"/>
        <v>25</v>
      </c>
      <c r="BS177" s="491">
        <f t="shared" si="76"/>
        <v>0.51777695144601821</v>
      </c>
      <c r="BT177" s="475">
        <f>AbsFeuchte(BR177,BS177,$N$19)</f>
        <v>10.943572231900754</v>
      </c>
      <c r="BU177" s="576">
        <f>IF($I$21=0,IF(E$13=$S$10,BR177+$N$18,BR177),IF(E$13=$S$10,BR177+$N$18+#REF!,BR177+$I$21))</f>
        <v>25</v>
      </c>
      <c r="BV177" s="736">
        <f t="shared" si="121"/>
        <v>0.51777695144601821</v>
      </c>
      <c r="BW177" s="726">
        <f t="shared" si="78"/>
        <v>10.943572231900754</v>
      </c>
      <c r="BX177" s="475">
        <f t="shared" si="95"/>
        <v>9.4077757514974323</v>
      </c>
      <c r="BY177" s="475">
        <f t="shared" si="96"/>
        <v>1.4210854715202004E-14</v>
      </c>
      <c r="BZ177" s="475">
        <f t="shared" si="79"/>
        <v>9.4077757514974323</v>
      </c>
      <c r="CA177" s="475">
        <f t="shared" si="80"/>
        <v>0</v>
      </c>
      <c r="CB177" s="475">
        <f t="shared" si="27"/>
        <v>0</v>
      </c>
      <c r="CC177" s="475">
        <f t="shared" si="28"/>
        <v>0</v>
      </c>
      <c r="CD177" s="475">
        <f t="shared" si="29"/>
        <v>1.4210854715202004E-14</v>
      </c>
      <c r="CE177" s="621">
        <f t="shared" si="122"/>
        <v>0</v>
      </c>
      <c r="CF177" s="621">
        <f t="shared" si="123"/>
        <v>0</v>
      </c>
      <c r="CG177" s="621">
        <f t="shared" si="124"/>
        <v>4.6312983879386808E-17</v>
      </c>
      <c r="CH177" s="573">
        <f t="shared" si="125"/>
        <v>4.1681685491448124E-14</v>
      </c>
      <c r="CI177" s="621">
        <f t="shared" si="34"/>
        <v>3.0486679463203349E-17</v>
      </c>
      <c r="CJ177" s="621">
        <f t="shared" si="126"/>
        <v>3.0659814307572652E-2</v>
      </c>
      <c r="CK177" s="621">
        <f t="shared" si="127"/>
        <v>0</v>
      </c>
      <c r="CL177" s="737">
        <f t="shared" si="128"/>
        <v>0</v>
      </c>
      <c r="CM177" s="738">
        <f t="shared" si="38"/>
        <v>4.6312983879386808E-17</v>
      </c>
      <c r="CN177" s="475">
        <f t="shared" si="39"/>
        <v>0.70161022610817425</v>
      </c>
      <c r="CO177" s="475">
        <f t="shared" si="40"/>
        <v>0.70161022610817436</v>
      </c>
      <c r="CP177" s="475">
        <f t="shared" si="97"/>
        <v>26.2</v>
      </c>
      <c r="CQ177" s="475">
        <f t="shared" si="41"/>
        <v>26.2</v>
      </c>
      <c r="CR177" s="475">
        <f t="shared" si="42"/>
        <v>1.4210854715202004E-14</v>
      </c>
      <c r="CS177" s="475">
        <f t="shared" si="43"/>
        <v>9.4077757514974323</v>
      </c>
      <c r="CT177" s="475">
        <f t="shared" si="129"/>
        <v>1.8332289628180041E-2</v>
      </c>
      <c r="CU177" s="475">
        <f t="shared" si="45"/>
        <v>20</v>
      </c>
      <c r="CV177" s="475">
        <f t="shared" si="46"/>
        <v>20</v>
      </c>
      <c r="CW177" s="475">
        <f t="shared" si="98"/>
        <v>4.8992103935752734E-2</v>
      </c>
      <c r="CX177" s="573">
        <f t="shared" si="99"/>
        <v>0</v>
      </c>
      <c r="CY177" s="475">
        <f t="shared" si="102"/>
        <v>20</v>
      </c>
      <c r="CZ177" s="475">
        <f t="shared" si="100"/>
        <v>20</v>
      </c>
      <c r="DA177" s="475">
        <v>31</v>
      </c>
      <c r="DB177" s="739">
        <f t="shared" si="82"/>
        <v>0</v>
      </c>
      <c r="DC177" s="740">
        <f t="shared" si="130"/>
        <v>0</v>
      </c>
    </row>
    <row r="178" spans="1:107" s="619" customFormat="1" ht="12" customHeight="1">
      <c r="A178" s="732">
        <v>32</v>
      </c>
      <c r="B178" s="917">
        <f>Klimadaten!O62/8760*$K$68</f>
        <v>0.8904109589041096</v>
      </c>
      <c r="C178" s="762">
        <f>Klimadaten!Q62</f>
        <v>9.3375463988818801</v>
      </c>
      <c r="D178" s="763">
        <f>Klimadaten!N62</f>
        <v>0.29499999999999998</v>
      </c>
      <c r="E178" s="491">
        <f t="shared" si="103"/>
        <v>0.44291435275724123</v>
      </c>
      <c r="F178" s="438">
        <f t="shared" si="49"/>
        <v>1</v>
      </c>
      <c r="G178" s="733">
        <f t="shared" si="104"/>
        <v>32</v>
      </c>
      <c r="H178" s="527">
        <f t="shared" si="50"/>
        <v>-12</v>
      </c>
      <c r="I178" s="733">
        <f t="shared" si="51"/>
        <v>26.4</v>
      </c>
      <c r="J178" s="473">
        <f t="shared" si="52"/>
        <v>26.4</v>
      </c>
      <c r="K178" s="491">
        <f t="shared" si="53"/>
        <v>0.80000000000000016</v>
      </c>
      <c r="L178" s="473">
        <f t="shared" si="54"/>
        <v>26.4</v>
      </c>
      <c r="M178" s="473">
        <f t="shared" si="105"/>
        <v>9.3375463988818801</v>
      </c>
      <c r="N178" s="473">
        <f t="shared" si="106"/>
        <v>50.375716949813601</v>
      </c>
      <c r="O178" s="473">
        <f t="shared" si="107"/>
        <v>50.375716949813601</v>
      </c>
      <c r="P178" s="734">
        <f t="shared" si="108"/>
        <v>0</v>
      </c>
      <c r="Q178" s="473">
        <f t="shared" si="85"/>
        <v>26.4</v>
      </c>
      <c r="R178" s="475">
        <f t="shared" si="101"/>
        <v>9.3375463988818801</v>
      </c>
      <c r="S178" s="473">
        <f t="shared" si="86"/>
        <v>50.375716949813601</v>
      </c>
      <c r="T178" s="473">
        <f t="shared" si="11"/>
        <v>26.4</v>
      </c>
      <c r="U178" s="473">
        <f t="shared" si="12"/>
        <v>26.4</v>
      </c>
      <c r="V178" s="734">
        <f t="shared" si="13"/>
        <v>0</v>
      </c>
      <c r="W178" s="473">
        <f t="shared" si="56"/>
        <v>26.4</v>
      </c>
      <c r="X178" s="475">
        <f t="shared" si="57"/>
        <v>9.3375463988818801</v>
      </c>
      <c r="Y178" s="735">
        <f t="shared" si="109"/>
        <v>50.375716949813601</v>
      </c>
      <c r="Z178" s="475">
        <f t="shared" si="59"/>
        <v>9</v>
      </c>
      <c r="AA178" s="475">
        <f>IF($E$36=$D$36,MIN(AbsFeuchte(Z178,100%,$N$19),R178),MIN(AbsFeuchte(Z178,100%,$N$19),X178))</f>
        <v>7.6169281356214986</v>
      </c>
      <c r="AB178" s="735">
        <f t="shared" si="110"/>
        <v>28.236014801061046</v>
      </c>
      <c r="AC178" s="475">
        <f t="shared" si="61"/>
        <v>9</v>
      </c>
      <c r="AD178" s="475">
        <v>56</v>
      </c>
      <c r="AE178" s="735">
        <f t="shared" si="111"/>
        <v>150.08104</v>
      </c>
      <c r="AF178" s="735">
        <f t="shared" si="63"/>
        <v>9</v>
      </c>
      <c r="AG178" s="735">
        <f t="shared" si="87"/>
        <v>10.112644025426606</v>
      </c>
      <c r="AH178" s="475">
        <f t="shared" si="88"/>
        <v>26.4</v>
      </c>
      <c r="AI178" s="475">
        <f t="shared" si="64"/>
        <v>9.3375463988818836</v>
      </c>
      <c r="AJ178" s="735">
        <f t="shared" si="112"/>
        <v>50.375716949813615</v>
      </c>
      <c r="AK178" s="475">
        <f t="shared" si="66"/>
        <v>20</v>
      </c>
      <c r="AL178" s="475">
        <f t="shared" si="67"/>
        <v>8.7046753135447279</v>
      </c>
      <c r="AM178" s="735">
        <f t="shared" si="113"/>
        <v>42.219429686027354</v>
      </c>
      <c r="AN178" s="475">
        <f t="shared" si="89"/>
        <v>20.000000000000014</v>
      </c>
      <c r="AO178" s="475">
        <f t="shared" si="69"/>
        <v>9.3375463988818801</v>
      </c>
      <c r="AP178" s="735">
        <f t="shared" si="90"/>
        <v>43.826162797481331</v>
      </c>
      <c r="AQ178" s="475" t="e">
        <f t="shared" ca="1" si="114"/>
        <v>#NAME?</v>
      </c>
      <c r="AR178" s="475">
        <f t="shared" si="91"/>
        <v>9.3375463988818836</v>
      </c>
      <c r="AS178" s="735" t="e">
        <f t="shared" ca="1" si="115"/>
        <v>#VALUE!</v>
      </c>
      <c r="AT178" s="475">
        <f t="shared" si="92"/>
        <v>20</v>
      </c>
      <c r="AU178" s="475">
        <f t="shared" si="16"/>
        <v>9.3375463988818801</v>
      </c>
      <c r="AV178" s="735">
        <f t="shared" si="116"/>
        <v>43.826162797481317</v>
      </c>
      <c r="AW178" s="529">
        <f t="shared" si="70"/>
        <v>4</v>
      </c>
      <c r="AX178" s="735">
        <f t="shared" si="71"/>
        <v>1</v>
      </c>
      <c r="AY178" s="735">
        <f t="shared" si="18"/>
        <v>1</v>
      </c>
      <c r="AZ178" s="735">
        <f t="shared" si="72"/>
        <v>1</v>
      </c>
      <c r="BA178" s="735">
        <f t="shared" si="73"/>
        <v>1</v>
      </c>
      <c r="BB178" s="735">
        <f>IF($E$36=$D$36,IF(AW178=1,Fall1Tzul(AX178,AY178,BJ178,Q178),0),IF(AW178=1,Fall1Tzul(AX178,AY178,BJ178,W178),0))</f>
        <v>0</v>
      </c>
      <c r="BC178" s="735">
        <f>IF($E$36=$D$36,IF(AW178=1,Fall1xzul(AX178,AY178,BL178,R178),0),IF(AW178=1,Fall1xzul(AX178,AY178,BL178,X178),0))</f>
        <v>0</v>
      </c>
      <c r="BD178" s="735">
        <f>IF($E$36=$D$36,IF(AW178=2,Fall2Tzul(AX178, AZ178, BJ178,Q178, Z178),0),IF(AW178=2,Fall2Tzul(AX178, AZ178, BJ178,W178, Z178),0))</f>
        <v>0</v>
      </c>
      <c r="BE178" s="735">
        <f>IF($E$36=$D$36,IF(AW178=2,Fall2xzul(AX178,AZ178,BL178,R178,AA178),0),IF(AW178=2,Fall2xzul(AX178,AZ178,BL178,X178,AA178),0))</f>
        <v>0</v>
      </c>
      <c r="BF178" s="735">
        <f t="shared" si="19"/>
        <v>0</v>
      </c>
      <c r="BG178" s="735">
        <f t="shared" si="20"/>
        <v>0</v>
      </c>
      <c r="BH178" s="735">
        <f t="shared" si="21"/>
        <v>20</v>
      </c>
      <c r="BI178" s="735">
        <f t="shared" si="22"/>
        <v>9.3375463988818836</v>
      </c>
      <c r="BJ178" s="473">
        <f t="shared" si="93"/>
        <v>20</v>
      </c>
      <c r="BK178" s="491">
        <f t="shared" si="117"/>
        <v>0.60016815796205236</v>
      </c>
      <c r="BL178" s="475">
        <f>AbsFeuchte(BJ178,BK178,$N$19)</f>
        <v>9.3375463988818836</v>
      </c>
      <c r="BM178" s="735">
        <f t="shared" si="118"/>
        <v>43.826162797481331</v>
      </c>
      <c r="BN178" s="473">
        <f t="shared" si="94"/>
        <v>20</v>
      </c>
      <c r="BO178" s="491">
        <f t="shared" si="119"/>
        <v>0.60016815796205247</v>
      </c>
      <c r="BP178" s="475">
        <f t="shared" si="74"/>
        <v>9.3375463988818836</v>
      </c>
      <c r="BQ178" s="735">
        <f t="shared" si="120"/>
        <v>43.826162797481331</v>
      </c>
      <c r="BR178" s="473">
        <f t="shared" si="75"/>
        <v>25</v>
      </c>
      <c r="BS178" s="491">
        <f t="shared" si="76"/>
        <v>0.44291435275724123</v>
      </c>
      <c r="BT178" s="475">
        <f>AbsFeuchte(BR178,BS178,$N$19)</f>
        <v>9.3375463988818819</v>
      </c>
      <c r="BU178" s="576">
        <f>IF($I$21=0,IF(E$13=$S$10,BR178+$N$18,BR178),IF(E$13=$S$10,BR178+$N$18+#REF!,BR178+$I$21))</f>
        <v>25</v>
      </c>
      <c r="BV178" s="736">
        <f t="shared" si="121"/>
        <v>0.44291435275724134</v>
      </c>
      <c r="BW178" s="726">
        <f t="shared" si="78"/>
        <v>9.3375463988818819</v>
      </c>
      <c r="BX178" s="475">
        <f t="shared" si="95"/>
        <v>8.1562872637862469</v>
      </c>
      <c r="BY178" s="475">
        <f t="shared" si="96"/>
        <v>1.4210854715202004E-14</v>
      </c>
      <c r="BZ178" s="475">
        <f t="shared" si="79"/>
        <v>8.1562872637862469</v>
      </c>
      <c r="CA178" s="475">
        <f t="shared" si="80"/>
        <v>0</v>
      </c>
      <c r="CB178" s="475">
        <f t="shared" si="27"/>
        <v>0</v>
      </c>
      <c r="CC178" s="475">
        <f t="shared" si="28"/>
        <v>0</v>
      </c>
      <c r="CD178" s="475">
        <f t="shared" si="29"/>
        <v>1.4210854715202004E-14</v>
      </c>
      <c r="CE178" s="621">
        <f t="shared" si="122"/>
        <v>0</v>
      </c>
      <c r="CF178" s="621">
        <f t="shared" si="123"/>
        <v>0</v>
      </c>
      <c r="CG178" s="621">
        <f t="shared" si="124"/>
        <v>1.5437661293128936E-17</v>
      </c>
      <c r="CH178" s="573">
        <f t="shared" si="125"/>
        <v>1.3893895163816043E-14</v>
      </c>
      <c r="CI178" s="621">
        <f t="shared" si="34"/>
        <v>1.016222648773445E-17</v>
      </c>
      <c r="CJ178" s="621">
        <f t="shared" si="126"/>
        <v>8.8604100676011755E-3</v>
      </c>
      <c r="CK178" s="621">
        <f t="shared" si="127"/>
        <v>0</v>
      </c>
      <c r="CL178" s="737">
        <f t="shared" si="128"/>
        <v>0</v>
      </c>
      <c r="CM178" s="738">
        <f t="shared" si="38"/>
        <v>1.5437661293128936E-17</v>
      </c>
      <c r="CN178" s="475">
        <f t="shared" si="39"/>
        <v>0.60016815796205236</v>
      </c>
      <c r="CO178" s="475">
        <f t="shared" si="40"/>
        <v>0.60016815796205247</v>
      </c>
      <c r="CP178" s="475">
        <f t="shared" si="97"/>
        <v>26.4</v>
      </c>
      <c r="CQ178" s="475">
        <f t="shared" si="41"/>
        <v>26.4</v>
      </c>
      <c r="CR178" s="475">
        <f t="shared" si="42"/>
        <v>1.4210854715202004E-14</v>
      </c>
      <c r="CS178" s="475">
        <f t="shared" si="43"/>
        <v>8.1562872637862469</v>
      </c>
      <c r="CT178" s="475">
        <f t="shared" si="129"/>
        <v>6.1107632093933472E-3</v>
      </c>
      <c r="CU178" s="475">
        <f t="shared" si="45"/>
        <v>20</v>
      </c>
      <c r="CV178" s="475">
        <f t="shared" si="46"/>
        <v>20</v>
      </c>
      <c r="CW178" s="475">
        <f t="shared" si="98"/>
        <v>1.4971173276994539E-2</v>
      </c>
      <c r="CX178" s="573">
        <f t="shared" si="99"/>
        <v>0</v>
      </c>
      <c r="CY178" s="475">
        <f t="shared" si="102"/>
        <v>20</v>
      </c>
      <c r="CZ178" s="475">
        <f t="shared" si="100"/>
        <v>20</v>
      </c>
      <c r="DA178" s="475">
        <v>32</v>
      </c>
      <c r="DB178" s="739">
        <f t="shared" si="82"/>
        <v>0</v>
      </c>
      <c r="DC178" s="740">
        <f t="shared" si="130"/>
        <v>0</v>
      </c>
    </row>
    <row r="179" spans="1:107" s="619" customFormat="1" ht="12" customHeight="1">
      <c r="A179" s="732">
        <v>33</v>
      </c>
      <c r="B179" s="917">
        <f>Klimadaten!O63/8760*$K$68</f>
        <v>1.3356164383561644</v>
      </c>
      <c r="C179" s="762">
        <f>Klimadaten!Q63</f>
        <v>8.3587503438709483</v>
      </c>
      <c r="D179" s="763">
        <f>Klimadaten!N63</f>
        <v>0.25</v>
      </c>
      <c r="E179" s="491">
        <f t="shared" si="103"/>
        <v>0.39710208502073524</v>
      </c>
      <c r="F179" s="438">
        <f t="shared" si="49"/>
        <v>1</v>
      </c>
      <c r="G179" s="733">
        <f t="shared" si="104"/>
        <v>33</v>
      </c>
      <c r="H179" s="527">
        <f t="shared" si="50"/>
        <v>-13</v>
      </c>
      <c r="I179" s="733">
        <f t="shared" si="51"/>
        <v>26.6</v>
      </c>
      <c r="J179" s="473">
        <f t="shared" si="52"/>
        <v>26.6</v>
      </c>
      <c r="K179" s="491">
        <f t="shared" si="53"/>
        <v>0.79999999999999982</v>
      </c>
      <c r="L179" s="473">
        <f t="shared" si="54"/>
        <v>26.6</v>
      </c>
      <c r="M179" s="473">
        <f t="shared" si="105"/>
        <v>8.3587503438709483</v>
      </c>
      <c r="N179" s="473">
        <f t="shared" si="106"/>
        <v>48.083407392240929</v>
      </c>
      <c r="O179" s="473">
        <f t="shared" si="107"/>
        <v>48.083407392240929</v>
      </c>
      <c r="P179" s="734">
        <f t="shared" si="108"/>
        <v>0</v>
      </c>
      <c r="Q179" s="473">
        <f t="shared" si="85"/>
        <v>26.6</v>
      </c>
      <c r="R179" s="475">
        <f t="shared" si="101"/>
        <v>8.3587503438709483</v>
      </c>
      <c r="S179" s="473">
        <f t="shared" si="86"/>
        <v>48.083407392240929</v>
      </c>
      <c r="T179" s="473">
        <f t="shared" si="11"/>
        <v>26.6</v>
      </c>
      <c r="U179" s="473">
        <f t="shared" si="12"/>
        <v>26.6</v>
      </c>
      <c r="V179" s="734">
        <f t="shared" si="13"/>
        <v>0</v>
      </c>
      <c r="W179" s="473">
        <f t="shared" si="56"/>
        <v>26.6</v>
      </c>
      <c r="X179" s="475">
        <f t="shared" si="57"/>
        <v>8.3587503438709483</v>
      </c>
      <c r="Y179" s="735">
        <f t="shared" si="109"/>
        <v>48.083407392240929</v>
      </c>
      <c r="Z179" s="475">
        <f t="shared" si="59"/>
        <v>9</v>
      </c>
      <c r="AA179" s="475">
        <f>IF($E$36=$D$36,MIN(AbsFeuchte(Z179,100%,$N$19),R179),MIN(AbsFeuchte(Z179,100%,$N$19),X179))</f>
        <v>7.6169281356214986</v>
      </c>
      <c r="AB179" s="735">
        <f t="shared" si="110"/>
        <v>28.236014801061046</v>
      </c>
      <c r="AC179" s="475">
        <f t="shared" si="61"/>
        <v>9</v>
      </c>
      <c r="AD179" s="475">
        <v>57</v>
      </c>
      <c r="AE179" s="735">
        <f t="shared" si="111"/>
        <v>152.59938</v>
      </c>
      <c r="AF179" s="735">
        <f t="shared" si="63"/>
        <v>9</v>
      </c>
      <c r="AG179" s="735">
        <f t="shared" si="87"/>
        <v>23.725361419864257</v>
      </c>
      <c r="AH179" s="475">
        <f t="shared" si="88"/>
        <v>26.6</v>
      </c>
      <c r="AI179" s="475">
        <f t="shared" si="64"/>
        <v>8.3587503438709465</v>
      </c>
      <c r="AJ179" s="735">
        <f t="shared" si="112"/>
        <v>48.083407392240922</v>
      </c>
      <c r="AK179" s="475">
        <f t="shared" si="66"/>
        <v>20</v>
      </c>
      <c r="AL179" s="475">
        <f t="shared" si="67"/>
        <v>8.0805670157774045</v>
      </c>
      <c r="AM179" s="735">
        <f t="shared" si="113"/>
        <v>40.634943539655673</v>
      </c>
      <c r="AN179" s="475">
        <f t="shared" si="89"/>
        <v>19.999999999999993</v>
      </c>
      <c r="AO179" s="475">
        <f t="shared" si="69"/>
        <v>8.3587503438709483</v>
      </c>
      <c r="AP179" s="735">
        <f t="shared" si="90"/>
        <v>41.341195373019559</v>
      </c>
      <c r="AQ179" s="475" t="e">
        <f t="shared" ca="1" si="114"/>
        <v>#NAME?</v>
      </c>
      <c r="AR179" s="475">
        <f t="shared" si="91"/>
        <v>8.3587503438709465</v>
      </c>
      <c r="AS179" s="735" t="e">
        <f t="shared" ca="1" si="115"/>
        <v>#VALUE!</v>
      </c>
      <c r="AT179" s="475">
        <f t="shared" si="92"/>
        <v>20</v>
      </c>
      <c r="AU179" s="475">
        <f t="shared" si="16"/>
        <v>8.3587503438709483</v>
      </c>
      <c r="AV179" s="735">
        <f t="shared" si="116"/>
        <v>41.341195373019559</v>
      </c>
      <c r="AW179" s="529">
        <f t="shared" si="70"/>
        <v>4</v>
      </c>
      <c r="AX179" s="735">
        <f t="shared" si="71"/>
        <v>1</v>
      </c>
      <c r="AY179" s="735">
        <f t="shared" si="18"/>
        <v>1</v>
      </c>
      <c r="AZ179" s="735">
        <f t="shared" si="72"/>
        <v>1</v>
      </c>
      <c r="BA179" s="735">
        <f t="shared" si="73"/>
        <v>1</v>
      </c>
      <c r="BB179" s="735">
        <f>IF($E$36=$D$36,IF(AW179=1,Fall1Tzul(AX179,AY179,BJ179,Q179),0),IF(AW179=1,Fall1Tzul(AX179,AY179,BJ179,W179),0))</f>
        <v>0</v>
      </c>
      <c r="BC179" s="735">
        <f>IF($E$36=$D$36,IF(AW179=1,Fall1xzul(AX179,AY179,BL179,R179),0),IF(AW179=1,Fall1xzul(AX179,AY179,BL179,X179),0))</f>
        <v>0</v>
      </c>
      <c r="BD179" s="735">
        <f>IF($E$36=$D$36,IF(AW179=2,Fall2Tzul(AX179, AZ179, BJ179,Q179, Z179),0),IF(AW179=2,Fall2Tzul(AX179, AZ179, BJ179,W179, Z179),0))</f>
        <v>0</v>
      </c>
      <c r="BE179" s="735">
        <f>IF($E$36=$D$36,IF(AW179=2,Fall2xzul(AX179,AZ179,BL179,R179,AA179),0),IF(AW179=2,Fall2xzul(AX179,AZ179,BL179,X179,AA179),0))</f>
        <v>0</v>
      </c>
      <c r="BF179" s="735">
        <f t="shared" si="19"/>
        <v>0</v>
      </c>
      <c r="BG179" s="735">
        <f t="shared" si="20"/>
        <v>0</v>
      </c>
      <c r="BH179" s="735">
        <f t="shared" si="21"/>
        <v>20</v>
      </c>
      <c r="BI179" s="735">
        <f t="shared" si="22"/>
        <v>8.3587503438709465</v>
      </c>
      <c r="BJ179" s="473">
        <f t="shared" si="93"/>
        <v>20</v>
      </c>
      <c r="BK179" s="491">
        <f t="shared" si="117"/>
        <v>0.53809054822030367</v>
      </c>
      <c r="BL179" s="475">
        <f>AbsFeuchte(BJ179,BK179,$N$19)</f>
        <v>8.3587503438709465</v>
      </c>
      <c r="BM179" s="735">
        <f t="shared" si="118"/>
        <v>41.341195373019559</v>
      </c>
      <c r="BN179" s="473">
        <f t="shared" si="94"/>
        <v>20</v>
      </c>
      <c r="BO179" s="491">
        <f t="shared" si="119"/>
        <v>0.53809054822030367</v>
      </c>
      <c r="BP179" s="475">
        <f t="shared" si="74"/>
        <v>8.3587503438709465</v>
      </c>
      <c r="BQ179" s="735">
        <f t="shared" si="120"/>
        <v>41.341195373019559</v>
      </c>
      <c r="BR179" s="473">
        <f t="shared" si="75"/>
        <v>25</v>
      </c>
      <c r="BS179" s="491">
        <f t="shared" si="76"/>
        <v>0.39710208502073524</v>
      </c>
      <c r="BT179" s="475">
        <f>AbsFeuchte(BR179,BS179,$N$19)</f>
        <v>8.3587503438709465</v>
      </c>
      <c r="BU179" s="576">
        <f>IF($I$21=0,IF(E$13=$S$10,BR179+$N$18,BR179),IF(E$13=$S$10,BR179+$N$18+#REF!,BR179+$I$21))</f>
        <v>25</v>
      </c>
      <c r="BV179" s="736">
        <f t="shared" si="121"/>
        <v>0.39710208502073518</v>
      </c>
      <c r="BW179" s="726">
        <f t="shared" si="78"/>
        <v>8.3587503438709465</v>
      </c>
      <c r="BX179" s="475">
        <f t="shared" si="95"/>
        <v>7.448463852585256</v>
      </c>
      <c r="BY179" s="475">
        <f t="shared" si="96"/>
        <v>0</v>
      </c>
      <c r="BZ179" s="475">
        <f t="shared" si="79"/>
        <v>7.448463852585256</v>
      </c>
      <c r="CA179" s="475">
        <f t="shared" si="80"/>
        <v>0</v>
      </c>
      <c r="CB179" s="475">
        <f t="shared" si="27"/>
        <v>0</v>
      </c>
      <c r="CC179" s="475">
        <f t="shared" si="28"/>
        <v>0</v>
      </c>
      <c r="CD179" s="475">
        <f t="shared" si="29"/>
        <v>0</v>
      </c>
      <c r="CE179" s="621">
        <f t="shared" si="122"/>
        <v>0</v>
      </c>
      <c r="CF179" s="621">
        <f t="shared" si="123"/>
        <v>0</v>
      </c>
      <c r="CG179" s="621">
        <f t="shared" si="124"/>
        <v>0</v>
      </c>
      <c r="CH179" s="573">
        <f t="shared" si="125"/>
        <v>0</v>
      </c>
      <c r="CI179" s="621">
        <f t="shared" si="34"/>
        <v>0</v>
      </c>
      <c r="CJ179" s="621">
        <f t="shared" si="126"/>
        <v>1.2137221625450726E-2</v>
      </c>
      <c r="CK179" s="621">
        <f t="shared" si="127"/>
        <v>0</v>
      </c>
      <c r="CL179" s="737">
        <f t="shared" si="128"/>
        <v>1.0420421372862031E-14</v>
      </c>
      <c r="CM179" s="738">
        <f t="shared" si="38"/>
        <v>0</v>
      </c>
      <c r="CN179" s="475">
        <f t="shared" si="39"/>
        <v>0.53809054822030367</v>
      </c>
      <c r="CO179" s="475">
        <f t="shared" si="40"/>
        <v>0.53809054822030367</v>
      </c>
      <c r="CP179" s="475">
        <f t="shared" si="97"/>
        <v>26.6</v>
      </c>
      <c r="CQ179" s="475">
        <f t="shared" si="41"/>
        <v>26.6</v>
      </c>
      <c r="CR179" s="475">
        <f t="shared" si="42"/>
        <v>0</v>
      </c>
      <c r="CS179" s="475">
        <f t="shared" si="43"/>
        <v>7.448463852585256</v>
      </c>
      <c r="CT179" s="475">
        <f t="shared" si="129"/>
        <v>9.1661448140900204E-3</v>
      </c>
      <c r="CU179" s="475">
        <f t="shared" si="45"/>
        <v>20</v>
      </c>
      <c r="CV179" s="475">
        <f t="shared" si="46"/>
        <v>20</v>
      </c>
      <c r="CW179" s="475">
        <f t="shared" si="98"/>
        <v>2.1303366439540748E-2</v>
      </c>
      <c r="CX179" s="573">
        <f t="shared" si="99"/>
        <v>-1.0420421372862031E-14</v>
      </c>
      <c r="CY179" s="475">
        <f t="shared" si="102"/>
        <v>20</v>
      </c>
      <c r="CZ179" s="475">
        <f t="shared" si="100"/>
        <v>20</v>
      </c>
      <c r="DA179" s="475">
        <v>33</v>
      </c>
      <c r="DB179" s="739">
        <f t="shared" si="82"/>
        <v>0</v>
      </c>
      <c r="DC179" s="740">
        <f t="shared" si="130"/>
        <v>0</v>
      </c>
    </row>
    <row r="180" spans="1:107" s="619" customFormat="1" ht="12" customHeight="1">
      <c r="A180" s="732">
        <v>34</v>
      </c>
      <c r="B180" s="917">
        <f>Klimadaten!O64/8760*$K$68</f>
        <v>0</v>
      </c>
      <c r="C180" s="762">
        <f>Klimadaten!Q64</f>
        <v>0</v>
      </c>
      <c r="D180" s="763">
        <f>Klimadaten!N64</f>
        <v>0</v>
      </c>
      <c r="E180" s="491">
        <f t="shared" si="103"/>
        <v>0</v>
      </c>
      <c r="F180" s="438">
        <f t="shared" si="49"/>
        <v>1</v>
      </c>
      <c r="G180" s="733">
        <f t="shared" si="104"/>
        <v>34</v>
      </c>
      <c r="H180" s="527">
        <f t="shared" si="50"/>
        <v>-14</v>
      </c>
      <c r="I180" s="733">
        <f t="shared" si="51"/>
        <v>26.8</v>
      </c>
      <c r="J180" s="473">
        <f t="shared" si="52"/>
        <v>26.8</v>
      </c>
      <c r="K180" s="491">
        <f t="shared" si="53"/>
        <v>0.79999999999999993</v>
      </c>
      <c r="L180" s="473">
        <f t="shared" si="54"/>
        <v>26.8</v>
      </c>
      <c r="M180" s="473">
        <f t="shared" si="105"/>
        <v>0</v>
      </c>
      <c r="N180" s="473">
        <f t="shared" si="106"/>
        <v>26.960800000000003</v>
      </c>
      <c r="O180" s="473">
        <f t="shared" si="107"/>
        <v>26.960800000000003</v>
      </c>
      <c r="P180" s="734">
        <f t="shared" si="108"/>
        <v>0</v>
      </c>
      <c r="Q180" s="473">
        <f t="shared" si="85"/>
        <v>26.8</v>
      </c>
      <c r="R180" s="475">
        <f t="shared" si="101"/>
        <v>0</v>
      </c>
      <c r="S180" s="473">
        <f t="shared" si="86"/>
        <v>26.960800000000003</v>
      </c>
      <c r="T180" s="473">
        <f t="shared" si="11"/>
        <v>26.8</v>
      </c>
      <c r="U180" s="473">
        <f t="shared" si="12"/>
        <v>26.8</v>
      </c>
      <c r="V180" s="734">
        <f t="shared" si="13"/>
        <v>0</v>
      </c>
      <c r="W180" s="473">
        <f t="shared" si="56"/>
        <v>26.8</v>
      </c>
      <c r="X180" s="475">
        <f t="shared" si="57"/>
        <v>0</v>
      </c>
      <c r="Y180" s="735">
        <f t="shared" si="109"/>
        <v>26.960800000000003</v>
      </c>
      <c r="Z180" s="475">
        <f t="shared" si="59"/>
        <v>9</v>
      </c>
      <c r="AA180" s="475">
        <f>IF($E$36=$D$36,MIN(AbsFeuchte(Z180,100%,$N$19),R180),MIN(AbsFeuchte(Z180,100%,$N$19),X180))</f>
        <v>0</v>
      </c>
      <c r="AB180" s="735">
        <f t="shared" si="110"/>
        <v>9.0540000000000003</v>
      </c>
      <c r="AC180" s="475">
        <f t="shared" si="61"/>
        <v>9</v>
      </c>
      <c r="AD180" s="475">
        <v>58</v>
      </c>
      <c r="AE180" s="735">
        <f t="shared" si="111"/>
        <v>155.11771999999999</v>
      </c>
      <c r="AF180" s="735">
        <f t="shared" si="63"/>
        <v>9</v>
      </c>
      <c r="AG180" s="735">
        <f t="shared" si="87"/>
        <v>9.9999999999999992E+22</v>
      </c>
      <c r="AH180" s="475">
        <f t="shared" si="88"/>
        <v>26.8</v>
      </c>
      <c r="AI180" s="475">
        <f t="shared" si="64"/>
        <v>0</v>
      </c>
      <c r="AJ180" s="735">
        <f t="shared" si="112"/>
        <v>26.960800000000003</v>
      </c>
      <c r="AK180" s="475">
        <f t="shared" si="66"/>
        <v>20</v>
      </c>
      <c r="AL180" s="475">
        <f t="shared" si="67"/>
        <v>1.1E-22</v>
      </c>
      <c r="AM180" s="735">
        <f t="shared" si="113"/>
        <v>20.12</v>
      </c>
      <c r="AN180" s="475">
        <f t="shared" si="89"/>
        <v>20</v>
      </c>
      <c r="AO180" s="475">
        <f t="shared" si="69"/>
        <v>0</v>
      </c>
      <c r="AP180" s="735">
        <f t="shared" si="90"/>
        <v>20.12</v>
      </c>
      <c r="AQ180" s="475" t="e">
        <f t="shared" ca="1" si="114"/>
        <v>#NAME?</v>
      </c>
      <c r="AR180" s="475">
        <f t="shared" si="91"/>
        <v>0</v>
      </c>
      <c r="AS180" s="735" t="e">
        <f t="shared" ca="1" si="115"/>
        <v>#VALUE!</v>
      </c>
      <c r="AT180" s="475">
        <f t="shared" si="92"/>
        <v>20</v>
      </c>
      <c r="AU180" s="475">
        <f t="shared" si="16"/>
        <v>0</v>
      </c>
      <c r="AV180" s="735">
        <f t="shared" si="116"/>
        <v>20.12</v>
      </c>
      <c r="AW180" s="529">
        <f t="shared" si="70"/>
        <v>4</v>
      </c>
      <c r="AX180" s="735">
        <f t="shared" si="71"/>
        <v>1</v>
      </c>
      <c r="AY180" s="735">
        <f t="shared" si="18"/>
        <v>1</v>
      </c>
      <c r="AZ180" s="735">
        <f t="shared" si="72"/>
        <v>1</v>
      </c>
      <c r="BA180" s="735">
        <f t="shared" si="73"/>
        <v>1</v>
      </c>
      <c r="BB180" s="735">
        <f>IF($E$36=$D$36,IF(AW180=1,Fall1Tzul(AX180,AY180,BJ180,Q180),0),IF(AW180=1,Fall1Tzul(AX180,AY180,BJ180,W180),0))</f>
        <v>0</v>
      </c>
      <c r="BC180" s="735">
        <f>IF($E$36=$D$36,IF(AW180=1,Fall1xzul(AX180,AY180,BL180,R180),0),IF(AW180=1,Fall1xzul(AX180,AY180,BL180,X180),0))</f>
        <v>0</v>
      </c>
      <c r="BD180" s="735">
        <f>IF($E$36=$D$36,IF(AW180=2,Fall2Tzul(AX180, AZ180, BJ180,Q180, Z180),0),IF(AW180=2,Fall2Tzul(AX180, AZ180, BJ180,W180, Z180),0))</f>
        <v>0</v>
      </c>
      <c r="BE180" s="735">
        <f>IF($E$36=$D$36,IF(AW180=2,Fall2xzul(AX180,AZ180,BL180,R180,AA180),0),IF(AW180=2,Fall2xzul(AX180,AZ180,BL180,X180,AA180),0))</f>
        <v>0</v>
      </c>
      <c r="BF180" s="735">
        <f t="shared" si="19"/>
        <v>0</v>
      </c>
      <c r="BG180" s="735">
        <f t="shared" si="20"/>
        <v>0</v>
      </c>
      <c r="BH180" s="735">
        <f t="shared" si="21"/>
        <v>20</v>
      </c>
      <c r="BI180" s="735">
        <f t="shared" si="22"/>
        <v>0</v>
      </c>
      <c r="BJ180" s="473">
        <f t="shared" si="93"/>
        <v>20</v>
      </c>
      <c r="BK180" s="491">
        <f t="shared" si="117"/>
        <v>0</v>
      </c>
      <c r="BL180" s="475">
        <f>AbsFeuchte(BJ180,BK180,$N$19)</f>
        <v>0</v>
      </c>
      <c r="BM180" s="735">
        <f t="shared" si="118"/>
        <v>20.12</v>
      </c>
      <c r="BN180" s="473">
        <f t="shared" si="94"/>
        <v>20</v>
      </c>
      <c r="BO180" s="491">
        <f t="shared" si="119"/>
        <v>0</v>
      </c>
      <c r="BP180" s="475">
        <f t="shared" si="74"/>
        <v>0</v>
      </c>
      <c r="BQ180" s="735">
        <f t="shared" si="120"/>
        <v>20.12</v>
      </c>
      <c r="BR180" s="473">
        <f t="shared" si="75"/>
        <v>25</v>
      </c>
      <c r="BS180" s="491">
        <f t="shared" si="76"/>
        <v>0</v>
      </c>
      <c r="BT180" s="475">
        <f>AbsFeuchte(BR180,BS180,$N$19)</f>
        <v>0</v>
      </c>
      <c r="BU180" s="576">
        <f>IF($I$21=0,IF(E$13=$S$10,BR180+$N$18,BR180),IF(E$13=$S$10,BR180+$N$18+#REF!,BR180+$I$21))</f>
        <v>25</v>
      </c>
      <c r="BV180" s="736">
        <f t="shared" si="121"/>
        <v>0</v>
      </c>
      <c r="BW180" s="726">
        <f t="shared" si="78"/>
        <v>0</v>
      </c>
      <c r="BX180" s="475">
        <f t="shared" si="95"/>
        <v>6.8408000000000015</v>
      </c>
      <c r="BY180" s="475">
        <f t="shared" si="96"/>
        <v>0</v>
      </c>
      <c r="BZ180" s="475">
        <f t="shared" si="79"/>
        <v>6.8408000000000015</v>
      </c>
      <c r="CA180" s="475">
        <f t="shared" si="80"/>
        <v>0</v>
      </c>
      <c r="CB180" s="475">
        <f t="shared" si="27"/>
        <v>0</v>
      </c>
      <c r="CC180" s="475">
        <f t="shared" si="28"/>
        <v>0</v>
      </c>
      <c r="CD180" s="475">
        <f t="shared" si="29"/>
        <v>0</v>
      </c>
      <c r="CE180" s="621">
        <f t="shared" si="122"/>
        <v>0</v>
      </c>
      <c r="CF180" s="621">
        <f t="shared" si="123"/>
        <v>0</v>
      </c>
      <c r="CG180" s="621">
        <f t="shared" si="124"/>
        <v>0</v>
      </c>
      <c r="CH180" s="573">
        <f t="shared" si="125"/>
        <v>0</v>
      </c>
      <c r="CI180" s="621">
        <f t="shared" si="34"/>
        <v>0</v>
      </c>
      <c r="CJ180" s="621">
        <f t="shared" si="126"/>
        <v>0</v>
      </c>
      <c r="CK180" s="621">
        <f t="shared" si="127"/>
        <v>0</v>
      </c>
      <c r="CL180" s="737">
        <f t="shared" si="128"/>
        <v>0</v>
      </c>
      <c r="CM180" s="738">
        <f t="shared" si="38"/>
        <v>0</v>
      </c>
      <c r="CN180" s="475">
        <f t="shared" si="39"/>
        <v>222</v>
      </c>
      <c r="CO180" s="475">
        <f t="shared" si="40"/>
        <v>222</v>
      </c>
      <c r="CP180" s="475">
        <f t="shared" si="97"/>
        <v>222</v>
      </c>
      <c r="CQ180" s="475">
        <f t="shared" si="41"/>
        <v>-222</v>
      </c>
      <c r="CR180" s="475">
        <f t="shared" si="42"/>
        <v>-222</v>
      </c>
      <c r="CS180" s="475">
        <f t="shared" si="43"/>
        <v>-222</v>
      </c>
      <c r="CT180" s="475">
        <f t="shared" si="129"/>
        <v>0</v>
      </c>
      <c r="CU180" s="475">
        <f t="shared" si="45"/>
        <v>222</v>
      </c>
      <c r="CV180" s="475">
        <f t="shared" si="46"/>
        <v>-222</v>
      </c>
      <c r="CW180" s="475">
        <f t="shared" si="98"/>
        <v>0</v>
      </c>
      <c r="CX180" s="573">
        <f t="shared" si="99"/>
        <v>0</v>
      </c>
      <c r="CY180" s="475">
        <f t="shared" si="102"/>
        <v>20</v>
      </c>
      <c r="CZ180" s="475">
        <f t="shared" si="100"/>
        <v>20</v>
      </c>
      <c r="DA180" s="475">
        <v>34</v>
      </c>
      <c r="DB180" s="739">
        <f t="shared" si="82"/>
        <v>0</v>
      </c>
      <c r="DC180" s="740">
        <f t="shared" si="130"/>
        <v>0</v>
      </c>
    </row>
    <row r="181" spans="1:107" s="619" customFormat="1" ht="12" customHeight="1">
      <c r="A181" s="732">
        <v>35</v>
      </c>
      <c r="B181" s="917">
        <f>Klimadaten!O65/8760*$K$68</f>
        <v>0</v>
      </c>
      <c r="C181" s="762">
        <f>Klimadaten!Q65</f>
        <v>0</v>
      </c>
      <c r="D181" s="763">
        <f>Klimadaten!N65</f>
        <v>0</v>
      </c>
      <c r="E181" s="491">
        <f t="shared" si="103"/>
        <v>0</v>
      </c>
      <c r="F181" s="438">
        <f t="shared" si="49"/>
        <v>1</v>
      </c>
      <c r="G181" s="733">
        <f t="shared" si="104"/>
        <v>35</v>
      </c>
      <c r="H181" s="527">
        <f t="shared" si="50"/>
        <v>-15</v>
      </c>
      <c r="I181" s="733">
        <f t="shared" si="51"/>
        <v>27</v>
      </c>
      <c r="J181" s="473">
        <f t="shared" si="52"/>
        <v>27</v>
      </c>
      <c r="K181" s="491">
        <f t="shared" si="53"/>
        <v>0.8</v>
      </c>
      <c r="L181" s="473">
        <f t="shared" si="54"/>
        <v>27</v>
      </c>
      <c r="M181" s="473">
        <f t="shared" si="105"/>
        <v>0</v>
      </c>
      <c r="N181" s="473">
        <f t="shared" si="106"/>
        <v>27.161999999999999</v>
      </c>
      <c r="O181" s="473">
        <f t="shared" si="107"/>
        <v>27.161999999999999</v>
      </c>
      <c r="P181" s="734">
        <f t="shared" si="108"/>
        <v>0</v>
      </c>
      <c r="Q181" s="473">
        <f t="shared" si="85"/>
        <v>27</v>
      </c>
      <c r="R181" s="475">
        <f t="shared" si="101"/>
        <v>0</v>
      </c>
      <c r="S181" s="473">
        <f>MIN(MAX(N181,BM181),O181)</f>
        <v>27.161999999999999</v>
      </c>
      <c r="T181" s="473">
        <f t="shared" si="11"/>
        <v>27</v>
      </c>
      <c r="U181" s="473">
        <f t="shared" si="12"/>
        <v>27</v>
      </c>
      <c r="V181" s="734">
        <f t="shared" si="13"/>
        <v>0</v>
      </c>
      <c r="W181" s="473">
        <f t="shared" si="56"/>
        <v>27</v>
      </c>
      <c r="X181" s="475">
        <f t="shared" si="57"/>
        <v>0</v>
      </c>
      <c r="Y181" s="735">
        <f t="shared" si="109"/>
        <v>27.161999999999999</v>
      </c>
      <c r="Z181" s="475">
        <f t="shared" si="59"/>
        <v>9</v>
      </c>
      <c r="AA181" s="475">
        <f>IF($E$36=$D$36,MIN(AbsFeuchte(Z181,100%,$N$19),R181),MIN(AbsFeuchte(Z181,100%,$N$19),X181))</f>
        <v>0</v>
      </c>
      <c r="AB181" s="735">
        <f t="shared" si="110"/>
        <v>9.0540000000000003</v>
      </c>
      <c r="AC181" s="475">
        <f t="shared" si="61"/>
        <v>9</v>
      </c>
      <c r="AD181" s="475">
        <v>59</v>
      </c>
      <c r="AE181" s="735">
        <f t="shared" si="111"/>
        <v>157.63605999999999</v>
      </c>
      <c r="AF181" s="735">
        <f t="shared" si="63"/>
        <v>9</v>
      </c>
      <c r="AG181" s="735">
        <f t="shared" si="87"/>
        <v>9.9999999999999992E+22</v>
      </c>
      <c r="AH181" s="475">
        <f t="shared" si="88"/>
        <v>27</v>
      </c>
      <c r="AI181" s="475">
        <f t="shared" si="64"/>
        <v>0</v>
      </c>
      <c r="AJ181" s="735">
        <f t="shared" si="112"/>
        <v>27.161999999999999</v>
      </c>
      <c r="AK181" s="475">
        <f t="shared" si="66"/>
        <v>20</v>
      </c>
      <c r="AL181" s="475">
        <f t="shared" si="67"/>
        <v>1.1E-22</v>
      </c>
      <c r="AM181" s="735">
        <f t="shared" si="113"/>
        <v>20.12</v>
      </c>
      <c r="AN181" s="475">
        <f>TemperaturH(AP181,AO181)</f>
        <v>20</v>
      </c>
      <c r="AO181" s="475">
        <f t="shared" si="69"/>
        <v>0</v>
      </c>
      <c r="AP181" s="735">
        <f t="shared" si="90"/>
        <v>20.12</v>
      </c>
      <c r="AQ181" s="475" t="e">
        <f t="shared" ca="1" si="114"/>
        <v>#NAME?</v>
      </c>
      <c r="AR181" s="475">
        <f t="shared" si="91"/>
        <v>0</v>
      </c>
      <c r="AS181" s="735" t="e">
        <f t="shared" ca="1" si="115"/>
        <v>#VALUE!</v>
      </c>
      <c r="AT181" s="475">
        <f>BN181</f>
        <v>20</v>
      </c>
      <c r="AU181" s="475">
        <f t="shared" si="16"/>
        <v>0</v>
      </c>
      <c r="AV181" s="735">
        <f t="shared" si="116"/>
        <v>20.12</v>
      </c>
      <c r="AW181" s="529">
        <f t="shared" si="70"/>
        <v>4</v>
      </c>
      <c r="AX181" s="735">
        <f t="shared" si="71"/>
        <v>1</v>
      </c>
      <c r="AY181" s="735">
        <f t="shared" si="18"/>
        <v>1</v>
      </c>
      <c r="AZ181" s="735">
        <f t="shared" si="72"/>
        <v>1</v>
      </c>
      <c r="BA181" s="735">
        <f t="shared" si="73"/>
        <v>1</v>
      </c>
      <c r="BB181" s="735">
        <f>IF($E$36=$D$36,IF(AW181=1,Fall1Tzul(AX181,AY181,BJ181,Q181),0),IF(AW181=1,Fall1Tzul(AX181,AY181,BJ181,W181),0))</f>
        <v>0</v>
      </c>
      <c r="BC181" s="735">
        <f>IF($E$36=$D$36,IF(AW181=1,Fall1xzul(AX181,AY181,BL181,R181),0),IF(AW181=1,Fall1xzul(AX181,AY181,BL181,X181),0))</f>
        <v>0</v>
      </c>
      <c r="BD181" s="735">
        <f>IF($E$36=$D$36,IF(AW181=2,Fall2Tzul(AX181, AZ181, BJ181,Q181, Z181),0),IF(AW181=2,Fall2Tzul(AX181, AZ181, BJ181,W181, Z181),0))</f>
        <v>0</v>
      </c>
      <c r="BE181" s="735">
        <f>IF($E$36=$D$36,IF(AW181=2,Fall2xzul(AX181,AZ181,BL181,R181,AA181),0),IF(AW181=2,Fall2xzul(AX181,AZ181,BL181,X181,AA181),0))</f>
        <v>0</v>
      </c>
      <c r="BF181" s="735">
        <f t="shared" si="19"/>
        <v>0</v>
      </c>
      <c r="BG181" s="735">
        <f t="shared" si="20"/>
        <v>0</v>
      </c>
      <c r="BH181" s="735">
        <f t="shared" si="21"/>
        <v>20</v>
      </c>
      <c r="BI181" s="735">
        <f t="shared" si="22"/>
        <v>0</v>
      </c>
      <c r="BJ181" s="473">
        <f t="shared" si="93"/>
        <v>20</v>
      </c>
      <c r="BK181" s="491">
        <f t="shared" si="117"/>
        <v>0</v>
      </c>
      <c r="BL181" s="475">
        <f>AbsFeuchte(BJ181,BK181,$N$19)</f>
        <v>0</v>
      </c>
      <c r="BM181" s="735">
        <f t="shared" si="118"/>
        <v>20.12</v>
      </c>
      <c r="BN181" s="473">
        <f>BB181+BD181+BF181+BH181</f>
        <v>20</v>
      </c>
      <c r="BO181" s="491">
        <f t="shared" si="119"/>
        <v>0</v>
      </c>
      <c r="BP181" s="475">
        <f t="shared" si="74"/>
        <v>0</v>
      </c>
      <c r="BQ181" s="735">
        <f t="shared" si="120"/>
        <v>20.12</v>
      </c>
      <c r="BR181" s="473">
        <f t="shared" si="75"/>
        <v>25</v>
      </c>
      <c r="BS181" s="491">
        <f t="shared" si="76"/>
        <v>0</v>
      </c>
      <c r="BT181" s="475">
        <f>AbsFeuchte(BR181,BS181,$N$19)</f>
        <v>0</v>
      </c>
      <c r="BU181" s="576">
        <f>IF($I$21=0,IF(E$13=$S$10,BR181+$N$18,BR181),IF(E$13=$S$10,BR181+$N$18+#REF!,BR181+$I$21))</f>
        <v>25</v>
      </c>
      <c r="BV181" s="736">
        <f t="shared" si="121"/>
        <v>0</v>
      </c>
      <c r="BW181" s="726">
        <f t="shared" si="78"/>
        <v>0</v>
      </c>
      <c r="BX181" s="475">
        <f t="shared" si="95"/>
        <v>7.041999999999998</v>
      </c>
      <c r="BY181" s="475">
        <f t="shared" si="96"/>
        <v>0</v>
      </c>
      <c r="BZ181" s="475">
        <f t="shared" si="79"/>
        <v>7.041999999999998</v>
      </c>
      <c r="CA181" s="475">
        <f t="shared" si="80"/>
        <v>0</v>
      </c>
      <c r="CB181" s="475">
        <f t="shared" si="27"/>
        <v>0</v>
      </c>
      <c r="CC181" s="475">
        <f t="shared" si="28"/>
        <v>0</v>
      </c>
      <c r="CD181" s="475">
        <f t="shared" si="29"/>
        <v>0</v>
      </c>
      <c r="CE181" s="621">
        <f t="shared" si="122"/>
        <v>0</v>
      </c>
      <c r="CF181" s="621">
        <f t="shared" si="123"/>
        <v>0</v>
      </c>
      <c r="CG181" s="621">
        <f t="shared" si="124"/>
        <v>0</v>
      </c>
      <c r="CH181" s="573">
        <f t="shared" si="125"/>
        <v>0</v>
      </c>
      <c r="CI181" s="621">
        <f t="shared" si="34"/>
        <v>0</v>
      </c>
      <c r="CJ181" s="621">
        <f t="shared" si="126"/>
        <v>0</v>
      </c>
      <c r="CK181" s="621">
        <f t="shared" si="127"/>
        <v>0</v>
      </c>
      <c r="CL181" s="737">
        <f t="shared" si="128"/>
        <v>0</v>
      </c>
      <c r="CM181" s="738">
        <f t="shared" si="38"/>
        <v>0</v>
      </c>
      <c r="CN181" s="475">
        <f t="shared" si="39"/>
        <v>222</v>
      </c>
      <c r="CO181" s="475">
        <f t="shared" si="40"/>
        <v>222</v>
      </c>
      <c r="CP181" s="475">
        <f t="shared" si="97"/>
        <v>222</v>
      </c>
      <c r="CQ181" s="475">
        <f t="shared" si="41"/>
        <v>-222</v>
      </c>
      <c r="CR181" s="475">
        <f>IF(B181&gt;0,BY181,-222)</f>
        <v>-222</v>
      </c>
      <c r="CS181" s="475">
        <f t="shared" si="43"/>
        <v>-222</v>
      </c>
      <c r="CT181" s="475">
        <f t="shared" si="129"/>
        <v>0</v>
      </c>
      <c r="CU181" s="475">
        <f t="shared" si="45"/>
        <v>222</v>
      </c>
      <c r="CV181" s="475">
        <f t="shared" si="46"/>
        <v>-222</v>
      </c>
      <c r="CW181" s="475">
        <f t="shared" si="98"/>
        <v>0</v>
      </c>
      <c r="CX181" s="573">
        <f t="shared" si="99"/>
        <v>0</v>
      </c>
      <c r="CY181" s="475">
        <f t="shared" si="102"/>
        <v>20</v>
      </c>
      <c r="CZ181" s="475">
        <f t="shared" si="100"/>
        <v>20</v>
      </c>
      <c r="DA181" s="475">
        <v>35</v>
      </c>
      <c r="DB181" s="739">
        <f t="shared" si="82"/>
        <v>0</v>
      </c>
      <c r="DC181" s="740">
        <f t="shared" si="130"/>
        <v>0</v>
      </c>
    </row>
    <row r="182" spans="1:107" s="619" customFormat="1" ht="12" customHeight="1">
      <c r="A182" s="437"/>
      <c r="B182" s="410"/>
      <c r="C182" s="410"/>
      <c r="D182" s="410"/>
      <c r="E182" s="410"/>
      <c r="F182" s="410"/>
      <c r="G182" s="410"/>
      <c r="H182" s="410"/>
      <c r="I182" s="410"/>
      <c r="J182" s="410"/>
      <c r="K182" s="410"/>
      <c r="L182" s="410"/>
      <c r="M182" s="473"/>
      <c r="N182" s="473"/>
      <c r="O182" s="473"/>
      <c r="P182" s="473"/>
      <c r="Q182" s="473"/>
      <c r="R182" s="473"/>
      <c r="S182" s="473"/>
      <c r="T182" s="410"/>
      <c r="U182" s="410"/>
      <c r="V182" s="410"/>
      <c r="W182" s="410"/>
      <c r="X182" s="410"/>
      <c r="Y182" s="410"/>
      <c r="Z182" s="410"/>
      <c r="AA182" s="410"/>
      <c r="AB182" s="410"/>
      <c r="AC182" s="410"/>
      <c r="AD182" s="410"/>
      <c r="AE182" s="410"/>
      <c r="AF182" s="410"/>
      <c r="AG182" s="410"/>
      <c r="AH182" s="410"/>
      <c r="AI182" s="410"/>
      <c r="AJ182" s="410"/>
      <c r="AK182" s="410"/>
      <c r="AL182" s="410"/>
      <c r="AM182" s="410"/>
      <c r="AN182" s="410"/>
      <c r="AO182" s="410"/>
      <c r="AP182" s="410"/>
      <c r="AQ182" s="410"/>
      <c r="AR182" s="410"/>
      <c r="AS182" s="410"/>
      <c r="AT182" s="410"/>
      <c r="AU182" s="410"/>
      <c r="AV182" s="410"/>
      <c r="AW182" s="410"/>
      <c r="AX182" s="410"/>
      <c r="AY182" s="410"/>
      <c r="AZ182" s="410"/>
      <c r="BA182" s="410"/>
      <c r="BB182" s="410"/>
      <c r="BC182" s="410"/>
      <c r="BD182" s="410"/>
      <c r="BE182" s="410"/>
      <c r="BF182" s="410"/>
      <c r="BG182" s="410"/>
      <c r="BH182" s="410"/>
      <c r="BI182" s="410"/>
      <c r="BJ182" s="410"/>
      <c r="BK182" s="410"/>
      <c r="BL182" s="621"/>
      <c r="BM182" s="410"/>
      <c r="BN182" s="410"/>
      <c r="BO182" s="410"/>
      <c r="BP182" s="410"/>
      <c r="BQ182" s="410"/>
      <c r="BR182" s="621"/>
      <c r="BS182" s="621"/>
      <c r="BT182" s="410"/>
      <c r="BU182" s="410"/>
      <c r="BV182" s="410"/>
      <c r="BW182" s="410"/>
      <c r="BX182" s="410"/>
      <c r="BY182" s="410"/>
      <c r="BZ182" s="410"/>
      <c r="CA182" s="410"/>
      <c r="CB182" s="410"/>
      <c r="CC182" s="410"/>
      <c r="CD182" s="410"/>
      <c r="CE182" s="755">
        <f t="shared" ref="CE182:CM182" si="131">SUM(CE122:CE181)</f>
        <v>0</v>
      </c>
      <c r="CF182" s="755">
        <f t="shared" si="131"/>
        <v>0</v>
      </c>
      <c r="CG182" s="755">
        <f t="shared" si="131"/>
        <v>-3.2534871175269231E-15</v>
      </c>
      <c r="CH182" s="635">
        <f t="shared" si="131"/>
        <v>9.98623714899278E-12</v>
      </c>
      <c r="CI182" s="755">
        <f t="shared" si="131"/>
        <v>7.3041002880591368E-15</v>
      </c>
      <c r="CJ182" s="755">
        <f t="shared" si="131"/>
        <v>1.7501597036018199</v>
      </c>
      <c r="CK182" s="755">
        <f t="shared" si="131"/>
        <v>3.7862957285656109</v>
      </c>
      <c r="CL182" s="635">
        <f t="shared" si="131"/>
        <v>8.8773306412307155E-12</v>
      </c>
      <c r="CM182" s="755">
        <f t="shared" si="131"/>
        <v>-3.2534871175269231E-15</v>
      </c>
      <c r="CN182" s="508"/>
      <c r="CO182" s="508"/>
      <c r="CP182" s="508"/>
      <c r="CQ182" s="508"/>
      <c r="CR182" s="508"/>
      <c r="CS182" s="508"/>
      <c r="CT182" s="726">
        <f>SUM(CT122:CT181)</f>
        <v>26.76514285714287</v>
      </c>
      <c r="CU182" s="508"/>
      <c r="CV182" s="508"/>
      <c r="CW182" s="726">
        <f>ROUND(MAX(CW122:CW181),0)</f>
        <v>2</v>
      </c>
      <c r="CX182" s="508"/>
      <c r="CY182" s="756">
        <f>BJ181</f>
        <v>20</v>
      </c>
      <c r="CZ182" s="756">
        <f>BN181</f>
        <v>20</v>
      </c>
      <c r="DA182" s="756"/>
      <c r="DB182" s="757"/>
      <c r="DC182" s="758"/>
    </row>
    <row r="183" spans="1:107" s="619" customFormat="1" ht="12" customHeight="1">
      <c r="A183" s="436"/>
      <c r="B183" s="436"/>
      <c r="C183" s="436"/>
      <c r="D183" s="436"/>
      <c r="E183" s="436"/>
      <c r="F183" s="436"/>
      <c r="G183" s="436"/>
      <c r="H183" s="436"/>
      <c r="I183" s="436"/>
      <c r="J183" s="436"/>
      <c r="K183" s="436"/>
      <c r="L183" s="436"/>
      <c r="M183" s="436"/>
      <c r="N183" s="436"/>
      <c r="O183" s="436"/>
      <c r="P183" s="436"/>
      <c r="Q183" s="436"/>
      <c r="R183" s="436"/>
      <c r="S183" s="436"/>
      <c r="T183" s="436"/>
      <c r="U183" s="436"/>
      <c r="V183" s="436"/>
      <c r="W183" s="436"/>
      <c r="X183" s="436"/>
      <c r="Y183" s="436"/>
      <c r="Z183" s="436"/>
      <c r="AA183" s="436"/>
      <c r="AB183" s="436"/>
      <c r="AC183" s="436"/>
      <c r="AD183" s="436"/>
      <c r="AE183" s="436"/>
      <c r="AF183" s="436"/>
      <c r="AG183" s="436"/>
      <c r="AH183" s="436"/>
      <c r="AI183" s="436"/>
      <c r="AJ183" s="436"/>
      <c r="AK183" s="436"/>
      <c r="AL183" s="436"/>
      <c r="AM183" s="436"/>
      <c r="AN183" s="436"/>
      <c r="AO183" s="436"/>
      <c r="AP183" s="436"/>
      <c r="AQ183" s="436"/>
      <c r="AR183" s="436"/>
      <c r="AS183" s="436"/>
      <c r="AT183" s="436"/>
      <c r="AU183" s="436"/>
      <c r="AV183" s="436"/>
      <c r="AW183" s="436"/>
      <c r="AX183" s="436"/>
      <c r="AY183" s="436"/>
      <c r="AZ183" s="436"/>
      <c r="BA183" s="436"/>
      <c r="BB183" s="753"/>
      <c r="BC183" s="753"/>
      <c r="BD183" s="436"/>
      <c r="BE183" s="436"/>
      <c r="BF183" s="436"/>
      <c r="BG183" s="753"/>
      <c r="BH183" s="715"/>
      <c r="BI183" s="715"/>
      <c r="BJ183" s="436"/>
      <c r="BK183" s="436"/>
      <c r="BL183" s="436"/>
      <c r="BM183" s="436"/>
      <c r="BN183" s="436"/>
      <c r="BO183" s="753"/>
      <c r="BP183" s="753"/>
      <c r="BQ183" s="753"/>
      <c r="BR183" s="753"/>
      <c r="BS183" s="436"/>
      <c r="BT183" s="753"/>
      <c r="BU183" s="571"/>
      <c r="BV183" s="753"/>
      <c r="BW183" s="753"/>
      <c r="BX183" s="753"/>
      <c r="BY183" s="753"/>
      <c r="BZ183" s="759">
        <f>MAX(BZ$121:BZ$181)*$E$18*$N$23/3600</f>
        <v>25.780852141231509</v>
      </c>
      <c r="CA183" s="759">
        <f>MAX(CA$121:CA$181)*$E$18*$N$23/3600</f>
        <v>0</v>
      </c>
      <c r="CB183" s="759">
        <f>MAX(CB$121:CB$181)*$E$18*$N$23/3600</f>
        <v>0</v>
      </c>
      <c r="CC183" s="761">
        <f>MAX(CC$133:CC$181)*$E$18*$N$23/3600</f>
        <v>16.153470609180598</v>
      </c>
      <c r="CD183" s="759">
        <f>MAX(CD$121:CD$181)*$E$18*$N$23/3600</f>
        <v>3.8943099186312001E-14</v>
      </c>
      <c r="CE183" s="436"/>
      <c r="CF183" s="436"/>
      <c r="CG183" s="436"/>
      <c r="CH183" s="436"/>
      <c r="CI183" s="754"/>
      <c r="CJ183" s="436"/>
      <c r="CK183" s="436"/>
      <c r="CL183" s="436"/>
      <c r="CM183" s="436"/>
      <c r="CN183" s="436"/>
      <c r="CO183" s="436"/>
      <c r="CP183" s="436"/>
      <c r="CQ183" s="436"/>
      <c r="CR183" s="436"/>
      <c r="CS183" s="754"/>
      <c r="CT183" s="436"/>
      <c r="CU183" s="436"/>
      <c r="CV183" s="436"/>
      <c r="CW183" s="436"/>
      <c r="CX183" s="436"/>
      <c r="CY183" s="436"/>
      <c r="CZ183" s="436"/>
      <c r="DA183" s="436"/>
      <c r="DB183" s="436"/>
      <c r="DC183" s="436"/>
    </row>
    <row r="184" spans="1:107" s="619" customFormat="1" ht="12" hidden="1" customHeight="1" outlineLevel="1">
      <c r="A184" s="508" t="s">
        <v>974</v>
      </c>
      <c r="B184" s="410" t="s">
        <v>858</v>
      </c>
      <c r="C184" s="410"/>
      <c r="D184" s="508" t="s">
        <v>975</v>
      </c>
      <c r="E184" s="410" t="s">
        <v>858</v>
      </c>
      <c r="F184" s="410"/>
      <c r="G184" s="410"/>
      <c r="H184" s="410"/>
      <c r="I184" s="410"/>
      <c r="J184" s="410"/>
      <c r="K184" s="410"/>
      <c r="L184" s="410"/>
      <c r="M184" s="410"/>
      <c r="N184" s="410"/>
      <c r="O184" s="410"/>
      <c r="P184" s="410"/>
      <c r="Q184" s="410"/>
      <c r="R184" s="410"/>
      <c r="S184" s="410"/>
      <c r="T184" s="410"/>
      <c r="U184" s="410"/>
      <c r="V184" s="410"/>
      <c r="W184" s="410"/>
      <c r="X184" s="410"/>
      <c r="Y184" s="410"/>
      <c r="Z184" s="410"/>
      <c r="AA184" s="410"/>
      <c r="AB184" s="410"/>
      <c r="AC184" s="410"/>
      <c r="AD184" s="410"/>
      <c r="AE184" s="410"/>
      <c r="AF184" s="410"/>
      <c r="AG184" s="410"/>
      <c r="AH184" s="410"/>
      <c r="AI184" s="410"/>
      <c r="AJ184" s="410"/>
      <c r="AK184" s="410"/>
      <c r="AL184" s="410"/>
      <c r="AM184" s="410"/>
      <c r="AN184" s="410"/>
      <c r="AO184" s="410"/>
      <c r="AP184" s="410"/>
      <c r="AQ184" s="410"/>
      <c r="AR184" s="410"/>
      <c r="AS184" s="410"/>
      <c r="AT184" s="410"/>
      <c r="AU184" s="410"/>
      <c r="AV184" s="410"/>
      <c r="AW184" s="410"/>
      <c r="AX184" s="410"/>
      <c r="AY184" s="410"/>
      <c r="AZ184" s="410"/>
      <c r="BA184" s="410"/>
      <c r="BB184" s="410"/>
      <c r="BC184" s="410"/>
      <c r="BD184" s="410"/>
      <c r="BE184" s="410"/>
      <c r="BF184" s="410"/>
      <c r="BG184" s="410"/>
      <c r="BH184" s="480"/>
      <c r="BI184" s="480"/>
      <c r="BJ184" s="410"/>
      <c r="BK184" s="410"/>
      <c r="BL184" s="410"/>
      <c r="BM184" s="410"/>
      <c r="BN184" s="410"/>
      <c r="BO184" s="410"/>
      <c r="BP184" s="410"/>
      <c r="BQ184" s="410"/>
      <c r="BR184" s="410"/>
      <c r="BS184" s="410"/>
      <c r="BT184" s="410"/>
      <c r="BU184" s="410"/>
      <c r="BV184" s="410"/>
      <c r="BW184" s="410"/>
      <c r="BX184" s="410"/>
      <c r="BY184" s="410"/>
      <c r="BZ184" s="410"/>
      <c r="CA184" s="410"/>
      <c r="CB184" s="410"/>
      <c r="CC184" s="410"/>
      <c r="CD184" s="410"/>
      <c r="CE184" s="410"/>
      <c r="CF184" s="410"/>
      <c r="CG184" s="410"/>
      <c r="CH184" s="410"/>
      <c r="CI184" s="410"/>
      <c r="CJ184" s="410"/>
      <c r="CK184" s="410"/>
      <c r="CL184" s="410"/>
      <c r="CM184" s="410"/>
      <c r="CN184" s="410"/>
      <c r="CO184" s="410"/>
      <c r="CP184" s="410"/>
      <c r="CQ184" s="410"/>
      <c r="CR184" s="410"/>
      <c r="CS184" s="410"/>
      <c r="CT184" s="410"/>
      <c r="CU184" s="410"/>
      <c r="CV184" s="410"/>
      <c r="CW184" s="410"/>
      <c r="CX184" s="410"/>
      <c r="CY184" s="410"/>
      <c r="CZ184" s="410"/>
      <c r="DA184" s="410"/>
      <c r="DB184" s="410"/>
      <c r="DC184" s="410"/>
    </row>
    <row r="185" spans="1:107" s="622" customFormat="1" ht="12" hidden="1" customHeight="1" outlineLevel="1">
      <c r="A185" s="413" t="s">
        <v>859</v>
      </c>
      <c r="B185" s="413"/>
      <c r="C185" s="413"/>
      <c r="D185" s="413"/>
      <c r="E185" s="413"/>
      <c r="F185" s="413" t="s">
        <v>860</v>
      </c>
      <c r="G185" s="413"/>
      <c r="H185" s="413"/>
      <c r="I185" s="413"/>
      <c r="J185" s="413"/>
      <c r="K185" s="413"/>
      <c r="L185" s="413"/>
      <c r="M185" s="413"/>
      <c r="N185" s="508" t="s">
        <v>861</v>
      </c>
      <c r="O185" s="508"/>
      <c r="P185" s="508"/>
      <c r="Q185" s="508"/>
      <c r="R185" s="508"/>
      <c r="S185" s="508"/>
      <c r="T185" s="480" t="s">
        <v>976</v>
      </c>
      <c r="U185" s="480"/>
      <c r="V185" s="480"/>
      <c r="W185" s="480"/>
      <c r="X185" s="480"/>
      <c r="Y185" s="480"/>
      <c r="Z185" s="536" t="s">
        <v>863</v>
      </c>
      <c r="AA185" s="536"/>
      <c r="AB185" s="536"/>
      <c r="AC185" s="536" t="s">
        <v>864</v>
      </c>
      <c r="AD185" s="536"/>
      <c r="AE185" s="536"/>
      <c r="AF185" s="536" t="s">
        <v>865</v>
      </c>
      <c r="AG185" s="536"/>
      <c r="AH185" s="1053" t="s">
        <v>866</v>
      </c>
      <c r="AI185" s="1053"/>
      <c r="AJ185" s="1053"/>
      <c r="AK185" s="1053" t="s">
        <v>867</v>
      </c>
      <c r="AL185" s="1053"/>
      <c r="AM185" s="1053"/>
      <c r="AN185" s="1053" t="s">
        <v>868</v>
      </c>
      <c r="AO185" s="1053"/>
      <c r="AP185" s="1053"/>
      <c r="AQ185" s="1053" t="s">
        <v>869</v>
      </c>
      <c r="AR185" s="1053"/>
      <c r="AS185" s="1053"/>
      <c r="AT185" s="1053" t="s">
        <v>870</v>
      </c>
      <c r="AU185" s="1053"/>
      <c r="AV185" s="1053"/>
      <c r="AW185" s="536" t="s">
        <v>871</v>
      </c>
      <c r="AX185" s="1053" t="s">
        <v>872</v>
      </c>
      <c r="AY185" s="1053"/>
      <c r="AZ185" s="1053"/>
      <c r="BA185" s="1053"/>
      <c r="BB185" s="1053" t="s">
        <v>873</v>
      </c>
      <c r="BC185" s="1053"/>
      <c r="BD185" s="1053" t="s">
        <v>874</v>
      </c>
      <c r="BE185" s="1053"/>
      <c r="BF185" s="1053" t="s">
        <v>875</v>
      </c>
      <c r="BG185" s="1053"/>
      <c r="BH185" s="1053" t="s">
        <v>876</v>
      </c>
      <c r="BI185" s="1053"/>
      <c r="BJ185" s="407"/>
      <c r="BK185" s="407"/>
      <c r="BL185" s="407"/>
      <c r="BM185" s="407"/>
      <c r="BN185" s="407"/>
      <c r="BO185" s="407"/>
      <c r="BP185" s="407"/>
      <c r="BQ185" s="407"/>
      <c r="BR185" s="407"/>
      <c r="BS185" s="407"/>
      <c r="BT185" s="407"/>
      <c r="BU185" s="407"/>
      <c r="BV185" s="407"/>
      <c r="BW185" s="407"/>
      <c r="BX185" s="407"/>
      <c r="BY185" s="407"/>
      <c r="BZ185" s="407" t="s">
        <v>977</v>
      </c>
      <c r="CA185" s="407" t="s">
        <v>878</v>
      </c>
      <c r="CB185" s="407" t="s">
        <v>878</v>
      </c>
      <c r="CC185" s="407" t="s">
        <v>879</v>
      </c>
      <c r="CD185" s="407" t="s">
        <v>879</v>
      </c>
      <c r="CE185" s="407"/>
      <c r="CF185" s="407"/>
      <c r="CG185" s="407"/>
      <c r="CH185" s="407"/>
      <c r="CI185" s="407"/>
      <c r="CJ185" s="407"/>
      <c r="CK185" s="407"/>
      <c r="CL185" s="407"/>
      <c r="CM185" s="407"/>
      <c r="CN185" s="407"/>
      <c r="CO185" s="407"/>
      <c r="CP185" s="407"/>
      <c r="CQ185" s="407"/>
      <c r="CR185" s="407"/>
      <c r="CS185" s="407"/>
      <c r="CT185" s="407"/>
      <c r="CU185" s="407"/>
      <c r="CV185" s="407"/>
      <c r="CW185" s="407"/>
      <c r="CX185" s="407"/>
      <c r="CY185" s="603"/>
      <c r="CZ185" s="603"/>
      <c r="DA185" s="603"/>
      <c r="DB185" s="603"/>
      <c r="DC185" s="407"/>
    </row>
    <row r="186" spans="1:107" s="619" customFormat="1" ht="12" hidden="1" customHeight="1" outlineLevel="1">
      <c r="A186" s="508" t="s">
        <v>880</v>
      </c>
      <c r="B186" s="508"/>
      <c r="C186" s="508"/>
      <c r="D186" s="480" t="s">
        <v>881</v>
      </c>
      <c r="E186" s="480" t="s">
        <v>882</v>
      </c>
      <c r="F186" s="480" t="s">
        <v>883</v>
      </c>
      <c r="G186" s="480"/>
      <c r="H186" s="480" t="s">
        <v>884</v>
      </c>
      <c r="I186" s="480" t="s">
        <v>885</v>
      </c>
      <c r="J186" s="480" t="s">
        <v>885</v>
      </c>
      <c r="K186" s="480" t="s">
        <v>886</v>
      </c>
      <c r="L186" s="508" t="s">
        <v>885</v>
      </c>
      <c r="M186" s="508"/>
      <c r="N186" s="480" t="s">
        <v>887</v>
      </c>
      <c r="O186" s="480" t="s">
        <v>888</v>
      </c>
      <c r="P186" s="480" t="s">
        <v>886</v>
      </c>
      <c r="Q186" s="508" t="s">
        <v>889</v>
      </c>
      <c r="R186" s="508"/>
      <c r="S186" s="508"/>
      <c r="T186" s="480" t="s">
        <v>887</v>
      </c>
      <c r="U186" s="480" t="s">
        <v>888</v>
      </c>
      <c r="V186" s="480" t="s">
        <v>886</v>
      </c>
      <c r="W186" s="480" t="s">
        <v>889</v>
      </c>
      <c r="X186" s="480"/>
      <c r="Y186" s="480"/>
      <c r="Z186" s="480" t="s">
        <v>890</v>
      </c>
      <c r="AA186" s="480"/>
      <c r="AB186" s="480"/>
      <c r="AC186" s="480" t="s">
        <v>890</v>
      </c>
      <c r="AD186" s="480"/>
      <c r="AE186" s="480"/>
      <c r="AF186" s="480"/>
      <c r="AG186" s="480"/>
      <c r="AH186" s="1052" t="s">
        <v>891</v>
      </c>
      <c r="AI186" s="1052"/>
      <c r="AJ186" s="1052"/>
      <c r="AK186" s="1052" t="s">
        <v>892</v>
      </c>
      <c r="AL186" s="1052"/>
      <c r="AM186" s="1052"/>
      <c r="AN186" s="1052" t="s">
        <v>890</v>
      </c>
      <c r="AO186" s="1052"/>
      <c r="AP186" s="1052"/>
      <c r="AQ186" s="1052" t="s">
        <v>890</v>
      </c>
      <c r="AR186" s="1052"/>
      <c r="AS186" s="1052"/>
      <c r="AT186" s="1052" t="s">
        <v>890</v>
      </c>
      <c r="AU186" s="1052"/>
      <c r="AV186" s="1052"/>
      <c r="AW186" s="480" t="s">
        <v>893</v>
      </c>
      <c r="AX186" s="1052" t="s">
        <v>894</v>
      </c>
      <c r="AY186" s="1052"/>
      <c r="AZ186" s="1052"/>
      <c r="BA186" s="1052"/>
      <c r="BB186" s="1052" t="s">
        <v>895</v>
      </c>
      <c r="BC186" s="1052"/>
      <c r="BD186" s="1052" t="s">
        <v>896</v>
      </c>
      <c r="BE186" s="1052"/>
      <c r="BF186" s="1052" t="s">
        <v>897</v>
      </c>
      <c r="BG186" s="1052"/>
      <c r="BH186" s="1052" t="s">
        <v>898</v>
      </c>
      <c r="BI186" s="1052"/>
      <c r="BJ186" s="1052" t="s">
        <v>899</v>
      </c>
      <c r="BK186" s="1052"/>
      <c r="BL186" s="1052"/>
      <c r="BM186" s="1052"/>
      <c r="BN186" s="1052" t="s">
        <v>900</v>
      </c>
      <c r="BO186" s="1052"/>
      <c r="BP186" s="1052"/>
      <c r="BQ186" s="1052"/>
      <c r="BR186" s="1052" t="s">
        <v>238</v>
      </c>
      <c r="BS186" s="1052"/>
      <c r="BT186" s="1052"/>
      <c r="BU186" s="1052" t="s">
        <v>647</v>
      </c>
      <c r="BV186" s="1052"/>
      <c r="BW186" s="1052"/>
      <c r="BX186" s="480" t="s">
        <v>901</v>
      </c>
      <c r="BY186" s="480" t="s">
        <v>902</v>
      </c>
      <c r="BZ186" s="480" t="s">
        <v>901</v>
      </c>
      <c r="CA186" s="480" t="s">
        <v>903</v>
      </c>
      <c r="CB186" s="480" t="s">
        <v>904</v>
      </c>
      <c r="CC186" s="480" t="s">
        <v>902</v>
      </c>
      <c r="CD186" s="480" t="s">
        <v>905</v>
      </c>
      <c r="CE186" s="1052" t="s">
        <v>149</v>
      </c>
      <c r="CF186" s="1052"/>
      <c r="CG186" s="1052" t="s">
        <v>906</v>
      </c>
      <c r="CH186" s="1052"/>
      <c r="CI186" s="480" t="s">
        <v>907</v>
      </c>
      <c r="CJ186" s="722" t="s">
        <v>908</v>
      </c>
      <c r="CK186" s="508"/>
      <c r="CL186" s="480" t="s">
        <v>907</v>
      </c>
      <c r="CM186" s="480" t="s">
        <v>909</v>
      </c>
      <c r="CN186" s="480" t="s">
        <v>910</v>
      </c>
      <c r="CO186" s="480" t="s">
        <v>910</v>
      </c>
      <c r="CP186" s="480" t="s">
        <v>911</v>
      </c>
      <c r="CQ186" s="480" t="s">
        <v>911</v>
      </c>
      <c r="CR186" s="480" t="s">
        <v>912</v>
      </c>
      <c r="CS186" s="480" t="s">
        <v>913</v>
      </c>
      <c r="CT186" s="480" t="s">
        <v>914</v>
      </c>
      <c r="CU186" s="480" t="s">
        <v>915</v>
      </c>
      <c r="CV186" s="480" t="s">
        <v>978</v>
      </c>
      <c r="CW186" s="480" t="s">
        <v>916</v>
      </c>
      <c r="CX186" s="508" t="s">
        <v>917</v>
      </c>
      <c r="CY186" s="475"/>
      <c r="CZ186" s="475"/>
      <c r="DA186" s="508" t="s">
        <v>918</v>
      </c>
      <c r="DB186" s="475"/>
      <c r="DC186" s="410"/>
    </row>
    <row r="187" spans="1:107" s="619" customFormat="1" ht="12" hidden="1" customHeight="1" outlineLevel="1">
      <c r="A187" s="480" t="s">
        <v>919</v>
      </c>
      <c r="B187" s="480" t="s">
        <v>920</v>
      </c>
      <c r="C187" s="480" t="s">
        <v>921</v>
      </c>
      <c r="D187" s="480" t="s">
        <v>922</v>
      </c>
      <c r="E187" s="480" t="s">
        <v>922</v>
      </c>
      <c r="F187" s="480" t="s">
        <v>923</v>
      </c>
      <c r="G187" s="480"/>
      <c r="H187" s="480" t="s">
        <v>924</v>
      </c>
      <c r="I187" s="480" t="s">
        <v>925</v>
      </c>
      <c r="J187" s="480" t="s">
        <v>926</v>
      </c>
      <c r="K187" s="480" t="s">
        <v>645</v>
      </c>
      <c r="L187" s="480" t="s">
        <v>927</v>
      </c>
      <c r="M187" s="480" t="s">
        <v>921</v>
      </c>
      <c r="N187" s="480" t="s">
        <v>928</v>
      </c>
      <c r="O187" s="480" t="s">
        <v>929</v>
      </c>
      <c r="P187" s="480" t="s">
        <v>930</v>
      </c>
      <c r="Q187" s="480" t="s">
        <v>927</v>
      </c>
      <c r="R187" s="480" t="s">
        <v>921</v>
      </c>
      <c r="S187" s="480" t="s">
        <v>685</v>
      </c>
      <c r="T187" s="480" t="s">
        <v>931</v>
      </c>
      <c r="U187" s="480" t="s">
        <v>932</v>
      </c>
      <c r="V187" s="480" t="s">
        <v>930</v>
      </c>
      <c r="W187" s="480" t="s">
        <v>927</v>
      </c>
      <c r="X187" s="480" t="s">
        <v>921</v>
      </c>
      <c r="Y187" s="480" t="s">
        <v>685</v>
      </c>
      <c r="Z187" s="480" t="s">
        <v>927</v>
      </c>
      <c r="AA187" s="480" t="s">
        <v>921</v>
      </c>
      <c r="AB187" s="480" t="s">
        <v>685</v>
      </c>
      <c r="AC187" s="480" t="s">
        <v>927</v>
      </c>
      <c r="AD187" s="480" t="s">
        <v>921</v>
      </c>
      <c r="AE187" s="480" t="s">
        <v>685</v>
      </c>
      <c r="AF187" s="480" t="s">
        <v>933</v>
      </c>
      <c r="AG187" s="480" t="s">
        <v>934</v>
      </c>
      <c r="AH187" s="480" t="s">
        <v>927</v>
      </c>
      <c r="AI187" s="480" t="s">
        <v>921</v>
      </c>
      <c r="AJ187" s="480" t="s">
        <v>685</v>
      </c>
      <c r="AK187" s="480" t="s">
        <v>927</v>
      </c>
      <c r="AL187" s="480" t="s">
        <v>921</v>
      </c>
      <c r="AM187" s="480" t="s">
        <v>685</v>
      </c>
      <c r="AN187" s="480" t="s">
        <v>927</v>
      </c>
      <c r="AO187" s="480" t="s">
        <v>921</v>
      </c>
      <c r="AP187" s="480" t="s">
        <v>685</v>
      </c>
      <c r="AQ187" s="480" t="s">
        <v>927</v>
      </c>
      <c r="AR187" s="480" t="s">
        <v>921</v>
      </c>
      <c r="AS187" s="480" t="s">
        <v>685</v>
      </c>
      <c r="AT187" s="480" t="s">
        <v>927</v>
      </c>
      <c r="AU187" s="480" t="s">
        <v>921</v>
      </c>
      <c r="AV187" s="480" t="s">
        <v>685</v>
      </c>
      <c r="AW187" s="480" t="s">
        <v>935</v>
      </c>
      <c r="AX187" s="480" t="s">
        <v>936</v>
      </c>
      <c r="AY187" s="480" t="s">
        <v>937</v>
      </c>
      <c r="AZ187" s="480" t="s">
        <v>938</v>
      </c>
      <c r="BA187" s="480" t="s">
        <v>939</v>
      </c>
      <c r="BB187" s="480" t="s">
        <v>919</v>
      </c>
      <c r="BC187" s="480" t="s">
        <v>940</v>
      </c>
      <c r="BD187" s="480" t="s">
        <v>919</v>
      </c>
      <c r="BE187" s="480" t="s">
        <v>940</v>
      </c>
      <c r="BF187" s="480" t="s">
        <v>919</v>
      </c>
      <c r="BG187" s="480" t="s">
        <v>940</v>
      </c>
      <c r="BH187" s="480" t="s">
        <v>919</v>
      </c>
      <c r="BI187" s="480" t="s">
        <v>940</v>
      </c>
      <c r="BJ187" s="480" t="s">
        <v>927</v>
      </c>
      <c r="BK187" s="480" t="s">
        <v>922</v>
      </c>
      <c r="BL187" s="480" t="s">
        <v>921</v>
      </c>
      <c r="BM187" s="480" t="s">
        <v>685</v>
      </c>
      <c r="BN187" s="480" t="s">
        <v>927</v>
      </c>
      <c r="BO187" s="480" t="s">
        <v>922</v>
      </c>
      <c r="BP187" s="480" t="s">
        <v>921</v>
      </c>
      <c r="BQ187" s="480" t="s">
        <v>685</v>
      </c>
      <c r="BR187" s="480" t="s">
        <v>941</v>
      </c>
      <c r="BS187" s="480" t="s">
        <v>922</v>
      </c>
      <c r="BT187" s="480" t="s">
        <v>921</v>
      </c>
      <c r="BU187" s="480" t="s">
        <v>942</v>
      </c>
      <c r="BV187" s="480" t="s">
        <v>922</v>
      </c>
      <c r="BW187" s="480" t="s">
        <v>921</v>
      </c>
      <c r="BX187" s="480" t="s">
        <v>943</v>
      </c>
      <c r="BY187" s="480" t="s">
        <v>944</v>
      </c>
      <c r="BZ187" s="480" t="s">
        <v>945</v>
      </c>
      <c r="CA187" s="480" t="s">
        <v>946</v>
      </c>
      <c r="CB187" s="480" t="s">
        <v>947</v>
      </c>
      <c r="CC187" s="480" t="s">
        <v>948</v>
      </c>
      <c r="CD187" s="480" t="s">
        <v>949</v>
      </c>
      <c r="CE187" s="721" t="s">
        <v>950</v>
      </c>
      <c r="CF187" s="480" t="s">
        <v>951</v>
      </c>
      <c r="CG187" s="480" t="s">
        <v>952</v>
      </c>
      <c r="CH187" s="480" t="s">
        <v>3</v>
      </c>
      <c r="CI187" s="480" t="s">
        <v>111</v>
      </c>
      <c r="CJ187" s="721" t="s">
        <v>953</v>
      </c>
      <c r="CK187" s="480" t="s">
        <v>954</v>
      </c>
      <c r="CL187" s="480" t="s">
        <v>955</v>
      </c>
      <c r="CM187" s="480" t="s">
        <v>111</v>
      </c>
      <c r="CN187" s="480" t="s">
        <v>956</v>
      </c>
      <c r="CO187" s="480" t="s">
        <v>956</v>
      </c>
      <c r="CP187" s="480" t="s">
        <v>956</v>
      </c>
      <c r="CQ187" s="480" t="s">
        <v>956</v>
      </c>
      <c r="CR187" s="480" t="s">
        <v>957</v>
      </c>
      <c r="CS187" s="480" t="s">
        <v>957</v>
      </c>
      <c r="CT187" s="480" t="s">
        <v>958</v>
      </c>
      <c r="CU187" s="480" t="s">
        <v>956</v>
      </c>
      <c r="CV187" s="480" t="s">
        <v>956</v>
      </c>
      <c r="CW187" s="480" t="s">
        <v>959</v>
      </c>
      <c r="CX187" s="508" t="s">
        <v>149</v>
      </c>
      <c r="CY187" s="475"/>
      <c r="CZ187" s="475"/>
      <c r="DA187" s="726" t="s">
        <v>960</v>
      </c>
      <c r="DB187" s="475"/>
      <c r="DC187" s="410"/>
    </row>
    <row r="188" spans="1:107" s="619" customFormat="1" ht="12" hidden="1" customHeight="1" outlineLevel="1">
      <c r="A188" s="751" t="s">
        <v>132</v>
      </c>
      <c r="B188" s="480" t="s">
        <v>145</v>
      </c>
      <c r="C188" s="480" t="s">
        <v>963</v>
      </c>
      <c r="D188" s="480" t="s">
        <v>129</v>
      </c>
      <c r="E188" s="480" t="s">
        <v>129</v>
      </c>
      <c r="F188" s="480" t="s">
        <v>964</v>
      </c>
      <c r="G188" s="480"/>
      <c r="H188" s="480" t="s">
        <v>707</v>
      </c>
      <c r="I188" s="480" t="s">
        <v>132</v>
      </c>
      <c r="J188" s="480" t="s">
        <v>132</v>
      </c>
      <c r="K188" s="508"/>
      <c r="L188" s="480" t="s">
        <v>132</v>
      </c>
      <c r="M188" s="480" t="s">
        <v>963</v>
      </c>
      <c r="N188" s="480" t="s">
        <v>731</v>
      </c>
      <c r="O188" s="480" t="s">
        <v>731</v>
      </c>
      <c r="P188" s="480" t="s">
        <v>129</v>
      </c>
      <c r="Q188" s="480" t="s">
        <v>132</v>
      </c>
      <c r="R188" s="480" t="s">
        <v>963</v>
      </c>
      <c r="S188" s="480" t="s">
        <v>731</v>
      </c>
      <c r="T188" s="480" t="s">
        <v>132</v>
      </c>
      <c r="U188" s="480" t="s">
        <v>132</v>
      </c>
      <c r="V188" s="480" t="s">
        <v>129</v>
      </c>
      <c r="W188" s="480" t="s">
        <v>132</v>
      </c>
      <c r="X188" s="480" t="s">
        <v>963</v>
      </c>
      <c r="Y188" s="480" t="s">
        <v>731</v>
      </c>
      <c r="Z188" s="480" t="s">
        <v>132</v>
      </c>
      <c r="AA188" s="480" t="s">
        <v>963</v>
      </c>
      <c r="AB188" s="480" t="s">
        <v>731</v>
      </c>
      <c r="AC188" s="480" t="s">
        <v>132</v>
      </c>
      <c r="AD188" s="480" t="s">
        <v>963</v>
      </c>
      <c r="AE188" s="480" t="s">
        <v>731</v>
      </c>
      <c r="AF188" s="480" t="s">
        <v>965</v>
      </c>
      <c r="AG188" s="480" t="s">
        <v>966</v>
      </c>
      <c r="AH188" s="480" t="s">
        <v>132</v>
      </c>
      <c r="AI188" s="480" t="s">
        <v>963</v>
      </c>
      <c r="AJ188" s="480" t="s">
        <v>731</v>
      </c>
      <c r="AK188" s="480" t="s">
        <v>132</v>
      </c>
      <c r="AL188" s="480" t="s">
        <v>963</v>
      </c>
      <c r="AM188" s="480" t="s">
        <v>731</v>
      </c>
      <c r="AN188" s="480" t="s">
        <v>132</v>
      </c>
      <c r="AO188" s="480" t="s">
        <v>963</v>
      </c>
      <c r="AP188" s="480" t="s">
        <v>731</v>
      </c>
      <c r="AQ188" s="480" t="s">
        <v>132</v>
      </c>
      <c r="AR188" s="480" t="s">
        <v>963</v>
      </c>
      <c r="AS188" s="480" t="s">
        <v>731</v>
      </c>
      <c r="AT188" s="480" t="s">
        <v>132</v>
      </c>
      <c r="AU188" s="480" t="s">
        <v>963</v>
      </c>
      <c r="AV188" s="480" t="s">
        <v>731</v>
      </c>
      <c r="AW188" s="480"/>
      <c r="AX188" s="480"/>
      <c r="AY188" s="480"/>
      <c r="AZ188" s="480"/>
      <c r="BA188" s="480"/>
      <c r="BB188" s="480" t="s">
        <v>965</v>
      </c>
      <c r="BC188" s="480" t="s">
        <v>967</v>
      </c>
      <c r="BD188" s="480" t="s">
        <v>965</v>
      </c>
      <c r="BE188" s="480" t="s">
        <v>967</v>
      </c>
      <c r="BF188" s="480" t="s">
        <v>965</v>
      </c>
      <c r="BG188" s="480" t="s">
        <v>967</v>
      </c>
      <c r="BH188" s="480" t="s">
        <v>965</v>
      </c>
      <c r="BI188" s="480" t="s">
        <v>967</v>
      </c>
      <c r="BJ188" s="480" t="s">
        <v>132</v>
      </c>
      <c r="BK188" s="480" t="s">
        <v>129</v>
      </c>
      <c r="BL188" s="480" t="s">
        <v>963</v>
      </c>
      <c r="BM188" s="480" t="s">
        <v>717</v>
      </c>
      <c r="BN188" s="480" t="s">
        <v>132</v>
      </c>
      <c r="BO188" s="480" t="s">
        <v>129</v>
      </c>
      <c r="BP188" s="480" t="s">
        <v>963</v>
      </c>
      <c r="BQ188" s="480" t="s">
        <v>717</v>
      </c>
      <c r="BR188" s="480" t="s">
        <v>132</v>
      </c>
      <c r="BS188" s="480" t="s">
        <v>129</v>
      </c>
      <c r="BT188" s="480" t="s">
        <v>963</v>
      </c>
      <c r="BU188" s="480" t="s">
        <v>132</v>
      </c>
      <c r="BV188" s="480" t="s">
        <v>129</v>
      </c>
      <c r="BW188" s="480" t="s">
        <v>963</v>
      </c>
      <c r="BX188" s="480" t="s">
        <v>731</v>
      </c>
      <c r="BY188" s="480" t="s">
        <v>731</v>
      </c>
      <c r="BZ188" s="480" t="s">
        <v>731</v>
      </c>
      <c r="CA188" s="480" t="s">
        <v>731</v>
      </c>
      <c r="CB188" s="480" t="s">
        <v>731</v>
      </c>
      <c r="CC188" s="480" t="s">
        <v>731</v>
      </c>
      <c r="CD188" s="480" t="s">
        <v>731</v>
      </c>
      <c r="CE188" s="480" t="s">
        <v>115</v>
      </c>
      <c r="CF188" s="480" t="s">
        <v>115</v>
      </c>
      <c r="CG188" s="480" t="s">
        <v>115</v>
      </c>
      <c r="CH188" s="480" t="s">
        <v>968</v>
      </c>
      <c r="CI188" s="480" t="s">
        <v>115</v>
      </c>
      <c r="CJ188" s="480" t="s">
        <v>115</v>
      </c>
      <c r="CK188" s="480" t="s">
        <v>115</v>
      </c>
      <c r="CL188" s="480"/>
      <c r="CM188" s="480" t="s">
        <v>115</v>
      </c>
      <c r="CN188" s="480" t="s">
        <v>969</v>
      </c>
      <c r="CO188" s="480" t="s">
        <v>746</v>
      </c>
      <c r="CP188" s="480" t="s">
        <v>970</v>
      </c>
      <c r="CQ188" s="480" t="s">
        <v>971</v>
      </c>
      <c r="CR188" s="480"/>
      <c r="CS188" s="480"/>
      <c r="CT188" s="480" t="s">
        <v>115</v>
      </c>
      <c r="CU188" s="480" t="s">
        <v>970</v>
      </c>
      <c r="CV188" s="480" t="s">
        <v>971</v>
      </c>
      <c r="CW188" s="480" t="s">
        <v>972</v>
      </c>
      <c r="CX188" s="508" t="s">
        <v>973</v>
      </c>
      <c r="CY188" s="475"/>
      <c r="CZ188" s="475"/>
      <c r="DA188" s="475"/>
      <c r="DB188" s="475"/>
      <c r="DC188" s="410"/>
    </row>
    <row r="189" spans="1:107" s="619" customFormat="1" ht="12" hidden="1" customHeight="1" outlineLevel="1">
      <c r="A189" s="752">
        <v>-25</v>
      </c>
      <c r="B189" s="573">
        <v>0</v>
      </c>
      <c r="C189" s="475">
        <v>0</v>
      </c>
      <c r="D189" s="741">
        <v>0</v>
      </c>
      <c r="E189" s="491">
        <f t="shared" ref="E189:E220" si="132">MIN(100%,RelFeuchte(BR189,C189,$N$19))</f>
        <v>0</v>
      </c>
      <c r="F189" s="438">
        <f t="shared" ref="F189:F249" si="133">IF(H189&lt;=0,IF(BU189&lt;A189,1,0),0)</f>
        <v>0</v>
      </c>
      <c r="G189" s="438"/>
      <c r="H189" s="475">
        <f t="shared" ref="H189:H249" si="134">-(A189-BJ189)</f>
        <v>47</v>
      </c>
      <c r="I189" s="473">
        <f t="shared" ref="I189:I249" si="135">$F$28*(BU189-A189)+A189</f>
        <v>6.8500000000000014</v>
      </c>
      <c r="J189" s="473">
        <f t="shared" ref="J189:J249" si="136">IF(F189=0,MIN(I189,BJ189),I189)</f>
        <v>6.8500000000000014</v>
      </c>
      <c r="K189" s="491">
        <f t="shared" ref="K189:K249" si="137">IF($F$30=$S$20,$F$28,MAX(IF(AND($F$31=$S$20,F189=1),0,IF(A189=BU189,0,(J189-A189)/(BU189-A189))),0))</f>
        <v>0.65</v>
      </c>
      <c r="L189" s="473">
        <f>IF($F$30=$S$21,K189*(BU189-A189)+A189,I189)</f>
        <v>6.8500000000000014</v>
      </c>
      <c r="M189" s="473">
        <f t="shared" ref="M189:M249" si="138">IF($F$28=0,C189,(K189/$F$28*$F$29)*(BW189-C189)+C189)</f>
        <v>0</v>
      </c>
      <c r="N189" s="473">
        <f>(EnthalpieA(L189,M189,#REF!)*$F$35)+((1-$F$35)*EnthalpieA(BU189,BW189,#REF!))</f>
        <v>6.8911000000000016</v>
      </c>
      <c r="O189" s="473">
        <f>(EnthalpieA(L189,M189,#REF!)*$F$34)+((1-$F$34)*EnthalpieA(BU189,BW189,#REF!))</f>
        <v>6.8911000000000016</v>
      </c>
      <c r="P189" s="734">
        <f>1-IF(EnthalpieA(L189,M189,#REF!)=S189,$F$35,(S189-EnthalpieA(BU189,BW189,#REF!))/((EnthalpieA(L189,M189,#REF!)-EnthalpieA(BU189,BW189,#REF!))))</f>
        <v>0</v>
      </c>
      <c r="Q189" s="473">
        <f>L189*(1-P189)+BU189*P189</f>
        <v>6.8500000000000014</v>
      </c>
      <c r="R189" s="475">
        <f>(M189*(1-$P189)+BW189*$P189)</f>
        <v>0</v>
      </c>
      <c r="S189" s="473">
        <f>MIN(MAX(N189,BM189),O189)</f>
        <v>6.8911000000000016</v>
      </c>
      <c r="T189" s="473">
        <f t="shared" ref="T189:T249" si="139">MIN((L189*($F$35)+BU189*(1-$F$35)))</f>
        <v>6.8500000000000014</v>
      </c>
      <c r="U189" s="473">
        <f t="shared" ref="U189:U249" si="140">(L189*($F$34)+BU189*(1-$F$34))</f>
        <v>6.8500000000000014</v>
      </c>
      <c r="V189" s="491">
        <f t="shared" ref="V189:V249" si="141">1-IF(L189=W189,$F$35,(W189-BU189)/(L189-BU189))</f>
        <v>0</v>
      </c>
      <c r="W189" s="475">
        <f>MIN(MAX(T189,BJ189),U189)</f>
        <v>6.8500000000000014</v>
      </c>
      <c r="X189" s="475">
        <f>(M189*(1-$V189)+BW189*$V189)</f>
        <v>0</v>
      </c>
      <c r="Y189" s="735">
        <f t="shared" ref="Y189:Y220" si="142">EnthalpieA(W189,X189,$N$19)</f>
        <v>6.8911000000000016</v>
      </c>
      <c r="Z189" s="475">
        <f>AVERAGE($F$45:$F$46)</f>
        <v>9</v>
      </c>
      <c r="AA189" s="475">
        <f>IF($F$36=$D$36,MIN(AbsFeuchte(Z189,100%,$N$19),R189),MIN(AbsFeuchte(Z189,100%,$N$19),X189))</f>
        <v>0</v>
      </c>
      <c r="AB189" s="735">
        <f t="shared" ref="AB189:AB220" si="143">EnthalpieA(Z189,AA189,$N$19)</f>
        <v>9.0540000000000003</v>
      </c>
      <c r="AC189" s="475">
        <f>AVERAGE($F$45:$F$46)</f>
        <v>9</v>
      </c>
      <c r="AD189" s="475">
        <v>-1</v>
      </c>
      <c r="AE189" s="735">
        <f t="shared" ref="AE189:AE220" si="144">EnthalpieA(AC189,AD189,$N$19)</f>
        <v>6.53566</v>
      </c>
      <c r="AF189" s="735">
        <f>AVERAGE($F$45:$F$46)</f>
        <v>9</v>
      </c>
      <c r="AG189" s="735">
        <f t="shared" ref="AG189:AG249" si="145">IF($F$36=$D$36,IF(AA189=R189,1E+23,(Q189-AF189)/(R189-AA189)),IF(AA189=X189,1E+23,(W189-AF189)/(X189-AA189)))</f>
        <v>9.9999999999999992E+22</v>
      </c>
      <c r="AH189" s="475">
        <f t="shared" ref="AH189:AH249" si="146">IF($F$36=$D$36,MAX(IF(R189&gt;BL189,AF189+(AG189*(BL189-AA189)),Q189),Z189),MAX(IF(X189&gt;BL189,AF189+(AG189*(BL189-AA189)),W189),Z189))</f>
        <v>9</v>
      </c>
      <c r="AI189" s="475">
        <f>IF(AH189=Z189,AA189,BL189)</f>
        <v>0</v>
      </c>
      <c r="AJ189" s="735">
        <f t="shared" ref="AJ189:AJ220" si="147">EnthalpieA(AH189,AI189,$N$19)</f>
        <v>9.0540000000000003</v>
      </c>
      <c r="AK189" s="475">
        <f t="shared" ref="AK189:AK249" si="148">IF($F$36=$D$36,MAX(MIN(Q189,BJ189),Z189),MAX(MIN(W189,BJ189),Z189))</f>
        <v>9</v>
      </c>
      <c r="AL189" s="475">
        <f>IF(Z189=AK189,AA189,(BJ189-AF189)/AG189+AA189)</f>
        <v>0</v>
      </c>
      <c r="AM189" s="735">
        <f t="shared" ref="AM189:AM220" si="149">EnthalpieA(AK189,AL189,$N$19)</f>
        <v>9.0540000000000003</v>
      </c>
      <c r="AN189" s="475">
        <f>TemperaturH(AP189,AO189)</f>
        <v>22.494603711709743</v>
      </c>
      <c r="AO189" s="475">
        <f t="shared" ref="AO189:AO249" si="150">IF($F$36=$D$36,R189,X189)</f>
        <v>0</v>
      </c>
      <c r="AP189" s="735">
        <f>BM189</f>
        <v>22.629571333980003</v>
      </c>
      <c r="AQ189" s="475" t="e">
        <f t="shared" ref="AQ189:AQ220" ca="1" si="151">TaupunktA(AR189,$N$19)</f>
        <v>#NAME?</v>
      </c>
      <c r="AR189" s="475">
        <f>BL189</f>
        <v>0.19570006685493199</v>
      </c>
      <c r="AS189" s="735" t="e">
        <f t="shared" ref="AS189:AS220" ca="1" si="152">EnthalpieA(AQ189,AR189,$N$19)</f>
        <v>#VALUE!</v>
      </c>
      <c r="AT189" s="475">
        <f>BN189</f>
        <v>22</v>
      </c>
      <c r="AU189" s="475">
        <f t="shared" ref="AU189:AU249" si="153">IF($F$36=$D$36,R189,X189)</f>
        <v>0</v>
      </c>
      <c r="AV189" s="735">
        <f t="shared" ref="AV189:AV220" si="154">EnthalpieA(AT189,AU189,$N$19)</f>
        <v>22.132000000000001</v>
      </c>
      <c r="AW189" s="529">
        <f t="shared" ref="AW189:AW249" si="155">IF($F$36=$D$36,IF(AND(ROUND(BM189,4)&gt;=ROUND(S189,4),ROUND(BL189,4)&gt;=ROUND(R189,4),ROUND(BJ189,4)&gt;=ROUND(Q189,4)),1,IF(ROUND(BL189,4)&lt;ROUND(AA189,4),2,IF(ROUND(BJ189,4)&gt;=ROUND(AH189,4),3,4))),IF(AND(ROUND(BM189,4)&gt;=ROUND(Y189,4),ROUND(BL189,4)&gt;=ROUND(X189,4),ROUND(BJ189,4)&gt;=ROUND(W189,4)),1,IF(ROUND(BL189,4)&lt;ROUND(AA189,4),2,IF(ROUND(BJ189,4)&gt;=ROUND(AH189,4),3,4))))</f>
        <v>1</v>
      </c>
      <c r="AX189" s="735">
        <f>IF($F$39=$S$21,1,0)</f>
        <v>1</v>
      </c>
      <c r="AY189" s="735">
        <f t="shared" ref="AY189:AY249" si="156">IF($F$49=$S$16,0,1)</f>
        <v>0</v>
      </c>
      <c r="AZ189" s="735">
        <f>IF($F$42=$S$21,1,0)</f>
        <v>1</v>
      </c>
      <c r="BA189" s="735">
        <f>IF(AND($F$47=$S$21,AZ189=1),1,0)</f>
        <v>0</v>
      </c>
      <c r="BB189" s="735">
        <f>IF($F$36=$D$36,IF(AW189=1,Fall1Tzul(AX189,AY189,BJ189,Q189),0),IF(AW189=1,Fall1Tzul(AX189,AY189,BJ189,W189),0))</f>
        <v>22</v>
      </c>
      <c r="BC189" s="735">
        <f>IF($F$36=$D$36,IF(AW189=1,Fall1xzul(AX189,AY189,BL189,R189),0),IF(AW189=1,Fall1xzul(AX189,AY189,BL189,X189),0))</f>
        <v>0</v>
      </c>
      <c r="BD189" s="735">
        <f>IF($F$36=$D$36,IF(AW189=2,Fall2Tzul(AX189, AZ189, BJ189,Q189, Z189),0),IF(AW189=2,Fall2Tzul(AX189, AZ189, BJ189,W189, Z189),0))</f>
        <v>0</v>
      </c>
      <c r="BE189" s="735">
        <f>IF($F$36=$D$36,IF(AW189=2,Fall2xzul(AX189,AZ189,BL189,R189,AA189),0),IF(AW189=2,Fall2xzul(AX189,AZ189,BL189,X189,AA189),0))</f>
        <v>0</v>
      </c>
      <c r="BF189" s="735">
        <f t="shared" ref="BF189:BF249" si="157">IF($F$36=$D$36,IF(AW189=3,IF(AND(BA189=1,AX189=1),BJ189,IF(AZ189=1,MIN(BJ189,IF(AX189=1,BJ189,Q189)),IF(AND(AX189=1,BJ189&gt;Q189),BJ189,Q189))),0),IF(AW189=3,IF(AND(BA189=1,AX189=1),BJ189,IF(AZ189=1,MIN(BJ189,IF(AX189=1,BJ189,W189)),IF(AND(AX189=1,BJ189&gt;W189),BJ189,W189))),0))</f>
        <v>0</v>
      </c>
      <c r="BG189" s="735">
        <f t="shared" ref="BG189:BG249" si="158">IF($F$36=$D$36,IF(AW189=3,IF(AND(BA189=1,AX189=1),BL189,IF(AZ189=1,MIN(AL189,R189),R189)),0),IF(AW189=3,IF(AND(BA189=1,AX189=1),BL189,IF(AZ189=1,MIN(AL189,X189),X189)),0))</f>
        <v>0</v>
      </c>
      <c r="BH189" s="735">
        <f t="shared" ref="BH189:BH249" si="159">IF($F$36=$D$36,IF(AW189=4,IF(AZ189=1,BJ189,Q189),0),IF(AW189=4,IF(AZ189=1,BJ189,W189),0))</f>
        <v>0</v>
      </c>
      <c r="BI189" s="735">
        <f t="shared" ref="BI189:BI249" si="160">IF($F$36=$D$36,IF(AND(AW189=4,AY189=0),IF(AZ189=1,AI189,R189),IF(AND(AW189=4,AY189=1),BL189,0)),IF(AND(AW189=4,AY189=0),IF(AZ189=1,AL189,X189),IF(AND(AW189=4,AY189=1),BL189,0)))</f>
        <v>0</v>
      </c>
      <c r="BJ189" s="473">
        <f t="shared" ref="BJ189:BJ249" si="161">IF($DA189&lt;=$B$95,$C$95-($B$95-$DA189)*$I$94,IF($DA189&lt;=$B$96,$C$96-($B$96-$DA189)*$I$95,$C$97-($B$97-$DA189)*$I$96))</f>
        <v>22</v>
      </c>
      <c r="BK189" s="491">
        <f t="shared" ref="BK189:BK220" si="162">MIN(1,RelFeuchte(BJ189,BT189,$N$19))</f>
        <v>1.1286920260116094E-2</v>
      </c>
      <c r="BL189" s="475">
        <f>AbsFeuchte(BJ189,BK189,$N$19)</f>
        <v>0.19570006685493199</v>
      </c>
      <c r="BM189" s="735">
        <f t="shared" ref="BM189:BM220" si="163">EnthalpieA(BJ189,BL189,$N$19)</f>
        <v>22.629571333980003</v>
      </c>
      <c r="BN189" s="473">
        <f>BB189+BD189+BF189+BH189</f>
        <v>22</v>
      </c>
      <c r="BO189" s="491">
        <f t="shared" ref="BO189:BO220" si="164">MIN(1,RelFeuchte(BN189,BP189,$N$19))</f>
        <v>0</v>
      </c>
      <c r="BP189" s="475">
        <f>BC189+BE189+BG189+BI189</f>
        <v>0</v>
      </c>
      <c r="BQ189" s="735">
        <f t="shared" ref="BQ189:BQ220" si="165">EnthalpieA(BN189,BP189,$N$19)</f>
        <v>22.132000000000001</v>
      </c>
      <c r="BR189" s="473">
        <f t="shared" ref="BR189:BR249" si="166">IF($DA189&lt;=$B$95,$D$95-($B$95-$DA189)*$J$94,IF($DA189&lt;=$B$96,$D$96-($B$96-$DA189)*$J$95,$D$97-($B$97-$DA189)*$J$96))</f>
        <v>24</v>
      </c>
      <c r="BS189" s="491">
        <f t="shared" ref="BS189:BS249" si="167">IF(E189&lt;$F$50,$F$50,IF(E189&gt;$F$48,$F$48,E189))</f>
        <v>0.01</v>
      </c>
      <c r="BT189" s="475">
        <f>AbsFeuchte(BR189,BS189,$N$19)</f>
        <v>0.19570006685493199</v>
      </c>
      <c r="BU189" s="576">
        <f>IF($J$21=0,IF(E$13=$S$10,BR189+$N$18,BR189),IF(E$13=$S$10,BR189+$N$18+#REF!,BR189+$J$21))</f>
        <v>24</v>
      </c>
      <c r="BV189" s="491">
        <f t="shared" ref="BV189:BV220" si="168">RelFeuchte(BU189,BW189,$N$19)</f>
        <v>0.01</v>
      </c>
      <c r="BW189" s="726">
        <f t="shared" ref="BW189:BW249" si="169">BT189+$J$20</f>
        <v>0.19570006685493199</v>
      </c>
      <c r="BX189" s="475">
        <f>SUM(BZ189:CA189)</f>
        <v>0</v>
      </c>
      <c r="BY189" s="475">
        <f>SUM(CB189:CD189)</f>
        <v>15.2409</v>
      </c>
      <c r="BZ189" s="475">
        <f t="shared" ref="BZ189:BZ249" si="170">IF($F$36=$D$36,MAX(IF(AZ189=1,IF(OR(AW189=3,AW189=4,AW189=2),S189-AM189,0),0),0),MAX(IF(AZ189=1,IF(OR(AW189=3,AW189=4,AW189=2),Y189-AM189,0),0),0))</f>
        <v>0</v>
      </c>
      <c r="CA189" s="475">
        <f t="shared" ref="CA189:CA249" si="171">IF($F$36=$D$36,MAX(IF(BA189=1,IF(AW189=3,AM189-AJ189,IF(AW189=2,(IF(BP189=R189,0,S189-AB189-BZ189)),0)),0),0),MAX(IF(BA189=1,IF(AW189=3,AM189-AJ189,IF(AW189=2,(IF(BP189=X189,0,Y189-AB189-BZ189)),0)),0),0))</f>
        <v>0</v>
      </c>
      <c r="CB189" s="475">
        <f t="shared" ref="CB189:CB249" si="172">IF($F$36=$D$36,MAX(IF(AND(BA189=1,AX189=1),IF(AW189=3,BQ189-AJ189,IF(AW189=2,IF(R189=BP189,0,BQ189-AB189),0)),0),0),MAX(IF(AND(BA189=1,AX189=1),IF(AW189=3,BQ189-AJ189,IF(AW189=2,IF(X189=BP189,0,BQ189-AB189),0)),0),0))</f>
        <v>0</v>
      </c>
      <c r="CC189" s="475">
        <f t="shared" ref="CC189:CC249" si="173">IF(F189=1,0,IF($F$36=$D$36,IF(AX189=1,IF(AW189=1,AV189-S189,0),0),IF(AX189=1,IF(AW189=1,AV189-Y189,0),0)))</f>
        <v>15.2409</v>
      </c>
      <c r="CD189" s="475">
        <f t="shared" ref="CD189:CD249" si="174">IF(AND(AY189=1,B189&gt;0),IF(OR(AW189=1,AW189=4),BQ189-AV189,0),0)</f>
        <v>0</v>
      </c>
      <c r="CE189" s="621">
        <f t="shared" ref="CE189:CE249" si="175">IF($F$42=$S$21,IF(OR(AND(A189&gt;=$F$26,$F$27&gt;0),AND(A189&gt;=$F$26,$F$27&lt;0)),$P$82*B189*$N$23*(CA189)/3.6/1000000,$K$82*B189*$N$23*(CA189)/3.6/1000000),0)</f>
        <v>0</v>
      </c>
      <c r="CF189" s="621">
        <f t="shared" ref="CF189:CF249" si="176">IF($F$39=$S$21,IF(OR(AND(A189&gt;=$F$26,$F$27&gt;0),AND(A189&gt;=$F$26,$F$27&lt;0)),$P$82*B189*$N$23*(CB189)/3.6/1000000,$K$82*B189*$N$23*(CB189)/3.6/1000000),0)</f>
        <v>0</v>
      </c>
      <c r="CG189" s="621">
        <f t="shared" ref="CG189:CG249" si="177">IF(OR(AND(A189&gt;=$F$26,$F$27&gt;0),AND(A189&gt;=$F$26,$F$27&lt;0)),$P$82*B189*$N$23*(CD189)/3.6/1000000,$K$82*B189*$N$23*(CD189)/3.6/1000000)</f>
        <v>0</v>
      </c>
      <c r="CH189" s="573">
        <f t="shared" ref="CH189:CH249" si="178">IF($F$36=$D$36,IF(OR(AND(A189&gt;=$F$26,$F$27&gt;0),AND(A189&gt;=$F$26,$F$27&lt;0)),MAX(0,(BP189-R189)*B189*$P$82*$N$23/1000),MAX(0,(BP189-R189)*B189*$K$82*$N$23/1000)),IF(OR(AND(A189&gt;=$F$26,$F$27&gt;0),AND(A189&gt;=$F$26,$F$27&lt;0)),MAX(0,(BP189-X189)*B189*$P$82*$N$23/1000),MAX(0,(BP189-X189)*B189*$K$82*$N$23/1000)))</f>
        <v>0</v>
      </c>
      <c r="CI189" s="621">
        <f t="shared" ref="CI189:CI249" si="179">(CH189*$N$22*(100-$F$51)+$N$25*CH189)/3600000</f>
        <v>0</v>
      </c>
      <c r="CJ189" s="621">
        <f t="shared" ref="CJ189:CJ249" si="180">IF($F$42=$S$21,IF(OR(AND(A189&gt;=$F$26,$F$27&gt;0),AND(A189&gt;=$F$26,$F$27&lt;0)),$P$82*B189*$N$23*(BZ189)/3.6/1000000,$K$82*B189*$N$23*(BZ189)/3.6/1000000),0)</f>
        <v>0</v>
      </c>
      <c r="CK189" s="621">
        <f t="shared" ref="CK189:CK249" si="181">IF($F$39=$S$21,IF(OR(AND(A189&gt;=$F$26,$F$27&gt;0),AND(A189&gt;=$F$26,$F$27&lt;0)),$P$82*B189*$N$23*(CC189)/3.6/1000000,$K$82*B189*$N$23*(CC189)/3.6/1000000),0)</f>
        <v>0</v>
      </c>
      <c r="CL189" s="737">
        <f t="shared" ref="CL189:CL249" si="182">IF($F$36=$D$36,IF(OR(AND(A189&gt;=$F$26,$F$27&gt;0),AND(A189&gt;=$F$26,$F$27&lt;0)),MAX(0,-(BP189-R189)*B189*$P$82*$N$23/1000),MAX(0,-(BP189-R189)*B189*$K$82*$N$23/1000)),IF(OR(AND(A189&gt;=$F$26,$F$27&gt;0),AND(A189&gt;=$F$26,$F$27&lt;0)),MAX(0,-(BP189-X189)*B189*$P$82*$N$23/1000),MAX(0,-(BP189-X189)*B189*$K$82*$N$23/1000)))</f>
        <v>0</v>
      </c>
      <c r="CM189" s="738">
        <f t="shared" ref="CM189:CM249" si="183">IF($F$49=$S$16,0,IF($F$49=$S$17,CG189,CI189))</f>
        <v>0</v>
      </c>
      <c r="CN189" s="475">
        <f t="shared" ref="CN189:CN249" si="184">IF(E189&gt;0,BK189,222)</f>
        <v>222</v>
      </c>
      <c r="CO189" s="475">
        <f t="shared" ref="CO189:CO249" si="185">IF(E189&gt;0,BO189,222)</f>
        <v>222</v>
      </c>
      <c r="CP189" s="475">
        <f t="shared" ref="CP189:CP249" si="186">IF($F$36=$D$36,IF(B189&gt;0,Q189,222),IF(B189&gt;0,W189,222))</f>
        <v>222</v>
      </c>
      <c r="CQ189" s="475">
        <f t="shared" ref="CQ189:CQ249" si="187">IF($F$36=$D$36,IF(B189&gt;0,Q189,-222),IF(B189&gt;0,W189,-222))</f>
        <v>-222</v>
      </c>
      <c r="CR189" s="475">
        <f t="shared" ref="CR189:CR249" si="188">IF(B189&gt;0,BY189,-222)</f>
        <v>-222</v>
      </c>
      <c r="CS189" s="475">
        <f t="shared" ref="CS189:CS249" si="189">IF(B189&gt;0,BX189,-222)</f>
        <v>-222</v>
      </c>
      <c r="CT189" s="475">
        <f t="shared" ref="CT189:CT249" si="190">IF(OR(AND(A189&gt;=$F$26,$F$27&gt;0),AND(A189&gt;=$F$26,$F$27&lt;0)),B189*($R$82)/1000,B189*($M$82)/1000)</f>
        <v>0</v>
      </c>
      <c r="CU189" s="475">
        <f t="shared" ref="CU189:CU249" si="191">IF(B189&gt;0,BJ189,222)</f>
        <v>222</v>
      </c>
      <c r="CV189" s="475">
        <f t="shared" ref="CV189:CV249" si="192">IF(B189&gt;0,BJ189,-222)</f>
        <v>-222</v>
      </c>
      <c r="CW189" s="475">
        <f>SUM(CK189,CJ189,CE189,CF189,CM189,CT189)</f>
        <v>0</v>
      </c>
      <c r="CX189" s="573">
        <f>-CL189</f>
        <v>0</v>
      </c>
      <c r="CY189" s="475">
        <f>IF(I189=0,CY190,BJ189)</f>
        <v>22</v>
      </c>
      <c r="CZ189" s="475">
        <f>IF(I189=0,CZ190,BN189)</f>
        <v>22</v>
      </c>
      <c r="DA189" s="475">
        <v>-25</v>
      </c>
      <c r="DB189" s="475"/>
      <c r="DC189" s="410"/>
    </row>
    <row r="190" spans="1:107" s="619" customFormat="1" ht="12" hidden="1" customHeight="1" outlineLevel="1">
      <c r="A190" s="752">
        <v>-24</v>
      </c>
      <c r="B190" s="573">
        <v>0</v>
      </c>
      <c r="C190" s="475">
        <v>0</v>
      </c>
      <c r="D190" s="741">
        <v>0</v>
      </c>
      <c r="E190" s="491">
        <f t="shared" si="132"/>
        <v>0</v>
      </c>
      <c r="F190" s="438">
        <f t="shared" si="133"/>
        <v>0</v>
      </c>
      <c r="G190" s="438"/>
      <c r="H190" s="475">
        <f t="shared" si="134"/>
        <v>46</v>
      </c>
      <c r="I190" s="473">
        <f t="shared" si="135"/>
        <v>7.2000000000000028</v>
      </c>
      <c r="J190" s="473">
        <f t="shared" si="136"/>
        <v>7.2000000000000028</v>
      </c>
      <c r="K190" s="491">
        <f t="shared" si="137"/>
        <v>0.65</v>
      </c>
      <c r="L190" s="473">
        <f t="shared" ref="L190:L249" si="193">IF($F$30=$S$21,K190*(BU190-A190)+A190,I190)</f>
        <v>7.2000000000000028</v>
      </c>
      <c r="M190" s="473">
        <f t="shared" si="138"/>
        <v>0</v>
      </c>
      <c r="N190" s="473">
        <f>(EnthalpieA(L190,M190,#REF!)*$F$35)+((1-$F$35)*EnthalpieA(BU190,BW190,#REF!))</f>
        <v>7.2432000000000025</v>
      </c>
      <c r="O190" s="473">
        <f>(EnthalpieA(L190,M190,#REF!)*$F$34)+((1-$F$34)*EnthalpieA(BU190,BW190,#REF!))</f>
        <v>7.2432000000000025</v>
      </c>
      <c r="P190" s="734">
        <f>1-IF(EnthalpieA(L190,M190,#REF!)=S190,$F$35,(S190-EnthalpieA(BU190,BW190,#REF!))/((EnthalpieA(L190,M190,#REF!)-EnthalpieA(BU190,BW190,#REF!))))</f>
        <v>0</v>
      </c>
      <c r="Q190" s="473">
        <f>L190*(1-P190)+BU190*P190</f>
        <v>7.2000000000000028</v>
      </c>
      <c r="R190" s="475">
        <f>(M190*(1-$P190)+BW190*$P190)</f>
        <v>0</v>
      </c>
      <c r="S190" s="473">
        <f>MIN(MAX(N190,BM190),O190)</f>
        <v>7.2432000000000025</v>
      </c>
      <c r="T190" s="473">
        <f t="shared" si="139"/>
        <v>7.2000000000000028</v>
      </c>
      <c r="U190" s="473">
        <f t="shared" si="140"/>
        <v>7.2000000000000028</v>
      </c>
      <c r="V190" s="491">
        <f t="shared" si="141"/>
        <v>0</v>
      </c>
      <c r="W190" s="475">
        <f t="shared" ref="W190:W249" si="194">MIN(MAX(T190,BJ190),U190)</f>
        <v>7.2000000000000028</v>
      </c>
      <c r="X190" s="475">
        <f t="shared" ref="X190:X249" si="195">(M190*(1-$V190)+BW190*$V190)</f>
        <v>0</v>
      </c>
      <c r="Y190" s="735">
        <f t="shared" si="142"/>
        <v>7.2432000000000025</v>
      </c>
      <c r="Z190" s="475">
        <f t="shared" ref="Z190:Z249" si="196">AVERAGE($F$45:$F$46)</f>
        <v>9</v>
      </c>
      <c r="AA190" s="475">
        <f>IF($F$36=$D$36,MIN(AbsFeuchte(Z190,100%,$N$19),R190),MIN(AbsFeuchte(Z190,100%,$N$19),X190))</f>
        <v>0</v>
      </c>
      <c r="AB190" s="735">
        <f t="shared" si="143"/>
        <v>9.0540000000000003</v>
      </c>
      <c r="AC190" s="475">
        <f t="shared" ref="AC190:AC249" si="197">AVERAGE($F$45:$F$46)</f>
        <v>9</v>
      </c>
      <c r="AD190" s="475">
        <v>0</v>
      </c>
      <c r="AE190" s="735">
        <f t="shared" si="144"/>
        <v>9.0540000000000003</v>
      </c>
      <c r="AF190" s="735">
        <f t="shared" ref="AF190:AF249" si="198">AVERAGE($F$45:$F$46)</f>
        <v>9</v>
      </c>
      <c r="AG190" s="735">
        <f t="shared" si="145"/>
        <v>9.9999999999999992E+22</v>
      </c>
      <c r="AH190" s="475">
        <f t="shared" si="146"/>
        <v>9</v>
      </c>
      <c r="AI190" s="475">
        <f t="shared" ref="AI190:AI249" si="199">IF(AH190=Z190,AA190,BL190)</f>
        <v>0</v>
      </c>
      <c r="AJ190" s="735">
        <f t="shared" si="147"/>
        <v>9.0540000000000003</v>
      </c>
      <c r="AK190" s="475">
        <f t="shared" si="148"/>
        <v>9</v>
      </c>
      <c r="AL190" s="475">
        <f t="shared" ref="AL190:AL249" si="200">IF(Z190=AK190,AA190,(BJ190-AF190)/AG190+AA190)</f>
        <v>0</v>
      </c>
      <c r="AM190" s="735">
        <f t="shared" si="149"/>
        <v>9.0540000000000003</v>
      </c>
      <c r="AN190" s="475">
        <f>TemperaturH(AP190,AO190)</f>
        <v>22.494603711709743</v>
      </c>
      <c r="AO190" s="475">
        <f t="shared" si="150"/>
        <v>0</v>
      </c>
      <c r="AP190" s="735">
        <f t="shared" ref="AP190:AP249" si="201">BM190</f>
        <v>22.629571333980003</v>
      </c>
      <c r="AQ190" s="475" t="e">
        <f t="shared" ca="1" si="151"/>
        <v>#NAME?</v>
      </c>
      <c r="AR190" s="475">
        <f t="shared" ref="AR190:AR249" si="202">BL190</f>
        <v>0.19570006685493199</v>
      </c>
      <c r="AS190" s="735" t="e">
        <f t="shared" ca="1" si="152"/>
        <v>#VALUE!</v>
      </c>
      <c r="AT190" s="475">
        <f t="shared" ref="AT190:AT249" si="203">BN190</f>
        <v>22</v>
      </c>
      <c r="AU190" s="475">
        <f t="shared" si="153"/>
        <v>0</v>
      </c>
      <c r="AV190" s="735">
        <f t="shared" si="154"/>
        <v>22.132000000000001</v>
      </c>
      <c r="AW190" s="529">
        <f t="shared" si="155"/>
        <v>1</v>
      </c>
      <c r="AX190" s="735">
        <f t="shared" ref="AX190:AX249" si="204">IF($F$39=$S$21,1,0)</f>
        <v>1</v>
      </c>
      <c r="AY190" s="735">
        <f t="shared" si="156"/>
        <v>0</v>
      </c>
      <c r="AZ190" s="735">
        <f t="shared" ref="AZ190:AZ249" si="205">IF($F$42=$S$21,1,0)</f>
        <v>1</v>
      </c>
      <c r="BA190" s="735">
        <f t="shared" ref="BA190:BA249" si="206">IF(AND($F$47=$S$21,AZ190=1),1,0)</f>
        <v>0</v>
      </c>
      <c r="BB190" s="735">
        <f>IF($F$36=$D$36,IF(AW190=1,Fall1Tzul(AX190,AY190,BJ190,Q190),0),IF(AW190=1,Fall1Tzul(AX190,AY190,BJ190,W190),0))</f>
        <v>22</v>
      </c>
      <c r="BC190" s="735">
        <f>IF($F$36=$D$36,IF(AW190=1,Fall1xzul(AX190,AY190,BL190,R190),0),IF(AW190=1,Fall1xzul(AX190,AY190,BL190,X190),0))</f>
        <v>0</v>
      </c>
      <c r="BD190" s="735">
        <f>IF($F$36=$D$36,IF(AW190=2,Fall2Tzul(AX190, AZ190, BJ190,Q190, Z190),0),IF(AW190=2,Fall2Tzul(AX190, AZ190, BJ190,W190, Z190),0))</f>
        <v>0</v>
      </c>
      <c r="BE190" s="735">
        <f>IF($F$36=$D$36,IF(AW190=2,Fall2xzul(AX190,AZ190,BL190,R190,AA190),0),IF(AW190=2,Fall2xzul(AX190,AZ190,BL190,X190,AA190),0))</f>
        <v>0</v>
      </c>
      <c r="BF190" s="735">
        <f t="shared" si="157"/>
        <v>0</v>
      </c>
      <c r="BG190" s="735">
        <f t="shared" si="158"/>
        <v>0</v>
      </c>
      <c r="BH190" s="735">
        <f t="shared" si="159"/>
        <v>0</v>
      </c>
      <c r="BI190" s="735">
        <f t="shared" si="160"/>
        <v>0</v>
      </c>
      <c r="BJ190" s="473">
        <f t="shared" si="161"/>
        <v>22</v>
      </c>
      <c r="BK190" s="491">
        <f t="shared" si="162"/>
        <v>1.1286920260116094E-2</v>
      </c>
      <c r="BL190" s="475">
        <f>AbsFeuchte(BJ190,BK190,$N$19)</f>
        <v>0.19570006685493199</v>
      </c>
      <c r="BM190" s="735">
        <f t="shared" si="163"/>
        <v>22.629571333980003</v>
      </c>
      <c r="BN190" s="473">
        <f t="shared" ref="BN190:BN249" si="207">BB190+BD190+BF190+BH190</f>
        <v>22</v>
      </c>
      <c r="BO190" s="491">
        <f t="shared" si="164"/>
        <v>0</v>
      </c>
      <c r="BP190" s="475">
        <f t="shared" ref="BP190:BP249" si="208">BC190+BE190+BG190+BI190</f>
        <v>0</v>
      </c>
      <c r="BQ190" s="735">
        <f t="shared" si="165"/>
        <v>22.132000000000001</v>
      </c>
      <c r="BR190" s="473">
        <f t="shared" si="166"/>
        <v>24</v>
      </c>
      <c r="BS190" s="491">
        <f t="shared" si="167"/>
        <v>0.01</v>
      </c>
      <c r="BT190" s="475">
        <f>AbsFeuchte(BR190,BS190,$N$19)</f>
        <v>0.19570006685493199</v>
      </c>
      <c r="BU190" s="576">
        <f>IF($J$21=0,IF(E$13=$S$10,BR190+$N$18,BR190),IF(E$13=$S$10,BR190+$N$18+#REF!,BR190+$J$21))</f>
        <v>24</v>
      </c>
      <c r="BV190" s="491">
        <f t="shared" si="168"/>
        <v>0.01</v>
      </c>
      <c r="BW190" s="726">
        <f t="shared" si="169"/>
        <v>0.19570006685493199</v>
      </c>
      <c r="BX190" s="475">
        <f>SUM(BZ190:CA190)</f>
        <v>0</v>
      </c>
      <c r="BY190" s="475">
        <f>SUM(CB190:CD190)</f>
        <v>14.8888</v>
      </c>
      <c r="BZ190" s="475">
        <f t="shared" si="170"/>
        <v>0</v>
      </c>
      <c r="CA190" s="475">
        <f t="shared" si="171"/>
        <v>0</v>
      </c>
      <c r="CB190" s="475">
        <f t="shared" si="172"/>
        <v>0</v>
      </c>
      <c r="CC190" s="475">
        <f t="shared" si="173"/>
        <v>14.8888</v>
      </c>
      <c r="CD190" s="475">
        <f t="shared" si="174"/>
        <v>0</v>
      </c>
      <c r="CE190" s="621">
        <f t="shared" si="175"/>
        <v>0</v>
      </c>
      <c r="CF190" s="621">
        <f t="shared" si="176"/>
        <v>0</v>
      </c>
      <c r="CG190" s="621">
        <f t="shared" si="177"/>
        <v>0</v>
      </c>
      <c r="CH190" s="573">
        <f t="shared" si="178"/>
        <v>0</v>
      </c>
      <c r="CI190" s="621">
        <f t="shared" si="179"/>
        <v>0</v>
      </c>
      <c r="CJ190" s="621">
        <f t="shared" si="180"/>
        <v>0</v>
      </c>
      <c r="CK190" s="621">
        <f t="shared" si="181"/>
        <v>0</v>
      </c>
      <c r="CL190" s="737">
        <f t="shared" si="182"/>
        <v>0</v>
      </c>
      <c r="CM190" s="738">
        <f t="shared" si="183"/>
        <v>0</v>
      </c>
      <c r="CN190" s="475">
        <f t="shared" si="184"/>
        <v>222</v>
      </c>
      <c r="CO190" s="475">
        <f t="shared" si="185"/>
        <v>222</v>
      </c>
      <c r="CP190" s="475">
        <f t="shared" si="186"/>
        <v>222</v>
      </c>
      <c r="CQ190" s="475">
        <f t="shared" si="187"/>
        <v>-222</v>
      </c>
      <c r="CR190" s="475">
        <f t="shared" si="188"/>
        <v>-222</v>
      </c>
      <c r="CS190" s="475">
        <f t="shared" si="189"/>
        <v>-222</v>
      </c>
      <c r="CT190" s="475">
        <f t="shared" si="190"/>
        <v>0</v>
      </c>
      <c r="CU190" s="475">
        <f t="shared" si="191"/>
        <v>222</v>
      </c>
      <c r="CV190" s="475">
        <f t="shared" si="192"/>
        <v>-222</v>
      </c>
      <c r="CW190" s="475">
        <f t="shared" ref="CW190:CW249" si="209">SUM(CK190,CJ190,CE190,CF190,CM190,CT190)</f>
        <v>0</v>
      </c>
      <c r="CX190" s="573">
        <f>-CL190</f>
        <v>0</v>
      </c>
      <c r="CY190" s="475">
        <f t="shared" ref="CY190:CY206" si="210">IF(I190=0,CY191,BJ190)</f>
        <v>22</v>
      </c>
      <c r="CZ190" s="475">
        <f>IF(I190=0,CZ191,BN190)</f>
        <v>22</v>
      </c>
      <c r="DA190" s="475">
        <v>-24</v>
      </c>
      <c r="DB190" s="475"/>
      <c r="DC190" s="410"/>
    </row>
    <row r="191" spans="1:107" s="619" customFormat="1" ht="12" hidden="1" customHeight="1" outlineLevel="1">
      <c r="A191" s="752">
        <v>-23</v>
      </c>
      <c r="B191" s="573">
        <v>0</v>
      </c>
      <c r="C191" s="475">
        <v>0</v>
      </c>
      <c r="D191" s="741">
        <v>0</v>
      </c>
      <c r="E191" s="491">
        <f t="shared" si="132"/>
        <v>0</v>
      </c>
      <c r="F191" s="438">
        <f t="shared" si="133"/>
        <v>0</v>
      </c>
      <c r="G191" s="438"/>
      <c r="H191" s="475">
        <f t="shared" si="134"/>
        <v>45</v>
      </c>
      <c r="I191" s="473">
        <f t="shared" si="135"/>
        <v>7.5500000000000007</v>
      </c>
      <c r="J191" s="473">
        <f t="shared" si="136"/>
        <v>7.5500000000000007</v>
      </c>
      <c r="K191" s="491">
        <f t="shared" si="137"/>
        <v>0.65</v>
      </c>
      <c r="L191" s="473">
        <f t="shared" si="193"/>
        <v>7.5500000000000007</v>
      </c>
      <c r="M191" s="473">
        <f t="shared" si="138"/>
        <v>0</v>
      </c>
      <c r="N191" s="473">
        <f>(EnthalpieA(L191,M191,#REF!)*$F$35)+((1-$F$35)*EnthalpieA(BU191,BW191,#REF!))</f>
        <v>7.5953000000000008</v>
      </c>
      <c r="O191" s="473">
        <f>(EnthalpieA(L191,M191,#REF!)*$F$34)+((1-$F$34)*EnthalpieA(BU191,BW191,#REF!))</f>
        <v>7.5953000000000008</v>
      </c>
      <c r="P191" s="734">
        <f>1-IF(EnthalpieA(L191,M191,#REF!)=S191,$F$35,(S191-EnthalpieA(BU191,BW191,#REF!))/((EnthalpieA(L191,M191,#REF!)-EnthalpieA(BU191,BW191,#REF!))))</f>
        <v>0</v>
      </c>
      <c r="Q191" s="473">
        <f t="shared" ref="Q191:Q249" si="211">L191*(1-P191)+BU191*P191</f>
        <v>7.5500000000000007</v>
      </c>
      <c r="R191" s="475">
        <f t="shared" ref="R191:R249" si="212">(M191*(1-$P191)+BW191*$P191)</f>
        <v>0</v>
      </c>
      <c r="S191" s="473">
        <f t="shared" ref="S191:S249" si="213">MIN(MAX(N191,BM191),O191)</f>
        <v>7.5953000000000008</v>
      </c>
      <c r="T191" s="473">
        <f t="shared" si="139"/>
        <v>7.5500000000000007</v>
      </c>
      <c r="U191" s="473">
        <f t="shared" si="140"/>
        <v>7.5500000000000007</v>
      </c>
      <c r="V191" s="491">
        <f t="shared" si="141"/>
        <v>0</v>
      </c>
      <c r="W191" s="475">
        <f t="shared" si="194"/>
        <v>7.5500000000000007</v>
      </c>
      <c r="X191" s="475">
        <f t="shared" si="195"/>
        <v>0</v>
      </c>
      <c r="Y191" s="735">
        <f t="shared" si="142"/>
        <v>7.5953000000000008</v>
      </c>
      <c r="Z191" s="475">
        <f t="shared" si="196"/>
        <v>9</v>
      </c>
      <c r="AA191" s="475">
        <f>IF($F$36=$D$36,MIN(AbsFeuchte(Z191,100%,$N$19),R191),MIN(AbsFeuchte(Z191,100%,$N$19),X191))</f>
        <v>0</v>
      </c>
      <c r="AB191" s="735">
        <f t="shared" si="143"/>
        <v>9.0540000000000003</v>
      </c>
      <c r="AC191" s="475">
        <f t="shared" si="197"/>
        <v>9</v>
      </c>
      <c r="AD191" s="475">
        <v>0</v>
      </c>
      <c r="AE191" s="735">
        <f t="shared" si="144"/>
        <v>9.0540000000000003</v>
      </c>
      <c r="AF191" s="735">
        <f t="shared" si="198"/>
        <v>9</v>
      </c>
      <c r="AG191" s="735">
        <f t="shared" si="145"/>
        <v>9.9999999999999992E+22</v>
      </c>
      <c r="AH191" s="475">
        <f t="shared" si="146"/>
        <v>9</v>
      </c>
      <c r="AI191" s="475">
        <f t="shared" si="199"/>
        <v>0</v>
      </c>
      <c r="AJ191" s="735">
        <f t="shared" si="147"/>
        <v>9.0540000000000003</v>
      </c>
      <c r="AK191" s="475">
        <f t="shared" si="148"/>
        <v>9</v>
      </c>
      <c r="AL191" s="475">
        <f t="shared" si="200"/>
        <v>0</v>
      </c>
      <c r="AM191" s="735">
        <f t="shared" si="149"/>
        <v>9.0540000000000003</v>
      </c>
      <c r="AN191" s="475">
        <f t="shared" ref="AN191:AN249" si="214">TemperaturH(AP191,AO191)</f>
        <v>22.494603711709743</v>
      </c>
      <c r="AO191" s="475">
        <f t="shared" si="150"/>
        <v>0</v>
      </c>
      <c r="AP191" s="735">
        <f t="shared" si="201"/>
        <v>22.629571333980003</v>
      </c>
      <c r="AQ191" s="475" t="e">
        <f t="shared" ca="1" si="151"/>
        <v>#NAME?</v>
      </c>
      <c r="AR191" s="475">
        <f t="shared" si="202"/>
        <v>0.19570006685493199</v>
      </c>
      <c r="AS191" s="735" t="e">
        <f t="shared" ca="1" si="152"/>
        <v>#VALUE!</v>
      </c>
      <c r="AT191" s="475">
        <f t="shared" si="203"/>
        <v>22</v>
      </c>
      <c r="AU191" s="475">
        <f t="shared" si="153"/>
        <v>0</v>
      </c>
      <c r="AV191" s="735">
        <f t="shared" si="154"/>
        <v>22.132000000000001</v>
      </c>
      <c r="AW191" s="529">
        <f t="shared" si="155"/>
        <v>1</v>
      </c>
      <c r="AX191" s="735">
        <f t="shared" si="204"/>
        <v>1</v>
      </c>
      <c r="AY191" s="735">
        <f t="shared" si="156"/>
        <v>0</v>
      </c>
      <c r="AZ191" s="735">
        <f t="shared" si="205"/>
        <v>1</v>
      </c>
      <c r="BA191" s="735">
        <f t="shared" si="206"/>
        <v>0</v>
      </c>
      <c r="BB191" s="735">
        <f>IF($F$36=$D$36,IF(AW191=1,Fall1Tzul(AX191,AY191,BJ191,Q191),0),IF(AW191=1,Fall1Tzul(AX191,AY191,BJ191,W191),0))</f>
        <v>22</v>
      </c>
      <c r="BC191" s="735">
        <f>IF($F$36=$D$36,IF(AW191=1,Fall1xzul(AX191,AY191,BL191,R191),0),IF(AW191=1,Fall1xzul(AX191,AY191,BL191,X191),0))</f>
        <v>0</v>
      </c>
      <c r="BD191" s="735">
        <f>IF($F$36=$D$36,IF(AW191=2,Fall2Tzul(AX191, AZ191, BJ191,Q191, Z191),0),IF(AW191=2,Fall2Tzul(AX191, AZ191, BJ191,W191, Z191),0))</f>
        <v>0</v>
      </c>
      <c r="BE191" s="735">
        <f>IF($F$36=$D$36,IF(AW191=2,Fall2xzul(AX191,AZ191,BL191,R191,AA191),0),IF(AW191=2,Fall2xzul(AX191,AZ191,BL191,X191,AA191),0))</f>
        <v>0</v>
      </c>
      <c r="BF191" s="735">
        <f t="shared" si="157"/>
        <v>0</v>
      </c>
      <c r="BG191" s="735">
        <f t="shared" si="158"/>
        <v>0</v>
      </c>
      <c r="BH191" s="735">
        <f t="shared" si="159"/>
        <v>0</v>
      </c>
      <c r="BI191" s="735">
        <f t="shared" si="160"/>
        <v>0</v>
      </c>
      <c r="BJ191" s="473">
        <f t="shared" si="161"/>
        <v>22</v>
      </c>
      <c r="BK191" s="491">
        <f t="shared" si="162"/>
        <v>1.1286920260116094E-2</v>
      </c>
      <c r="BL191" s="475">
        <f>AbsFeuchte(BJ191,BK191,$N$19)</f>
        <v>0.19570006685493199</v>
      </c>
      <c r="BM191" s="735">
        <f t="shared" si="163"/>
        <v>22.629571333980003</v>
      </c>
      <c r="BN191" s="473">
        <f t="shared" si="207"/>
        <v>22</v>
      </c>
      <c r="BO191" s="491">
        <f t="shared" si="164"/>
        <v>0</v>
      </c>
      <c r="BP191" s="475">
        <f t="shared" si="208"/>
        <v>0</v>
      </c>
      <c r="BQ191" s="735">
        <f t="shared" si="165"/>
        <v>22.132000000000001</v>
      </c>
      <c r="BR191" s="473">
        <f t="shared" si="166"/>
        <v>24</v>
      </c>
      <c r="BS191" s="491">
        <f t="shared" si="167"/>
        <v>0.01</v>
      </c>
      <c r="BT191" s="475">
        <f>AbsFeuchte(BR191,BS191,$N$19)</f>
        <v>0.19570006685493199</v>
      </c>
      <c r="BU191" s="576">
        <f>IF($J$21=0,IF(E$13=$S$10,BR191+$N$18,BR191),IF(E$13=$S$10,BR191+$N$18+#REF!,BR191+$J$21))</f>
        <v>24</v>
      </c>
      <c r="BV191" s="491">
        <f t="shared" si="168"/>
        <v>0.01</v>
      </c>
      <c r="BW191" s="726">
        <f t="shared" si="169"/>
        <v>0.19570006685493199</v>
      </c>
      <c r="BX191" s="475">
        <f t="shared" ref="BX191:BX249" si="215">SUM(BZ191:CA191)</f>
        <v>0</v>
      </c>
      <c r="BY191" s="475">
        <f t="shared" ref="BY191:BY249" si="216">SUM(CB191:CD191)</f>
        <v>14.5367</v>
      </c>
      <c r="BZ191" s="475">
        <f t="shared" si="170"/>
        <v>0</v>
      </c>
      <c r="CA191" s="475">
        <f t="shared" si="171"/>
        <v>0</v>
      </c>
      <c r="CB191" s="475">
        <f t="shared" si="172"/>
        <v>0</v>
      </c>
      <c r="CC191" s="475">
        <f t="shared" si="173"/>
        <v>14.5367</v>
      </c>
      <c r="CD191" s="475">
        <f t="shared" si="174"/>
        <v>0</v>
      </c>
      <c r="CE191" s="621">
        <f t="shared" si="175"/>
        <v>0</v>
      </c>
      <c r="CF191" s="621">
        <f t="shared" si="176"/>
        <v>0</v>
      </c>
      <c r="CG191" s="621">
        <f t="shared" si="177"/>
        <v>0</v>
      </c>
      <c r="CH191" s="573">
        <f t="shared" si="178"/>
        <v>0</v>
      </c>
      <c r="CI191" s="621">
        <f t="shared" si="179"/>
        <v>0</v>
      </c>
      <c r="CJ191" s="621">
        <f t="shared" si="180"/>
        <v>0</v>
      </c>
      <c r="CK191" s="621">
        <f t="shared" si="181"/>
        <v>0</v>
      </c>
      <c r="CL191" s="737">
        <f t="shared" si="182"/>
        <v>0</v>
      </c>
      <c r="CM191" s="738">
        <f t="shared" si="183"/>
        <v>0</v>
      </c>
      <c r="CN191" s="475">
        <f t="shared" si="184"/>
        <v>222</v>
      </c>
      <c r="CO191" s="475">
        <f t="shared" si="185"/>
        <v>222</v>
      </c>
      <c r="CP191" s="475">
        <f t="shared" si="186"/>
        <v>222</v>
      </c>
      <c r="CQ191" s="475">
        <f t="shared" si="187"/>
        <v>-222</v>
      </c>
      <c r="CR191" s="475">
        <f t="shared" si="188"/>
        <v>-222</v>
      </c>
      <c r="CS191" s="475">
        <f t="shared" si="189"/>
        <v>-222</v>
      </c>
      <c r="CT191" s="475">
        <f t="shared" si="190"/>
        <v>0</v>
      </c>
      <c r="CU191" s="475">
        <f t="shared" si="191"/>
        <v>222</v>
      </c>
      <c r="CV191" s="475">
        <f t="shared" si="192"/>
        <v>-222</v>
      </c>
      <c r="CW191" s="475">
        <f t="shared" si="209"/>
        <v>0</v>
      </c>
      <c r="CX191" s="573">
        <f t="shared" ref="CX191:CX249" si="217">-CL191</f>
        <v>0</v>
      </c>
      <c r="CY191" s="475">
        <f t="shared" si="210"/>
        <v>22</v>
      </c>
      <c r="CZ191" s="475">
        <f t="shared" ref="CZ191:CZ249" si="218">IF(I191=0,CZ192,BN191)</f>
        <v>22</v>
      </c>
      <c r="DA191" s="475">
        <v>-23</v>
      </c>
      <c r="DB191" s="475"/>
      <c r="DC191" s="410"/>
    </row>
    <row r="192" spans="1:107" s="619" customFormat="1" ht="12" hidden="1" customHeight="1" outlineLevel="1">
      <c r="A192" s="752">
        <v>-22</v>
      </c>
      <c r="B192" s="573">
        <v>0</v>
      </c>
      <c r="C192" s="475">
        <v>0</v>
      </c>
      <c r="D192" s="741">
        <v>0</v>
      </c>
      <c r="E192" s="491">
        <f t="shared" si="132"/>
        <v>0</v>
      </c>
      <c r="F192" s="438">
        <f t="shared" si="133"/>
        <v>0</v>
      </c>
      <c r="G192" s="438"/>
      <c r="H192" s="475">
        <f t="shared" si="134"/>
        <v>44</v>
      </c>
      <c r="I192" s="473">
        <f t="shared" si="135"/>
        <v>7.9000000000000021</v>
      </c>
      <c r="J192" s="473">
        <f t="shared" si="136"/>
        <v>7.9000000000000021</v>
      </c>
      <c r="K192" s="491">
        <f t="shared" si="137"/>
        <v>0.65</v>
      </c>
      <c r="L192" s="473">
        <f t="shared" si="193"/>
        <v>7.9000000000000021</v>
      </c>
      <c r="M192" s="473">
        <f t="shared" si="138"/>
        <v>0</v>
      </c>
      <c r="N192" s="473">
        <f>(EnthalpieA(L192,M192,#REF!)*$F$35)+((1-$F$35)*EnthalpieA(BU192,BW192,#REF!))</f>
        <v>7.9474000000000018</v>
      </c>
      <c r="O192" s="473">
        <f>(EnthalpieA(L192,M192,#REF!)*$F$34)+((1-$F$34)*EnthalpieA(BU192,BW192,#REF!))</f>
        <v>7.9474000000000018</v>
      </c>
      <c r="P192" s="734">
        <f>1-IF(EnthalpieA(L192,M192,#REF!)=S192,$F$35,(S192-EnthalpieA(BU192,BW192,#REF!))/((EnthalpieA(L192,M192,#REF!)-EnthalpieA(BU192,BW192,#REF!))))</f>
        <v>0</v>
      </c>
      <c r="Q192" s="473">
        <f t="shared" si="211"/>
        <v>7.9000000000000021</v>
      </c>
      <c r="R192" s="475">
        <f t="shared" si="212"/>
        <v>0</v>
      </c>
      <c r="S192" s="473">
        <f t="shared" si="213"/>
        <v>7.9474000000000018</v>
      </c>
      <c r="T192" s="473">
        <f t="shared" si="139"/>
        <v>7.9000000000000021</v>
      </c>
      <c r="U192" s="473">
        <f t="shared" si="140"/>
        <v>7.9000000000000021</v>
      </c>
      <c r="V192" s="491">
        <f t="shared" si="141"/>
        <v>0</v>
      </c>
      <c r="W192" s="475">
        <f t="shared" si="194"/>
        <v>7.9000000000000021</v>
      </c>
      <c r="X192" s="475">
        <f t="shared" si="195"/>
        <v>0</v>
      </c>
      <c r="Y192" s="735">
        <f t="shared" si="142"/>
        <v>7.9474000000000018</v>
      </c>
      <c r="Z192" s="475">
        <f t="shared" si="196"/>
        <v>9</v>
      </c>
      <c r="AA192" s="475">
        <f>IF($F$36=$D$36,MIN(AbsFeuchte(Z192,100%,$N$19),R192),MIN(AbsFeuchte(Z192,100%,$N$19),X192))</f>
        <v>0</v>
      </c>
      <c r="AB192" s="735">
        <f t="shared" si="143"/>
        <v>9.0540000000000003</v>
      </c>
      <c r="AC192" s="475">
        <f t="shared" si="197"/>
        <v>9</v>
      </c>
      <c r="AD192" s="475">
        <v>0</v>
      </c>
      <c r="AE192" s="735">
        <f t="shared" si="144"/>
        <v>9.0540000000000003</v>
      </c>
      <c r="AF192" s="735">
        <f t="shared" si="198"/>
        <v>9</v>
      </c>
      <c r="AG192" s="735">
        <f t="shared" si="145"/>
        <v>9.9999999999999992E+22</v>
      </c>
      <c r="AH192" s="475">
        <f t="shared" si="146"/>
        <v>9</v>
      </c>
      <c r="AI192" s="475">
        <f t="shared" si="199"/>
        <v>0</v>
      </c>
      <c r="AJ192" s="735">
        <f t="shared" si="147"/>
        <v>9.0540000000000003</v>
      </c>
      <c r="AK192" s="475">
        <f t="shared" si="148"/>
        <v>9</v>
      </c>
      <c r="AL192" s="475">
        <f t="shared" si="200"/>
        <v>0</v>
      </c>
      <c r="AM192" s="735">
        <f t="shared" si="149"/>
        <v>9.0540000000000003</v>
      </c>
      <c r="AN192" s="475">
        <f t="shared" si="214"/>
        <v>22.494603711709743</v>
      </c>
      <c r="AO192" s="475">
        <f t="shared" si="150"/>
        <v>0</v>
      </c>
      <c r="AP192" s="735">
        <f t="shared" si="201"/>
        <v>22.629571333980003</v>
      </c>
      <c r="AQ192" s="475" t="e">
        <f t="shared" ca="1" si="151"/>
        <v>#NAME?</v>
      </c>
      <c r="AR192" s="475">
        <f t="shared" si="202"/>
        <v>0.19570006685493199</v>
      </c>
      <c r="AS192" s="735" t="e">
        <f t="shared" ca="1" si="152"/>
        <v>#VALUE!</v>
      </c>
      <c r="AT192" s="475">
        <f t="shared" si="203"/>
        <v>22</v>
      </c>
      <c r="AU192" s="475">
        <f t="shared" si="153"/>
        <v>0</v>
      </c>
      <c r="AV192" s="735">
        <f t="shared" si="154"/>
        <v>22.132000000000001</v>
      </c>
      <c r="AW192" s="529">
        <f t="shared" si="155"/>
        <v>1</v>
      </c>
      <c r="AX192" s="735">
        <f t="shared" si="204"/>
        <v>1</v>
      </c>
      <c r="AY192" s="735">
        <f t="shared" si="156"/>
        <v>0</v>
      </c>
      <c r="AZ192" s="735">
        <f t="shared" si="205"/>
        <v>1</v>
      </c>
      <c r="BA192" s="735">
        <f t="shared" si="206"/>
        <v>0</v>
      </c>
      <c r="BB192" s="735">
        <f>IF($F$36=$D$36,IF(AW192=1,Fall1Tzul(AX192,AY192,BJ192,Q192),0),IF(AW192=1,Fall1Tzul(AX192,AY192,BJ192,W192),0))</f>
        <v>22</v>
      </c>
      <c r="BC192" s="735">
        <f>IF($F$36=$D$36,IF(AW192=1,Fall1xzul(AX192,AY192,BL192,R192),0),IF(AW192=1,Fall1xzul(AX192,AY192,BL192,X192),0))</f>
        <v>0</v>
      </c>
      <c r="BD192" s="735">
        <f>IF($F$36=$D$36,IF(AW192=2,Fall2Tzul(AX192, AZ192, BJ192,Q192, Z192),0),IF(AW192=2,Fall2Tzul(AX192, AZ192, BJ192,W192, Z192),0))</f>
        <v>0</v>
      </c>
      <c r="BE192" s="735">
        <f>IF($F$36=$D$36,IF(AW192=2,Fall2xzul(AX192,AZ192,BL192,R192,AA192),0),IF(AW192=2,Fall2xzul(AX192,AZ192,BL192,X192,AA192),0))</f>
        <v>0</v>
      </c>
      <c r="BF192" s="735">
        <f t="shared" si="157"/>
        <v>0</v>
      </c>
      <c r="BG192" s="735">
        <f t="shared" si="158"/>
        <v>0</v>
      </c>
      <c r="BH192" s="735">
        <f t="shared" si="159"/>
        <v>0</v>
      </c>
      <c r="BI192" s="735">
        <f t="shared" si="160"/>
        <v>0</v>
      </c>
      <c r="BJ192" s="473">
        <f t="shared" si="161"/>
        <v>22</v>
      </c>
      <c r="BK192" s="491">
        <f t="shared" si="162"/>
        <v>1.1286920260116094E-2</v>
      </c>
      <c r="BL192" s="475">
        <f>AbsFeuchte(BJ192,BK192,$N$19)</f>
        <v>0.19570006685493199</v>
      </c>
      <c r="BM192" s="735">
        <f t="shared" si="163"/>
        <v>22.629571333980003</v>
      </c>
      <c r="BN192" s="473">
        <f t="shared" si="207"/>
        <v>22</v>
      </c>
      <c r="BO192" s="491">
        <f t="shared" si="164"/>
        <v>0</v>
      </c>
      <c r="BP192" s="475">
        <f t="shared" si="208"/>
        <v>0</v>
      </c>
      <c r="BQ192" s="735">
        <f t="shared" si="165"/>
        <v>22.132000000000001</v>
      </c>
      <c r="BR192" s="473">
        <f t="shared" si="166"/>
        <v>24</v>
      </c>
      <c r="BS192" s="491">
        <f t="shared" si="167"/>
        <v>0.01</v>
      </c>
      <c r="BT192" s="475">
        <f>AbsFeuchte(BR192,BS192,$N$19)</f>
        <v>0.19570006685493199</v>
      </c>
      <c r="BU192" s="576">
        <f>IF($J$21=0,IF(E$13=$S$10,BR192+$N$18,BR192),IF(E$13=$S$10,BR192+$N$18+#REF!,BR192+$J$21))</f>
        <v>24</v>
      </c>
      <c r="BV192" s="491">
        <f t="shared" si="168"/>
        <v>0.01</v>
      </c>
      <c r="BW192" s="726">
        <f t="shared" si="169"/>
        <v>0.19570006685493199</v>
      </c>
      <c r="BX192" s="475">
        <f t="shared" si="215"/>
        <v>0</v>
      </c>
      <c r="BY192" s="475">
        <f t="shared" si="216"/>
        <v>14.1846</v>
      </c>
      <c r="BZ192" s="475">
        <f t="shared" si="170"/>
        <v>0</v>
      </c>
      <c r="CA192" s="475">
        <f t="shared" si="171"/>
        <v>0</v>
      </c>
      <c r="CB192" s="475">
        <f t="shared" si="172"/>
        <v>0</v>
      </c>
      <c r="CC192" s="475">
        <f t="shared" si="173"/>
        <v>14.1846</v>
      </c>
      <c r="CD192" s="475">
        <f t="shared" si="174"/>
        <v>0</v>
      </c>
      <c r="CE192" s="621">
        <f t="shared" si="175"/>
        <v>0</v>
      </c>
      <c r="CF192" s="621">
        <f t="shared" si="176"/>
        <v>0</v>
      </c>
      <c r="CG192" s="621">
        <f t="shared" si="177"/>
        <v>0</v>
      </c>
      <c r="CH192" s="573">
        <f t="shared" si="178"/>
        <v>0</v>
      </c>
      <c r="CI192" s="621">
        <f t="shared" si="179"/>
        <v>0</v>
      </c>
      <c r="CJ192" s="621">
        <f t="shared" si="180"/>
        <v>0</v>
      </c>
      <c r="CK192" s="621">
        <f t="shared" si="181"/>
        <v>0</v>
      </c>
      <c r="CL192" s="737">
        <f t="shared" si="182"/>
        <v>0</v>
      </c>
      <c r="CM192" s="738">
        <f t="shared" si="183"/>
        <v>0</v>
      </c>
      <c r="CN192" s="475">
        <f t="shared" si="184"/>
        <v>222</v>
      </c>
      <c r="CO192" s="475">
        <f t="shared" si="185"/>
        <v>222</v>
      </c>
      <c r="CP192" s="475">
        <f t="shared" si="186"/>
        <v>222</v>
      </c>
      <c r="CQ192" s="475">
        <f t="shared" si="187"/>
        <v>-222</v>
      </c>
      <c r="CR192" s="475">
        <f t="shared" si="188"/>
        <v>-222</v>
      </c>
      <c r="CS192" s="475">
        <f t="shared" si="189"/>
        <v>-222</v>
      </c>
      <c r="CT192" s="475">
        <f t="shared" si="190"/>
        <v>0</v>
      </c>
      <c r="CU192" s="475">
        <f t="shared" si="191"/>
        <v>222</v>
      </c>
      <c r="CV192" s="475">
        <f t="shared" si="192"/>
        <v>-222</v>
      </c>
      <c r="CW192" s="475">
        <f t="shared" si="209"/>
        <v>0</v>
      </c>
      <c r="CX192" s="573">
        <f t="shared" si="217"/>
        <v>0</v>
      </c>
      <c r="CY192" s="475">
        <f t="shared" si="210"/>
        <v>22</v>
      </c>
      <c r="CZ192" s="475">
        <f t="shared" si="218"/>
        <v>22</v>
      </c>
      <c r="DA192" s="475">
        <v>-22</v>
      </c>
      <c r="DB192" s="475"/>
      <c r="DC192" s="410"/>
    </row>
    <row r="193" spans="1:107" s="619" customFormat="1" ht="12" hidden="1" customHeight="1" outlineLevel="1">
      <c r="A193" s="752">
        <v>-21</v>
      </c>
      <c r="B193" s="573">
        <v>0</v>
      </c>
      <c r="C193" s="475">
        <v>0</v>
      </c>
      <c r="D193" s="741">
        <v>0</v>
      </c>
      <c r="E193" s="491">
        <f t="shared" si="132"/>
        <v>0</v>
      </c>
      <c r="F193" s="438">
        <f t="shared" si="133"/>
        <v>0</v>
      </c>
      <c r="G193" s="438"/>
      <c r="H193" s="475">
        <f t="shared" si="134"/>
        <v>43</v>
      </c>
      <c r="I193" s="473">
        <f t="shared" si="135"/>
        <v>8.25</v>
      </c>
      <c r="J193" s="473">
        <f t="shared" si="136"/>
        <v>8.25</v>
      </c>
      <c r="K193" s="491">
        <f t="shared" si="137"/>
        <v>0.65</v>
      </c>
      <c r="L193" s="473">
        <f t="shared" si="193"/>
        <v>8.25</v>
      </c>
      <c r="M193" s="473">
        <f t="shared" si="138"/>
        <v>0</v>
      </c>
      <c r="N193" s="473">
        <f>(EnthalpieA(L193,M193,#REF!)*$F$35)+((1-$F$35)*EnthalpieA(BU193,BW193,#REF!))</f>
        <v>8.2995000000000001</v>
      </c>
      <c r="O193" s="473">
        <f>(EnthalpieA(L193,M193,#REF!)*$F$34)+((1-$F$34)*EnthalpieA(BU193,BW193,#REF!))</f>
        <v>8.2995000000000001</v>
      </c>
      <c r="P193" s="734">
        <f>1-IF(EnthalpieA(L193,M193,#REF!)=S193,$F$35,(S193-EnthalpieA(BU193,BW193,#REF!))/((EnthalpieA(L193,M193,#REF!)-EnthalpieA(BU193,BW193,#REF!))))</f>
        <v>0</v>
      </c>
      <c r="Q193" s="473">
        <f t="shared" si="211"/>
        <v>8.25</v>
      </c>
      <c r="R193" s="475">
        <f t="shared" si="212"/>
        <v>0</v>
      </c>
      <c r="S193" s="473">
        <f t="shared" si="213"/>
        <v>8.2995000000000001</v>
      </c>
      <c r="T193" s="473">
        <f t="shared" si="139"/>
        <v>8.25</v>
      </c>
      <c r="U193" s="473">
        <f t="shared" si="140"/>
        <v>8.25</v>
      </c>
      <c r="V193" s="491">
        <f t="shared" si="141"/>
        <v>0</v>
      </c>
      <c r="W193" s="475">
        <f t="shared" si="194"/>
        <v>8.25</v>
      </c>
      <c r="X193" s="475">
        <f t="shared" si="195"/>
        <v>0</v>
      </c>
      <c r="Y193" s="735">
        <f t="shared" si="142"/>
        <v>8.2995000000000001</v>
      </c>
      <c r="Z193" s="475">
        <f t="shared" si="196"/>
        <v>9</v>
      </c>
      <c r="AA193" s="475">
        <f>IF($F$36=$D$36,MIN(AbsFeuchte(Z193,100%,$N$19),R193),MIN(AbsFeuchte(Z193,100%,$N$19),X193))</f>
        <v>0</v>
      </c>
      <c r="AB193" s="735">
        <f t="shared" si="143"/>
        <v>9.0540000000000003</v>
      </c>
      <c r="AC193" s="475">
        <f t="shared" si="197"/>
        <v>9</v>
      </c>
      <c r="AD193" s="475">
        <v>0</v>
      </c>
      <c r="AE193" s="735">
        <f t="shared" si="144"/>
        <v>9.0540000000000003</v>
      </c>
      <c r="AF193" s="735">
        <f t="shared" si="198"/>
        <v>9</v>
      </c>
      <c r="AG193" s="735">
        <f t="shared" si="145"/>
        <v>9.9999999999999992E+22</v>
      </c>
      <c r="AH193" s="475">
        <f t="shared" si="146"/>
        <v>9</v>
      </c>
      <c r="AI193" s="475">
        <f t="shared" si="199"/>
        <v>0</v>
      </c>
      <c r="AJ193" s="735">
        <f t="shared" si="147"/>
        <v>9.0540000000000003</v>
      </c>
      <c r="AK193" s="475">
        <f t="shared" si="148"/>
        <v>9</v>
      </c>
      <c r="AL193" s="475">
        <f t="shared" si="200"/>
        <v>0</v>
      </c>
      <c r="AM193" s="735">
        <f t="shared" si="149"/>
        <v>9.0540000000000003</v>
      </c>
      <c r="AN193" s="475">
        <f t="shared" si="214"/>
        <v>22.494603711709743</v>
      </c>
      <c r="AO193" s="475">
        <f t="shared" si="150"/>
        <v>0</v>
      </c>
      <c r="AP193" s="735">
        <f t="shared" si="201"/>
        <v>22.629571333980003</v>
      </c>
      <c r="AQ193" s="475" t="e">
        <f t="shared" ca="1" si="151"/>
        <v>#NAME?</v>
      </c>
      <c r="AR193" s="475">
        <f t="shared" si="202"/>
        <v>0.19570006685493199</v>
      </c>
      <c r="AS193" s="735" t="e">
        <f t="shared" ca="1" si="152"/>
        <v>#VALUE!</v>
      </c>
      <c r="AT193" s="475">
        <f t="shared" si="203"/>
        <v>22</v>
      </c>
      <c r="AU193" s="475">
        <f t="shared" si="153"/>
        <v>0</v>
      </c>
      <c r="AV193" s="735">
        <f t="shared" si="154"/>
        <v>22.132000000000001</v>
      </c>
      <c r="AW193" s="529">
        <f t="shared" si="155"/>
        <v>1</v>
      </c>
      <c r="AX193" s="735">
        <f t="shared" si="204"/>
        <v>1</v>
      </c>
      <c r="AY193" s="735">
        <f t="shared" si="156"/>
        <v>0</v>
      </c>
      <c r="AZ193" s="735">
        <f t="shared" si="205"/>
        <v>1</v>
      </c>
      <c r="BA193" s="735">
        <f t="shared" si="206"/>
        <v>0</v>
      </c>
      <c r="BB193" s="735">
        <f>IF($F$36=$D$36,IF(AW193=1,Fall1Tzul(AX193,AY193,BJ193,Q193),0),IF(AW193=1,Fall1Tzul(AX193,AY193,BJ193,W193),0))</f>
        <v>22</v>
      </c>
      <c r="BC193" s="735">
        <f>IF($F$36=$D$36,IF(AW193=1,Fall1xzul(AX193,AY193,BL193,R193),0),IF(AW193=1,Fall1xzul(AX193,AY193,BL193,X193),0))</f>
        <v>0</v>
      </c>
      <c r="BD193" s="735">
        <f>IF($F$36=$D$36,IF(AW193=2,Fall2Tzul(AX193, AZ193, BJ193,Q193, Z193),0),IF(AW193=2,Fall2Tzul(AX193, AZ193, BJ193,W193, Z193),0))</f>
        <v>0</v>
      </c>
      <c r="BE193" s="735">
        <f>IF($F$36=$D$36,IF(AW193=2,Fall2xzul(AX193,AZ193,BL193,R193,AA193),0),IF(AW193=2,Fall2xzul(AX193,AZ193,BL193,X193,AA193),0))</f>
        <v>0</v>
      </c>
      <c r="BF193" s="735">
        <f t="shared" si="157"/>
        <v>0</v>
      </c>
      <c r="BG193" s="735">
        <f t="shared" si="158"/>
        <v>0</v>
      </c>
      <c r="BH193" s="735">
        <f t="shared" si="159"/>
        <v>0</v>
      </c>
      <c r="BI193" s="735">
        <f t="shared" si="160"/>
        <v>0</v>
      </c>
      <c r="BJ193" s="473">
        <f t="shared" si="161"/>
        <v>22</v>
      </c>
      <c r="BK193" s="491">
        <f t="shared" si="162"/>
        <v>1.1286920260116094E-2</v>
      </c>
      <c r="BL193" s="475">
        <f>AbsFeuchte(BJ193,BK193,$N$19)</f>
        <v>0.19570006685493199</v>
      </c>
      <c r="BM193" s="735">
        <f t="shared" si="163"/>
        <v>22.629571333980003</v>
      </c>
      <c r="BN193" s="473">
        <f t="shared" si="207"/>
        <v>22</v>
      </c>
      <c r="BO193" s="491">
        <f t="shared" si="164"/>
        <v>0</v>
      </c>
      <c r="BP193" s="475">
        <f t="shared" si="208"/>
        <v>0</v>
      </c>
      <c r="BQ193" s="735">
        <f t="shared" si="165"/>
        <v>22.132000000000001</v>
      </c>
      <c r="BR193" s="473">
        <f t="shared" si="166"/>
        <v>24</v>
      </c>
      <c r="BS193" s="491">
        <f t="shared" si="167"/>
        <v>0.01</v>
      </c>
      <c r="BT193" s="475">
        <f>AbsFeuchte(BR193,BS193,$N$19)</f>
        <v>0.19570006685493199</v>
      </c>
      <c r="BU193" s="576">
        <f>IF($J$21=0,IF(E$13=$S$10,BR193+$N$18,BR193),IF(E$13=$S$10,BR193+$N$18+#REF!,BR193+$J$21))</f>
        <v>24</v>
      </c>
      <c r="BV193" s="491">
        <f t="shared" si="168"/>
        <v>0.01</v>
      </c>
      <c r="BW193" s="726">
        <f t="shared" si="169"/>
        <v>0.19570006685493199</v>
      </c>
      <c r="BX193" s="475">
        <f t="shared" si="215"/>
        <v>0</v>
      </c>
      <c r="BY193" s="475">
        <f t="shared" si="216"/>
        <v>13.832500000000001</v>
      </c>
      <c r="BZ193" s="475">
        <f t="shared" si="170"/>
        <v>0</v>
      </c>
      <c r="CA193" s="475">
        <f t="shared" si="171"/>
        <v>0</v>
      </c>
      <c r="CB193" s="475">
        <f t="shared" si="172"/>
        <v>0</v>
      </c>
      <c r="CC193" s="475">
        <f t="shared" si="173"/>
        <v>13.832500000000001</v>
      </c>
      <c r="CD193" s="475">
        <f t="shared" si="174"/>
        <v>0</v>
      </c>
      <c r="CE193" s="621">
        <f t="shared" si="175"/>
        <v>0</v>
      </c>
      <c r="CF193" s="621">
        <f t="shared" si="176"/>
        <v>0</v>
      </c>
      <c r="CG193" s="621">
        <f t="shared" si="177"/>
        <v>0</v>
      </c>
      <c r="CH193" s="573">
        <f t="shared" si="178"/>
        <v>0</v>
      </c>
      <c r="CI193" s="621">
        <f t="shared" si="179"/>
        <v>0</v>
      </c>
      <c r="CJ193" s="621">
        <f t="shared" si="180"/>
        <v>0</v>
      </c>
      <c r="CK193" s="621">
        <f t="shared" si="181"/>
        <v>0</v>
      </c>
      <c r="CL193" s="737">
        <f t="shared" si="182"/>
        <v>0</v>
      </c>
      <c r="CM193" s="738">
        <f t="shared" si="183"/>
        <v>0</v>
      </c>
      <c r="CN193" s="475">
        <f t="shared" si="184"/>
        <v>222</v>
      </c>
      <c r="CO193" s="475">
        <f t="shared" si="185"/>
        <v>222</v>
      </c>
      <c r="CP193" s="475">
        <f t="shared" si="186"/>
        <v>222</v>
      </c>
      <c r="CQ193" s="475">
        <f t="shared" si="187"/>
        <v>-222</v>
      </c>
      <c r="CR193" s="475">
        <f t="shared" si="188"/>
        <v>-222</v>
      </c>
      <c r="CS193" s="475">
        <f t="shared" si="189"/>
        <v>-222</v>
      </c>
      <c r="CT193" s="475">
        <f t="shared" si="190"/>
        <v>0</v>
      </c>
      <c r="CU193" s="475">
        <f t="shared" si="191"/>
        <v>222</v>
      </c>
      <c r="CV193" s="475">
        <f t="shared" si="192"/>
        <v>-222</v>
      </c>
      <c r="CW193" s="475">
        <f t="shared" si="209"/>
        <v>0</v>
      </c>
      <c r="CX193" s="573">
        <f t="shared" si="217"/>
        <v>0</v>
      </c>
      <c r="CY193" s="475">
        <f t="shared" si="210"/>
        <v>22</v>
      </c>
      <c r="CZ193" s="475">
        <f t="shared" si="218"/>
        <v>22</v>
      </c>
      <c r="DA193" s="475">
        <v>-21</v>
      </c>
      <c r="DB193" s="475"/>
      <c r="DC193" s="410"/>
    </row>
    <row r="194" spans="1:107" s="619" customFormat="1" ht="12" hidden="1" customHeight="1" outlineLevel="1">
      <c r="A194" s="752">
        <v>-20</v>
      </c>
      <c r="B194" s="573">
        <v>0</v>
      </c>
      <c r="C194" s="475">
        <v>0</v>
      </c>
      <c r="D194" s="741">
        <v>0</v>
      </c>
      <c r="E194" s="491">
        <f t="shared" si="132"/>
        <v>0</v>
      </c>
      <c r="F194" s="438">
        <f t="shared" si="133"/>
        <v>0</v>
      </c>
      <c r="G194" s="438"/>
      <c r="H194" s="475">
        <f t="shared" si="134"/>
        <v>42</v>
      </c>
      <c r="I194" s="473">
        <f t="shared" si="135"/>
        <v>8.6000000000000014</v>
      </c>
      <c r="J194" s="473">
        <f t="shared" si="136"/>
        <v>8.6000000000000014</v>
      </c>
      <c r="K194" s="491">
        <f t="shared" si="137"/>
        <v>0.65</v>
      </c>
      <c r="L194" s="473">
        <f t="shared" si="193"/>
        <v>8.6000000000000014</v>
      </c>
      <c r="M194" s="473">
        <f t="shared" si="138"/>
        <v>0</v>
      </c>
      <c r="N194" s="473">
        <f>(EnthalpieA(L194,M194,#REF!)*$F$35)+((1-$F$35)*EnthalpieA(BU194,BW194,#REF!))</f>
        <v>8.651600000000002</v>
      </c>
      <c r="O194" s="473">
        <f>(EnthalpieA(L194,M194,#REF!)*$F$34)+((1-$F$34)*EnthalpieA(BU194,BW194,#REF!))</f>
        <v>8.651600000000002</v>
      </c>
      <c r="P194" s="734">
        <f>1-IF(EnthalpieA(L194,M194,#REF!)=S194,$F$35,(S194-EnthalpieA(BU194,BW194,#REF!))/((EnthalpieA(L194,M194,#REF!)-EnthalpieA(BU194,BW194,#REF!))))</f>
        <v>0</v>
      </c>
      <c r="Q194" s="473">
        <f t="shared" si="211"/>
        <v>8.6000000000000014</v>
      </c>
      <c r="R194" s="475">
        <f t="shared" si="212"/>
        <v>0</v>
      </c>
      <c r="S194" s="473">
        <f t="shared" si="213"/>
        <v>8.651600000000002</v>
      </c>
      <c r="T194" s="473">
        <f t="shared" si="139"/>
        <v>8.6000000000000014</v>
      </c>
      <c r="U194" s="473">
        <f t="shared" si="140"/>
        <v>8.6000000000000014</v>
      </c>
      <c r="V194" s="491">
        <f t="shared" si="141"/>
        <v>0</v>
      </c>
      <c r="W194" s="475">
        <f t="shared" si="194"/>
        <v>8.6000000000000014</v>
      </c>
      <c r="X194" s="475">
        <f t="shared" si="195"/>
        <v>0</v>
      </c>
      <c r="Y194" s="735">
        <f t="shared" si="142"/>
        <v>8.651600000000002</v>
      </c>
      <c r="Z194" s="475">
        <f t="shared" si="196"/>
        <v>9</v>
      </c>
      <c r="AA194" s="475">
        <f>IF($F$36=$D$36,MIN(AbsFeuchte(Z194,100%,$N$19),R194),MIN(AbsFeuchte(Z194,100%,$N$19),X194))</f>
        <v>0</v>
      </c>
      <c r="AB194" s="735">
        <f t="shared" si="143"/>
        <v>9.0540000000000003</v>
      </c>
      <c r="AC194" s="475">
        <f t="shared" si="197"/>
        <v>9</v>
      </c>
      <c r="AD194" s="475">
        <v>0</v>
      </c>
      <c r="AE194" s="735">
        <f t="shared" si="144"/>
        <v>9.0540000000000003</v>
      </c>
      <c r="AF194" s="735">
        <f t="shared" si="198"/>
        <v>9</v>
      </c>
      <c r="AG194" s="735">
        <f t="shared" si="145"/>
        <v>9.9999999999999992E+22</v>
      </c>
      <c r="AH194" s="475">
        <f t="shared" si="146"/>
        <v>9</v>
      </c>
      <c r="AI194" s="475">
        <f t="shared" si="199"/>
        <v>0</v>
      </c>
      <c r="AJ194" s="735">
        <f t="shared" si="147"/>
        <v>9.0540000000000003</v>
      </c>
      <c r="AK194" s="475">
        <f t="shared" si="148"/>
        <v>9</v>
      </c>
      <c r="AL194" s="475">
        <f t="shared" si="200"/>
        <v>0</v>
      </c>
      <c r="AM194" s="735">
        <f t="shared" si="149"/>
        <v>9.0540000000000003</v>
      </c>
      <c r="AN194" s="475">
        <f t="shared" si="214"/>
        <v>22.494603711709743</v>
      </c>
      <c r="AO194" s="475">
        <f t="shared" si="150"/>
        <v>0</v>
      </c>
      <c r="AP194" s="735">
        <f t="shared" si="201"/>
        <v>22.629571333980003</v>
      </c>
      <c r="AQ194" s="475" t="e">
        <f t="shared" ca="1" si="151"/>
        <v>#NAME?</v>
      </c>
      <c r="AR194" s="475">
        <f t="shared" si="202"/>
        <v>0.19570006685493199</v>
      </c>
      <c r="AS194" s="735" t="e">
        <f t="shared" ca="1" si="152"/>
        <v>#VALUE!</v>
      </c>
      <c r="AT194" s="475">
        <f t="shared" si="203"/>
        <v>22</v>
      </c>
      <c r="AU194" s="475">
        <f t="shared" si="153"/>
        <v>0</v>
      </c>
      <c r="AV194" s="735">
        <f t="shared" si="154"/>
        <v>22.132000000000001</v>
      </c>
      <c r="AW194" s="529">
        <f t="shared" si="155"/>
        <v>1</v>
      </c>
      <c r="AX194" s="735">
        <f t="shared" si="204"/>
        <v>1</v>
      </c>
      <c r="AY194" s="735">
        <f t="shared" si="156"/>
        <v>0</v>
      </c>
      <c r="AZ194" s="735">
        <f t="shared" si="205"/>
        <v>1</v>
      </c>
      <c r="BA194" s="735">
        <f t="shared" si="206"/>
        <v>0</v>
      </c>
      <c r="BB194" s="735">
        <f>IF($F$36=$D$36,IF(AW194=1,Fall1Tzul(AX194,AY194,BJ194,Q194),0),IF(AW194=1,Fall1Tzul(AX194,AY194,BJ194,W194),0))</f>
        <v>22</v>
      </c>
      <c r="BC194" s="735">
        <f>IF($F$36=$D$36,IF(AW194=1,Fall1xzul(AX194,AY194,BL194,R194),0),IF(AW194=1,Fall1xzul(AX194,AY194,BL194,X194),0))</f>
        <v>0</v>
      </c>
      <c r="BD194" s="735">
        <f>IF($F$36=$D$36,IF(AW194=2,Fall2Tzul(AX194, AZ194, BJ194,Q194, Z194),0),IF(AW194=2,Fall2Tzul(AX194, AZ194, BJ194,W194, Z194),0))</f>
        <v>0</v>
      </c>
      <c r="BE194" s="735">
        <f>IF($F$36=$D$36,IF(AW194=2,Fall2xzul(AX194,AZ194,BL194,R194,AA194),0),IF(AW194=2,Fall2xzul(AX194,AZ194,BL194,X194,AA194),0))</f>
        <v>0</v>
      </c>
      <c r="BF194" s="735">
        <f t="shared" si="157"/>
        <v>0</v>
      </c>
      <c r="BG194" s="735">
        <f t="shared" si="158"/>
        <v>0</v>
      </c>
      <c r="BH194" s="735">
        <f t="shared" si="159"/>
        <v>0</v>
      </c>
      <c r="BI194" s="735">
        <f t="shared" si="160"/>
        <v>0</v>
      </c>
      <c r="BJ194" s="473">
        <f t="shared" si="161"/>
        <v>22</v>
      </c>
      <c r="BK194" s="491">
        <f t="shared" si="162"/>
        <v>1.1286920260116094E-2</v>
      </c>
      <c r="BL194" s="475">
        <f>AbsFeuchte(BJ194,BK194,$N$19)</f>
        <v>0.19570006685493199</v>
      </c>
      <c r="BM194" s="735">
        <f t="shared" si="163"/>
        <v>22.629571333980003</v>
      </c>
      <c r="BN194" s="473">
        <f t="shared" si="207"/>
        <v>22</v>
      </c>
      <c r="BO194" s="491">
        <f t="shared" si="164"/>
        <v>0</v>
      </c>
      <c r="BP194" s="475">
        <f t="shared" si="208"/>
        <v>0</v>
      </c>
      <c r="BQ194" s="735">
        <f t="shared" si="165"/>
        <v>22.132000000000001</v>
      </c>
      <c r="BR194" s="473">
        <f t="shared" si="166"/>
        <v>24</v>
      </c>
      <c r="BS194" s="491">
        <f t="shared" si="167"/>
        <v>0.01</v>
      </c>
      <c r="BT194" s="475">
        <f>AbsFeuchte(BR194,BS194,$N$19)</f>
        <v>0.19570006685493199</v>
      </c>
      <c r="BU194" s="576">
        <f>IF($J$21=0,IF(E$13=$S$10,BR194+$N$18,BR194),IF(E$13=$S$10,BR194+$N$18+#REF!,BR194+$J$21))</f>
        <v>24</v>
      </c>
      <c r="BV194" s="491">
        <f t="shared" si="168"/>
        <v>0.01</v>
      </c>
      <c r="BW194" s="726">
        <f t="shared" si="169"/>
        <v>0.19570006685493199</v>
      </c>
      <c r="BX194" s="475">
        <f t="shared" si="215"/>
        <v>0</v>
      </c>
      <c r="BY194" s="475">
        <f t="shared" si="216"/>
        <v>13.480399999999999</v>
      </c>
      <c r="BZ194" s="475">
        <f t="shared" si="170"/>
        <v>0</v>
      </c>
      <c r="CA194" s="475">
        <f t="shared" si="171"/>
        <v>0</v>
      </c>
      <c r="CB194" s="475">
        <f t="shared" si="172"/>
        <v>0</v>
      </c>
      <c r="CC194" s="475">
        <f t="shared" si="173"/>
        <v>13.480399999999999</v>
      </c>
      <c r="CD194" s="475">
        <f t="shared" si="174"/>
        <v>0</v>
      </c>
      <c r="CE194" s="621">
        <f t="shared" si="175"/>
        <v>0</v>
      </c>
      <c r="CF194" s="621">
        <f t="shared" si="176"/>
        <v>0</v>
      </c>
      <c r="CG194" s="621">
        <f t="shared" si="177"/>
        <v>0</v>
      </c>
      <c r="CH194" s="573">
        <f t="shared" si="178"/>
        <v>0</v>
      </c>
      <c r="CI194" s="621">
        <f t="shared" si="179"/>
        <v>0</v>
      </c>
      <c r="CJ194" s="621">
        <f t="shared" si="180"/>
        <v>0</v>
      </c>
      <c r="CK194" s="621">
        <f t="shared" si="181"/>
        <v>0</v>
      </c>
      <c r="CL194" s="737">
        <f t="shared" si="182"/>
        <v>0</v>
      </c>
      <c r="CM194" s="738">
        <f t="shared" si="183"/>
        <v>0</v>
      </c>
      <c r="CN194" s="475">
        <f t="shared" si="184"/>
        <v>222</v>
      </c>
      <c r="CO194" s="475">
        <f t="shared" si="185"/>
        <v>222</v>
      </c>
      <c r="CP194" s="475">
        <f t="shared" si="186"/>
        <v>222</v>
      </c>
      <c r="CQ194" s="475">
        <f t="shared" si="187"/>
        <v>-222</v>
      </c>
      <c r="CR194" s="475">
        <f t="shared" si="188"/>
        <v>-222</v>
      </c>
      <c r="CS194" s="475">
        <f t="shared" si="189"/>
        <v>-222</v>
      </c>
      <c r="CT194" s="475">
        <f t="shared" si="190"/>
        <v>0</v>
      </c>
      <c r="CU194" s="475">
        <f t="shared" si="191"/>
        <v>222</v>
      </c>
      <c r="CV194" s="475">
        <f t="shared" si="192"/>
        <v>-222</v>
      </c>
      <c r="CW194" s="475">
        <f t="shared" si="209"/>
        <v>0</v>
      </c>
      <c r="CX194" s="573">
        <f t="shared" si="217"/>
        <v>0</v>
      </c>
      <c r="CY194" s="475">
        <f t="shared" si="210"/>
        <v>22</v>
      </c>
      <c r="CZ194" s="475">
        <f t="shared" si="218"/>
        <v>22</v>
      </c>
      <c r="DA194" s="475">
        <v>-20</v>
      </c>
      <c r="DB194" s="475"/>
      <c r="DC194" s="410"/>
    </row>
    <row r="195" spans="1:107" s="619" customFormat="1" ht="12" hidden="1" customHeight="1" outlineLevel="1">
      <c r="A195" s="752">
        <v>-19</v>
      </c>
      <c r="B195" s="573">
        <v>0</v>
      </c>
      <c r="C195" s="475">
        <v>0</v>
      </c>
      <c r="D195" s="741">
        <v>0</v>
      </c>
      <c r="E195" s="491">
        <f t="shared" si="132"/>
        <v>0</v>
      </c>
      <c r="F195" s="438">
        <f t="shared" si="133"/>
        <v>0</v>
      </c>
      <c r="G195" s="438"/>
      <c r="H195" s="475">
        <f t="shared" si="134"/>
        <v>41</v>
      </c>
      <c r="I195" s="473">
        <f t="shared" si="135"/>
        <v>8.9499999999999993</v>
      </c>
      <c r="J195" s="473">
        <f t="shared" si="136"/>
        <v>8.9499999999999993</v>
      </c>
      <c r="K195" s="491">
        <f t="shared" si="137"/>
        <v>0.65</v>
      </c>
      <c r="L195" s="473">
        <f t="shared" si="193"/>
        <v>8.9499999999999993</v>
      </c>
      <c r="M195" s="473">
        <f t="shared" si="138"/>
        <v>0</v>
      </c>
      <c r="N195" s="473">
        <f>(EnthalpieA(L195,M195,#REF!)*$F$35)+((1-$F$35)*EnthalpieA(BU195,BW195,#REF!))</f>
        <v>9.0036999999999985</v>
      </c>
      <c r="O195" s="473">
        <f>(EnthalpieA(L195,M195,#REF!)*$F$34)+((1-$F$34)*EnthalpieA(BU195,BW195,#REF!))</f>
        <v>9.0036999999999985</v>
      </c>
      <c r="P195" s="734">
        <f>1-IF(EnthalpieA(L195,M195,#REF!)=S195,$F$35,(S195-EnthalpieA(BU195,BW195,#REF!))/((EnthalpieA(L195,M195,#REF!)-EnthalpieA(BU195,BW195,#REF!))))</f>
        <v>0</v>
      </c>
      <c r="Q195" s="473">
        <f t="shared" si="211"/>
        <v>8.9499999999999993</v>
      </c>
      <c r="R195" s="475">
        <f t="shared" si="212"/>
        <v>0</v>
      </c>
      <c r="S195" s="473">
        <f t="shared" si="213"/>
        <v>9.0036999999999985</v>
      </c>
      <c r="T195" s="473">
        <f t="shared" si="139"/>
        <v>8.9499999999999993</v>
      </c>
      <c r="U195" s="473">
        <f t="shared" si="140"/>
        <v>8.9499999999999993</v>
      </c>
      <c r="V195" s="491">
        <f t="shared" si="141"/>
        <v>0</v>
      </c>
      <c r="W195" s="475">
        <f t="shared" si="194"/>
        <v>8.9499999999999993</v>
      </c>
      <c r="X195" s="475">
        <f t="shared" si="195"/>
        <v>0</v>
      </c>
      <c r="Y195" s="735">
        <f t="shared" si="142"/>
        <v>9.0036999999999985</v>
      </c>
      <c r="Z195" s="475">
        <f t="shared" si="196"/>
        <v>9</v>
      </c>
      <c r="AA195" s="475">
        <f>IF($F$36=$D$36,MIN(AbsFeuchte(Z195,100%,$N$19),R195),MIN(AbsFeuchte(Z195,100%,$N$19),X195))</f>
        <v>0</v>
      </c>
      <c r="AB195" s="735">
        <f t="shared" si="143"/>
        <v>9.0540000000000003</v>
      </c>
      <c r="AC195" s="475">
        <f t="shared" si="197"/>
        <v>9</v>
      </c>
      <c r="AD195" s="475">
        <v>0</v>
      </c>
      <c r="AE195" s="735">
        <f t="shared" si="144"/>
        <v>9.0540000000000003</v>
      </c>
      <c r="AF195" s="735">
        <f t="shared" si="198"/>
        <v>9</v>
      </c>
      <c r="AG195" s="735">
        <f t="shared" si="145"/>
        <v>9.9999999999999992E+22</v>
      </c>
      <c r="AH195" s="475">
        <f t="shared" si="146"/>
        <v>9</v>
      </c>
      <c r="AI195" s="475">
        <f t="shared" si="199"/>
        <v>0</v>
      </c>
      <c r="AJ195" s="735">
        <f t="shared" si="147"/>
        <v>9.0540000000000003</v>
      </c>
      <c r="AK195" s="475">
        <f t="shared" si="148"/>
        <v>9</v>
      </c>
      <c r="AL195" s="475">
        <f t="shared" si="200"/>
        <v>0</v>
      </c>
      <c r="AM195" s="735">
        <f t="shared" si="149"/>
        <v>9.0540000000000003</v>
      </c>
      <c r="AN195" s="475">
        <f t="shared" si="214"/>
        <v>22.494603711709743</v>
      </c>
      <c r="AO195" s="475">
        <f t="shared" si="150"/>
        <v>0</v>
      </c>
      <c r="AP195" s="735">
        <f t="shared" si="201"/>
        <v>22.629571333980003</v>
      </c>
      <c r="AQ195" s="475" t="e">
        <f t="shared" ca="1" si="151"/>
        <v>#NAME?</v>
      </c>
      <c r="AR195" s="475">
        <f t="shared" si="202"/>
        <v>0.19570006685493199</v>
      </c>
      <c r="AS195" s="735" t="e">
        <f t="shared" ca="1" si="152"/>
        <v>#VALUE!</v>
      </c>
      <c r="AT195" s="475">
        <f t="shared" si="203"/>
        <v>22</v>
      </c>
      <c r="AU195" s="475">
        <f t="shared" si="153"/>
        <v>0</v>
      </c>
      <c r="AV195" s="735">
        <f t="shared" si="154"/>
        <v>22.132000000000001</v>
      </c>
      <c r="AW195" s="529">
        <f t="shared" si="155"/>
        <v>1</v>
      </c>
      <c r="AX195" s="735">
        <f t="shared" si="204"/>
        <v>1</v>
      </c>
      <c r="AY195" s="735">
        <f t="shared" si="156"/>
        <v>0</v>
      </c>
      <c r="AZ195" s="735">
        <f t="shared" si="205"/>
        <v>1</v>
      </c>
      <c r="BA195" s="735">
        <f t="shared" si="206"/>
        <v>0</v>
      </c>
      <c r="BB195" s="735">
        <f>IF($F$36=$D$36,IF(AW195=1,Fall1Tzul(AX195,AY195,BJ195,Q195),0),IF(AW195=1,Fall1Tzul(AX195,AY195,BJ195,W195),0))</f>
        <v>22</v>
      </c>
      <c r="BC195" s="735">
        <f>IF($F$36=$D$36,IF(AW195=1,Fall1xzul(AX195,AY195,BL195,R195),0),IF(AW195=1,Fall1xzul(AX195,AY195,BL195,X195),0))</f>
        <v>0</v>
      </c>
      <c r="BD195" s="735">
        <f>IF($F$36=$D$36,IF(AW195=2,Fall2Tzul(AX195, AZ195, BJ195,Q195, Z195),0),IF(AW195=2,Fall2Tzul(AX195, AZ195, BJ195,W195, Z195),0))</f>
        <v>0</v>
      </c>
      <c r="BE195" s="735">
        <f>IF($F$36=$D$36,IF(AW195=2,Fall2xzul(AX195,AZ195,BL195,R195,AA195),0),IF(AW195=2,Fall2xzul(AX195,AZ195,BL195,X195,AA195),0))</f>
        <v>0</v>
      </c>
      <c r="BF195" s="735">
        <f t="shared" si="157"/>
        <v>0</v>
      </c>
      <c r="BG195" s="735">
        <f t="shared" si="158"/>
        <v>0</v>
      </c>
      <c r="BH195" s="735">
        <f t="shared" si="159"/>
        <v>0</v>
      </c>
      <c r="BI195" s="735">
        <f t="shared" si="160"/>
        <v>0</v>
      </c>
      <c r="BJ195" s="473">
        <f t="shared" si="161"/>
        <v>22</v>
      </c>
      <c r="BK195" s="491">
        <f t="shared" si="162"/>
        <v>1.1286920260116094E-2</v>
      </c>
      <c r="BL195" s="475">
        <f>AbsFeuchte(BJ195,BK195,$N$19)</f>
        <v>0.19570006685493199</v>
      </c>
      <c r="BM195" s="735">
        <f t="shared" si="163"/>
        <v>22.629571333980003</v>
      </c>
      <c r="BN195" s="473">
        <f t="shared" si="207"/>
        <v>22</v>
      </c>
      <c r="BO195" s="491">
        <f t="shared" si="164"/>
        <v>0</v>
      </c>
      <c r="BP195" s="475">
        <f t="shared" si="208"/>
        <v>0</v>
      </c>
      <c r="BQ195" s="735">
        <f t="shared" si="165"/>
        <v>22.132000000000001</v>
      </c>
      <c r="BR195" s="473">
        <f t="shared" si="166"/>
        <v>24</v>
      </c>
      <c r="BS195" s="491">
        <f t="shared" si="167"/>
        <v>0.01</v>
      </c>
      <c r="BT195" s="475">
        <f>AbsFeuchte(BR195,BS195,$N$19)</f>
        <v>0.19570006685493199</v>
      </c>
      <c r="BU195" s="576">
        <f>IF($J$21=0,IF(E$13=$S$10,BR195+$N$18,BR195),IF(E$13=$S$10,BR195+$N$18+#REF!,BR195+$J$21))</f>
        <v>24</v>
      </c>
      <c r="BV195" s="491">
        <f t="shared" si="168"/>
        <v>0.01</v>
      </c>
      <c r="BW195" s="726">
        <f t="shared" si="169"/>
        <v>0.19570006685493199</v>
      </c>
      <c r="BX195" s="475">
        <f t="shared" si="215"/>
        <v>0</v>
      </c>
      <c r="BY195" s="475">
        <f t="shared" si="216"/>
        <v>13.128300000000003</v>
      </c>
      <c r="BZ195" s="475">
        <f t="shared" si="170"/>
        <v>0</v>
      </c>
      <c r="CA195" s="475">
        <f t="shared" si="171"/>
        <v>0</v>
      </c>
      <c r="CB195" s="475">
        <f t="shared" si="172"/>
        <v>0</v>
      </c>
      <c r="CC195" s="475">
        <f t="shared" si="173"/>
        <v>13.128300000000003</v>
      </c>
      <c r="CD195" s="475">
        <f t="shared" si="174"/>
        <v>0</v>
      </c>
      <c r="CE195" s="621">
        <f t="shared" si="175"/>
        <v>0</v>
      </c>
      <c r="CF195" s="621">
        <f t="shared" si="176"/>
        <v>0</v>
      </c>
      <c r="CG195" s="621">
        <f t="shared" si="177"/>
        <v>0</v>
      </c>
      <c r="CH195" s="573">
        <f t="shared" si="178"/>
        <v>0</v>
      </c>
      <c r="CI195" s="621">
        <f t="shared" si="179"/>
        <v>0</v>
      </c>
      <c r="CJ195" s="621">
        <f t="shared" si="180"/>
        <v>0</v>
      </c>
      <c r="CK195" s="621">
        <f t="shared" si="181"/>
        <v>0</v>
      </c>
      <c r="CL195" s="737">
        <f t="shared" si="182"/>
        <v>0</v>
      </c>
      <c r="CM195" s="738">
        <f t="shared" si="183"/>
        <v>0</v>
      </c>
      <c r="CN195" s="475">
        <f t="shared" si="184"/>
        <v>222</v>
      </c>
      <c r="CO195" s="475">
        <f t="shared" si="185"/>
        <v>222</v>
      </c>
      <c r="CP195" s="475">
        <f t="shared" si="186"/>
        <v>222</v>
      </c>
      <c r="CQ195" s="475">
        <f t="shared" si="187"/>
        <v>-222</v>
      </c>
      <c r="CR195" s="475">
        <f t="shared" si="188"/>
        <v>-222</v>
      </c>
      <c r="CS195" s="475">
        <f t="shared" si="189"/>
        <v>-222</v>
      </c>
      <c r="CT195" s="475">
        <f t="shared" si="190"/>
        <v>0</v>
      </c>
      <c r="CU195" s="475">
        <f t="shared" si="191"/>
        <v>222</v>
      </c>
      <c r="CV195" s="475">
        <f t="shared" si="192"/>
        <v>-222</v>
      </c>
      <c r="CW195" s="475">
        <f t="shared" si="209"/>
        <v>0</v>
      </c>
      <c r="CX195" s="573">
        <f t="shared" si="217"/>
        <v>0</v>
      </c>
      <c r="CY195" s="475">
        <f t="shared" si="210"/>
        <v>22</v>
      </c>
      <c r="CZ195" s="475">
        <f t="shared" si="218"/>
        <v>22</v>
      </c>
      <c r="DA195" s="475">
        <v>-19</v>
      </c>
      <c r="DB195" s="475"/>
      <c r="DC195" s="410"/>
    </row>
    <row r="196" spans="1:107" s="619" customFormat="1" ht="12" hidden="1" customHeight="1" outlineLevel="1">
      <c r="A196" s="752">
        <v>-18</v>
      </c>
      <c r="B196" s="573">
        <v>0</v>
      </c>
      <c r="C196" s="475">
        <v>0</v>
      </c>
      <c r="D196" s="741">
        <v>0</v>
      </c>
      <c r="E196" s="491">
        <f t="shared" si="132"/>
        <v>0</v>
      </c>
      <c r="F196" s="438">
        <f t="shared" si="133"/>
        <v>0</v>
      </c>
      <c r="G196" s="438"/>
      <c r="H196" s="475">
        <f t="shared" si="134"/>
        <v>40</v>
      </c>
      <c r="I196" s="473">
        <f t="shared" si="135"/>
        <v>9.3000000000000007</v>
      </c>
      <c r="J196" s="473">
        <f t="shared" si="136"/>
        <v>9.3000000000000007</v>
      </c>
      <c r="K196" s="491">
        <f t="shared" si="137"/>
        <v>0.65</v>
      </c>
      <c r="L196" s="473">
        <f t="shared" si="193"/>
        <v>9.3000000000000007</v>
      </c>
      <c r="M196" s="473">
        <f t="shared" si="138"/>
        <v>0</v>
      </c>
      <c r="N196" s="473">
        <f>(EnthalpieA(L196,M196,#REF!)*$F$35)+((1-$F$35)*EnthalpieA(BU196,BW196,#REF!))</f>
        <v>9.3558000000000003</v>
      </c>
      <c r="O196" s="473">
        <f>(EnthalpieA(L196,M196,#REF!)*$F$34)+((1-$F$34)*EnthalpieA(BU196,BW196,#REF!))</f>
        <v>9.3558000000000003</v>
      </c>
      <c r="P196" s="734">
        <f>1-IF(EnthalpieA(L196,M196,#REF!)=S196,$F$35,(S196-EnthalpieA(BU196,BW196,#REF!))/((EnthalpieA(L196,M196,#REF!)-EnthalpieA(BU196,BW196,#REF!))))</f>
        <v>0</v>
      </c>
      <c r="Q196" s="473">
        <f t="shared" si="211"/>
        <v>9.3000000000000007</v>
      </c>
      <c r="R196" s="475">
        <f t="shared" si="212"/>
        <v>0</v>
      </c>
      <c r="S196" s="473">
        <f t="shared" si="213"/>
        <v>9.3558000000000003</v>
      </c>
      <c r="T196" s="473">
        <f t="shared" si="139"/>
        <v>9.3000000000000007</v>
      </c>
      <c r="U196" s="473">
        <f t="shared" si="140"/>
        <v>9.3000000000000007</v>
      </c>
      <c r="V196" s="491">
        <f t="shared" si="141"/>
        <v>0</v>
      </c>
      <c r="W196" s="475">
        <f t="shared" si="194"/>
        <v>9.3000000000000007</v>
      </c>
      <c r="X196" s="475">
        <f t="shared" si="195"/>
        <v>0</v>
      </c>
      <c r="Y196" s="735">
        <f t="shared" si="142"/>
        <v>9.3558000000000003</v>
      </c>
      <c r="Z196" s="475">
        <f t="shared" si="196"/>
        <v>9</v>
      </c>
      <c r="AA196" s="475">
        <f>IF($F$36=$D$36,MIN(AbsFeuchte(Z196,100%,$N$19),R196),MIN(AbsFeuchte(Z196,100%,$N$19),X196))</f>
        <v>0</v>
      </c>
      <c r="AB196" s="735">
        <f t="shared" si="143"/>
        <v>9.0540000000000003</v>
      </c>
      <c r="AC196" s="475">
        <f t="shared" si="197"/>
        <v>9</v>
      </c>
      <c r="AD196" s="475">
        <v>0</v>
      </c>
      <c r="AE196" s="735">
        <f t="shared" si="144"/>
        <v>9.0540000000000003</v>
      </c>
      <c r="AF196" s="735">
        <f t="shared" si="198"/>
        <v>9</v>
      </c>
      <c r="AG196" s="735">
        <f t="shared" si="145"/>
        <v>9.9999999999999992E+22</v>
      </c>
      <c r="AH196" s="475">
        <f t="shared" si="146"/>
        <v>9.3000000000000007</v>
      </c>
      <c r="AI196" s="475">
        <f t="shared" si="199"/>
        <v>0.19570006685493199</v>
      </c>
      <c r="AJ196" s="735">
        <f t="shared" si="147"/>
        <v>9.8487485070007548</v>
      </c>
      <c r="AK196" s="475">
        <f t="shared" si="148"/>
        <v>9.3000000000000007</v>
      </c>
      <c r="AL196" s="475">
        <f t="shared" si="200"/>
        <v>1.3E-22</v>
      </c>
      <c r="AM196" s="735">
        <f t="shared" si="149"/>
        <v>9.3558000000000003</v>
      </c>
      <c r="AN196" s="475">
        <f t="shared" si="214"/>
        <v>22.494603711709743</v>
      </c>
      <c r="AO196" s="475">
        <f t="shared" si="150"/>
        <v>0</v>
      </c>
      <c r="AP196" s="735">
        <f t="shared" si="201"/>
        <v>22.629571333980003</v>
      </c>
      <c r="AQ196" s="475" t="e">
        <f t="shared" ca="1" si="151"/>
        <v>#NAME?</v>
      </c>
      <c r="AR196" s="475">
        <f t="shared" si="202"/>
        <v>0.19570006685493199</v>
      </c>
      <c r="AS196" s="735" t="e">
        <f t="shared" ca="1" si="152"/>
        <v>#VALUE!</v>
      </c>
      <c r="AT196" s="475">
        <f t="shared" si="203"/>
        <v>22</v>
      </c>
      <c r="AU196" s="475">
        <f t="shared" si="153"/>
        <v>0</v>
      </c>
      <c r="AV196" s="735">
        <f t="shared" si="154"/>
        <v>22.132000000000001</v>
      </c>
      <c r="AW196" s="529">
        <f t="shared" si="155"/>
        <v>1</v>
      </c>
      <c r="AX196" s="735">
        <f t="shared" si="204"/>
        <v>1</v>
      </c>
      <c r="AY196" s="735">
        <f t="shared" si="156"/>
        <v>0</v>
      </c>
      <c r="AZ196" s="735">
        <f t="shared" si="205"/>
        <v>1</v>
      </c>
      <c r="BA196" s="735">
        <f t="shared" si="206"/>
        <v>0</v>
      </c>
      <c r="BB196" s="735">
        <f>IF($F$36=$D$36,IF(AW196=1,Fall1Tzul(AX196,AY196,BJ196,Q196),0),IF(AW196=1,Fall1Tzul(AX196,AY196,BJ196,W196),0))</f>
        <v>22</v>
      </c>
      <c r="BC196" s="735">
        <f>IF($F$36=$D$36,IF(AW196=1,Fall1xzul(AX196,AY196,BL196,R196),0),IF(AW196=1,Fall1xzul(AX196,AY196,BL196,X196),0))</f>
        <v>0</v>
      </c>
      <c r="BD196" s="735">
        <f>IF($F$36=$D$36,IF(AW196=2,Fall2Tzul(AX196, AZ196, BJ196,Q196, Z196),0),IF(AW196=2,Fall2Tzul(AX196, AZ196, BJ196,W196, Z196),0))</f>
        <v>0</v>
      </c>
      <c r="BE196" s="735">
        <f>IF($F$36=$D$36,IF(AW196=2,Fall2xzul(AX196,AZ196,BL196,R196,AA196),0),IF(AW196=2,Fall2xzul(AX196,AZ196,BL196,X196,AA196),0))</f>
        <v>0</v>
      </c>
      <c r="BF196" s="735">
        <f t="shared" si="157"/>
        <v>0</v>
      </c>
      <c r="BG196" s="735">
        <f t="shared" si="158"/>
        <v>0</v>
      </c>
      <c r="BH196" s="735">
        <f t="shared" si="159"/>
        <v>0</v>
      </c>
      <c r="BI196" s="735">
        <f t="shared" si="160"/>
        <v>0</v>
      </c>
      <c r="BJ196" s="473">
        <f t="shared" si="161"/>
        <v>22</v>
      </c>
      <c r="BK196" s="491">
        <f t="shared" si="162"/>
        <v>1.1286920260116094E-2</v>
      </c>
      <c r="BL196" s="475">
        <f>AbsFeuchte(BJ196,BK196,$N$19)</f>
        <v>0.19570006685493199</v>
      </c>
      <c r="BM196" s="735">
        <f t="shared" si="163"/>
        <v>22.629571333980003</v>
      </c>
      <c r="BN196" s="473">
        <f t="shared" si="207"/>
        <v>22</v>
      </c>
      <c r="BO196" s="491">
        <f t="shared" si="164"/>
        <v>0</v>
      </c>
      <c r="BP196" s="475">
        <f t="shared" si="208"/>
        <v>0</v>
      </c>
      <c r="BQ196" s="735">
        <f t="shared" si="165"/>
        <v>22.132000000000001</v>
      </c>
      <c r="BR196" s="473">
        <f t="shared" si="166"/>
        <v>24</v>
      </c>
      <c r="BS196" s="491">
        <f t="shared" si="167"/>
        <v>0.01</v>
      </c>
      <c r="BT196" s="475">
        <f>AbsFeuchte(BR196,BS196,$N$19)</f>
        <v>0.19570006685493199</v>
      </c>
      <c r="BU196" s="576">
        <f>IF($J$21=0,IF(E$13=$S$10,BR196+$N$18,BR196),IF(E$13=$S$10,BR196+$N$18+#REF!,BR196+$J$21))</f>
        <v>24</v>
      </c>
      <c r="BV196" s="491">
        <f t="shared" si="168"/>
        <v>0.01</v>
      </c>
      <c r="BW196" s="726">
        <f t="shared" si="169"/>
        <v>0.19570006685493199</v>
      </c>
      <c r="BX196" s="475">
        <f t="shared" si="215"/>
        <v>0</v>
      </c>
      <c r="BY196" s="475">
        <f t="shared" si="216"/>
        <v>12.776200000000001</v>
      </c>
      <c r="BZ196" s="475">
        <f t="shared" si="170"/>
        <v>0</v>
      </c>
      <c r="CA196" s="475">
        <f t="shared" si="171"/>
        <v>0</v>
      </c>
      <c r="CB196" s="475">
        <f t="shared" si="172"/>
        <v>0</v>
      </c>
      <c r="CC196" s="475">
        <f t="shared" si="173"/>
        <v>12.776200000000001</v>
      </c>
      <c r="CD196" s="475">
        <f t="shared" si="174"/>
        <v>0</v>
      </c>
      <c r="CE196" s="621">
        <f t="shared" si="175"/>
        <v>0</v>
      </c>
      <c r="CF196" s="621">
        <f t="shared" si="176"/>
        <v>0</v>
      </c>
      <c r="CG196" s="621">
        <f t="shared" si="177"/>
        <v>0</v>
      </c>
      <c r="CH196" s="573">
        <f t="shared" si="178"/>
        <v>0</v>
      </c>
      <c r="CI196" s="621">
        <f t="shared" si="179"/>
        <v>0</v>
      </c>
      <c r="CJ196" s="621">
        <f t="shared" si="180"/>
        <v>0</v>
      </c>
      <c r="CK196" s="621">
        <f t="shared" si="181"/>
        <v>0</v>
      </c>
      <c r="CL196" s="737">
        <f t="shared" si="182"/>
        <v>0</v>
      </c>
      <c r="CM196" s="738">
        <f t="shared" si="183"/>
        <v>0</v>
      </c>
      <c r="CN196" s="475">
        <f t="shared" si="184"/>
        <v>222</v>
      </c>
      <c r="CO196" s="475">
        <f t="shared" si="185"/>
        <v>222</v>
      </c>
      <c r="CP196" s="475">
        <f t="shared" si="186"/>
        <v>222</v>
      </c>
      <c r="CQ196" s="475">
        <f t="shared" si="187"/>
        <v>-222</v>
      </c>
      <c r="CR196" s="475">
        <f t="shared" si="188"/>
        <v>-222</v>
      </c>
      <c r="CS196" s="475">
        <f t="shared" si="189"/>
        <v>-222</v>
      </c>
      <c r="CT196" s="475">
        <f t="shared" si="190"/>
        <v>0</v>
      </c>
      <c r="CU196" s="475">
        <f t="shared" si="191"/>
        <v>222</v>
      </c>
      <c r="CV196" s="475">
        <f t="shared" si="192"/>
        <v>-222</v>
      </c>
      <c r="CW196" s="475">
        <f t="shared" si="209"/>
        <v>0</v>
      </c>
      <c r="CX196" s="573">
        <f t="shared" si="217"/>
        <v>0</v>
      </c>
      <c r="CY196" s="475">
        <f t="shared" si="210"/>
        <v>22</v>
      </c>
      <c r="CZ196" s="475">
        <f t="shared" si="218"/>
        <v>22</v>
      </c>
      <c r="DA196" s="475">
        <v>-18</v>
      </c>
      <c r="DB196" s="475"/>
      <c r="DC196" s="410"/>
    </row>
    <row r="197" spans="1:107" s="619" customFormat="1" ht="12" hidden="1" customHeight="1" outlineLevel="1">
      <c r="A197" s="752">
        <v>-17</v>
      </c>
      <c r="B197" s="573">
        <v>0</v>
      </c>
      <c r="C197" s="475">
        <v>0</v>
      </c>
      <c r="D197" s="741">
        <v>0</v>
      </c>
      <c r="E197" s="491">
        <f t="shared" si="132"/>
        <v>0</v>
      </c>
      <c r="F197" s="438">
        <f t="shared" si="133"/>
        <v>0</v>
      </c>
      <c r="G197" s="438"/>
      <c r="H197" s="475">
        <f t="shared" si="134"/>
        <v>39</v>
      </c>
      <c r="I197" s="473">
        <f t="shared" si="135"/>
        <v>9.6500000000000021</v>
      </c>
      <c r="J197" s="473">
        <f t="shared" si="136"/>
        <v>9.6500000000000021</v>
      </c>
      <c r="K197" s="491">
        <f t="shared" si="137"/>
        <v>0.65</v>
      </c>
      <c r="L197" s="473">
        <f t="shared" si="193"/>
        <v>9.6500000000000021</v>
      </c>
      <c r="M197" s="473">
        <f t="shared" si="138"/>
        <v>0</v>
      </c>
      <c r="N197" s="473">
        <f>(EnthalpieA(L197,M197,#REF!)*$F$35)+((1-$F$35)*EnthalpieA(BU197,BW197,#REF!))</f>
        <v>9.7079000000000022</v>
      </c>
      <c r="O197" s="473">
        <f>(EnthalpieA(L197,M197,#REF!)*$F$34)+((1-$F$34)*EnthalpieA(BU197,BW197,#REF!))</f>
        <v>9.7079000000000022</v>
      </c>
      <c r="P197" s="734">
        <f>1-IF(EnthalpieA(L197,M197,#REF!)=S197,$F$35,(S197-EnthalpieA(BU197,BW197,#REF!))/((EnthalpieA(L197,M197,#REF!)-EnthalpieA(BU197,BW197,#REF!))))</f>
        <v>0</v>
      </c>
      <c r="Q197" s="473">
        <f t="shared" si="211"/>
        <v>9.6500000000000021</v>
      </c>
      <c r="R197" s="475">
        <f t="shared" si="212"/>
        <v>0</v>
      </c>
      <c r="S197" s="473">
        <f t="shared" si="213"/>
        <v>9.7079000000000022</v>
      </c>
      <c r="T197" s="473">
        <f t="shared" si="139"/>
        <v>9.6500000000000021</v>
      </c>
      <c r="U197" s="473">
        <f t="shared" si="140"/>
        <v>9.6500000000000021</v>
      </c>
      <c r="V197" s="491">
        <f t="shared" si="141"/>
        <v>0</v>
      </c>
      <c r="W197" s="475">
        <f t="shared" si="194"/>
        <v>9.6500000000000021</v>
      </c>
      <c r="X197" s="475">
        <f t="shared" si="195"/>
        <v>0</v>
      </c>
      <c r="Y197" s="735">
        <f t="shared" si="142"/>
        <v>9.7079000000000022</v>
      </c>
      <c r="Z197" s="475">
        <f t="shared" si="196"/>
        <v>9</v>
      </c>
      <c r="AA197" s="475">
        <f>IF($F$36=$D$36,MIN(AbsFeuchte(Z197,100%,$N$19),R197),MIN(AbsFeuchte(Z197,100%,$N$19),X197))</f>
        <v>0</v>
      </c>
      <c r="AB197" s="735">
        <f t="shared" si="143"/>
        <v>9.0540000000000003</v>
      </c>
      <c r="AC197" s="475">
        <f t="shared" si="197"/>
        <v>9</v>
      </c>
      <c r="AD197" s="475">
        <v>0</v>
      </c>
      <c r="AE197" s="735">
        <f t="shared" si="144"/>
        <v>9.0540000000000003</v>
      </c>
      <c r="AF197" s="735">
        <f t="shared" si="198"/>
        <v>9</v>
      </c>
      <c r="AG197" s="735">
        <f t="shared" si="145"/>
        <v>9.9999999999999992E+22</v>
      </c>
      <c r="AH197" s="475">
        <f t="shared" si="146"/>
        <v>9.6500000000000021</v>
      </c>
      <c r="AI197" s="475">
        <f t="shared" si="199"/>
        <v>0.19570006685493199</v>
      </c>
      <c r="AJ197" s="735">
        <f t="shared" si="147"/>
        <v>10.200975907744279</v>
      </c>
      <c r="AK197" s="475">
        <f t="shared" si="148"/>
        <v>9.6500000000000021</v>
      </c>
      <c r="AL197" s="475">
        <f t="shared" si="200"/>
        <v>1.3E-22</v>
      </c>
      <c r="AM197" s="735">
        <f t="shared" si="149"/>
        <v>9.7079000000000022</v>
      </c>
      <c r="AN197" s="475">
        <f t="shared" si="214"/>
        <v>22.494603711709743</v>
      </c>
      <c r="AO197" s="475">
        <f t="shared" si="150"/>
        <v>0</v>
      </c>
      <c r="AP197" s="735">
        <f t="shared" si="201"/>
        <v>22.629571333980003</v>
      </c>
      <c r="AQ197" s="475" t="e">
        <f t="shared" ca="1" si="151"/>
        <v>#NAME?</v>
      </c>
      <c r="AR197" s="475">
        <f t="shared" si="202"/>
        <v>0.19570006685493199</v>
      </c>
      <c r="AS197" s="735" t="e">
        <f t="shared" ca="1" si="152"/>
        <v>#VALUE!</v>
      </c>
      <c r="AT197" s="475">
        <f t="shared" si="203"/>
        <v>22</v>
      </c>
      <c r="AU197" s="475">
        <f t="shared" si="153"/>
        <v>0</v>
      </c>
      <c r="AV197" s="735">
        <f t="shared" si="154"/>
        <v>22.132000000000001</v>
      </c>
      <c r="AW197" s="529">
        <f t="shared" si="155"/>
        <v>1</v>
      </c>
      <c r="AX197" s="735">
        <f t="shared" si="204"/>
        <v>1</v>
      </c>
      <c r="AY197" s="735">
        <f t="shared" si="156"/>
        <v>0</v>
      </c>
      <c r="AZ197" s="735">
        <f t="shared" si="205"/>
        <v>1</v>
      </c>
      <c r="BA197" s="735">
        <f t="shared" si="206"/>
        <v>0</v>
      </c>
      <c r="BB197" s="735">
        <f>IF($F$36=$D$36,IF(AW197=1,Fall1Tzul(AX197,AY197,BJ197,Q197),0),IF(AW197=1,Fall1Tzul(AX197,AY197,BJ197,W197),0))</f>
        <v>22</v>
      </c>
      <c r="BC197" s="735">
        <f>IF($F$36=$D$36,IF(AW197=1,Fall1xzul(AX197,AY197,BL197,R197),0),IF(AW197=1,Fall1xzul(AX197,AY197,BL197,X197),0))</f>
        <v>0</v>
      </c>
      <c r="BD197" s="735">
        <f>IF($F$36=$D$36,IF(AW197=2,Fall2Tzul(AX197, AZ197, BJ197,Q197, Z197),0),IF(AW197=2,Fall2Tzul(AX197, AZ197, BJ197,W197, Z197),0))</f>
        <v>0</v>
      </c>
      <c r="BE197" s="735">
        <f>IF($F$36=$D$36,IF(AW197=2,Fall2xzul(AX197,AZ197,BL197,R197,AA197),0),IF(AW197=2,Fall2xzul(AX197,AZ197,BL197,X197,AA197),0))</f>
        <v>0</v>
      </c>
      <c r="BF197" s="735">
        <f t="shared" si="157"/>
        <v>0</v>
      </c>
      <c r="BG197" s="735">
        <f t="shared" si="158"/>
        <v>0</v>
      </c>
      <c r="BH197" s="735">
        <f t="shared" si="159"/>
        <v>0</v>
      </c>
      <c r="BI197" s="735">
        <f t="shared" si="160"/>
        <v>0</v>
      </c>
      <c r="BJ197" s="473">
        <f t="shared" si="161"/>
        <v>22</v>
      </c>
      <c r="BK197" s="491">
        <f t="shared" si="162"/>
        <v>1.1286920260116094E-2</v>
      </c>
      <c r="BL197" s="475">
        <f>AbsFeuchte(BJ197,BK197,$N$19)</f>
        <v>0.19570006685493199</v>
      </c>
      <c r="BM197" s="735">
        <f t="shared" si="163"/>
        <v>22.629571333980003</v>
      </c>
      <c r="BN197" s="473">
        <f t="shared" si="207"/>
        <v>22</v>
      </c>
      <c r="BO197" s="491">
        <f t="shared" si="164"/>
        <v>0</v>
      </c>
      <c r="BP197" s="475">
        <f t="shared" si="208"/>
        <v>0</v>
      </c>
      <c r="BQ197" s="735">
        <f t="shared" si="165"/>
        <v>22.132000000000001</v>
      </c>
      <c r="BR197" s="473">
        <f t="shared" si="166"/>
        <v>24</v>
      </c>
      <c r="BS197" s="491">
        <f t="shared" si="167"/>
        <v>0.01</v>
      </c>
      <c r="BT197" s="475">
        <f>AbsFeuchte(BR197,BS197,$N$19)</f>
        <v>0.19570006685493199</v>
      </c>
      <c r="BU197" s="576">
        <f>IF($J$21=0,IF(E$13=$S$10,BR197+$N$18,BR197),IF(E$13=$S$10,BR197+$N$18+#REF!,BR197+$J$21))</f>
        <v>24</v>
      </c>
      <c r="BV197" s="491">
        <f t="shared" si="168"/>
        <v>0.01</v>
      </c>
      <c r="BW197" s="726">
        <f t="shared" si="169"/>
        <v>0.19570006685493199</v>
      </c>
      <c r="BX197" s="475">
        <f t="shared" si="215"/>
        <v>0</v>
      </c>
      <c r="BY197" s="475">
        <f t="shared" si="216"/>
        <v>12.424099999999999</v>
      </c>
      <c r="BZ197" s="475">
        <f t="shared" si="170"/>
        <v>0</v>
      </c>
      <c r="CA197" s="475">
        <f t="shared" si="171"/>
        <v>0</v>
      </c>
      <c r="CB197" s="475">
        <f t="shared" si="172"/>
        <v>0</v>
      </c>
      <c r="CC197" s="475">
        <f t="shared" si="173"/>
        <v>12.424099999999999</v>
      </c>
      <c r="CD197" s="475">
        <f t="shared" si="174"/>
        <v>0</v>
      </c>
      <c r="CE197" s="621">
        <f t="shared" si="175"/>
        <v>0</v>
      </c>
      <c r="CF197" s="621">
        <f t="shared" si="176"/>
        <v>0</v>
      </c>
      <c r="CG197" s="621">
        <f t="shared" si="177"/>
        <v>0</v>
      </c>
      <c r="CH197" s="573">
        <f t="shared" si="178"/>
        <v>0</v>
      </c>
      <c r="CI197" s="621">
        <f t="shared" si="179"/>
        <v>0</v>
      </c>
      <c r="CJ197" s="621">
        <f t="shared" si="180"/>
        <v>0</v>
      </c>
      <c r="CK197" s="621">
        <f t="shared" si="181"/>
        <v>0</v>
      </c>
      <c r="CL197" s="737">
        <f t="shared" si="182"/>
        <v>0</v>
      </c>
      <c r="CM197" s="738">
        <f t="shared" si="183"/>
        <v>0</v>
      </c>
      <c r="CN197" s="475">
        <f t="shared" si="184"/>
        <v>222</v>
      </c>
      <c r="CO197" s="475">
        <f t="shared" si="185"/>
        <v>222</v>
      </c>
      <c r="CP197" s="475">
        <f t="shared" si="186"/>
        <v>222</v>
      </c>
      <c r="CQ197" s="475">
        <f t="shared" si="187"/>
        <v>-222</v>
      </c>
      <c r="CR197" s="475">
        <f t="shared" si="188"/>
        <v>-222</v>
      </c>
      <c r="CS197" s="475">
        <f t="shared" si="189"/>
        <v>-222</v>
      </c>
      <c r="CT197" s="475">
        <f t="shared" si="190"/>
        <v>0</v>
      </c>
      <c r="CU197" s="475">
        <f t="shared" si="191"/>
        <v>222</v>
      </c>
      <c r="CV197" s="475">
        <f t="shared" si="192"/>
        <v>-222</v>
      </c>
      <c r="CW197" s="475">
        <f t="shared" si="209"/>
        <v>0</v>
      </c>
      <c r="CX197" s="573">
        <f t="shared" si="217"/>
        <v>0</v>
      </c>
      <c r="CY197" s="475">
        <f t="shared" si="210"/>
        <v>22</v>
      </c>
      <c r="CZ197" s="475">
        <f t="shared" si="218"/>
        <v>22</v>
      </c>
      <c r="DA197" s="475">
        <v>-17</v>
      </c>
      <c r="DB197" s="475"/>
      <c r="DC197" s="410"/>
    </row>
    <row r="198" spans="1:107" s="619" customFormat="1" ht="12" hidden="1" customHeight="1" outlineLevel="1">
      <c r="A198" s="752">
        <v>-16</v>
      </c>
      <c r="B198" s="573">
        <v>0</v>
      </c>
      <c r="C198" s="475">
        <v>0</v>
      </c>
      <c r="D198" s="741">
        <v>0</v>
      </c>
      <c r="E198" s="491">
        <f t="shared" si="132"/>
        <v>0</v>
      </c>
      <c r="F198" s="438">
        <f t="shared" si="133"/>
        <v>0</v>
      </c>
      <c r="G198" s="438"/>
      <c r="H198" s="475">
        <f t="shared" si="134"/>
        <v>38</v>
      </c>
      <c r="I198" s="473">
        <f t="shared" si="135"/>
        <v>10</v>
      </c>
      <c r="J198" s="473">
        <f t="shared" si="136"/>
        <v>10</v>
      </c>
      <c r="K198" s="491">
        <f t="shared" si="137"/>
        <v>0.65</v>
      </c>
      <c r="L198" s="473">
        <f t="shared" si="193"/>
        <v>10</v>
      </c>
      <c r="M198" s="473">
        <f t="shared" si="138"/>
        <v>0</v>
      </c>
      <c r="N198" s="473">
        <f>(EnthalpieA(L198,M198,#REF!)*$F$35)+((1-$F$35)*EnthalpieA(BU198,BW198,#REF!))</f>
        <v>10.06</v>
      </c>
      <c r="O198" s="473">
        <f>(EnthalpieA(L198,M198,#REF!)*$F$34)+((1-$F$34)*EnthalpieA(BU198,BW198,#REF!))</f>
        <v>10.06</v>
      </c>
      <c r="P198" s="734">
        <f>1-IF(EnthalpieA(L198,M198,#REF!)=S198,$F$35,(S198-EnthalpieA(BU198,BW198,#REF!))/((EnthalpieA(L198,M198,#REF!)-EnthalpieA(BU198,BW198,#REF!))))</f>
        <v>0</v>
      </c>
      <c r="Q198" s="473">
        <f t="shared" si="211"/>
        <v>10</v>
      </c>
      <c r="R198" s="475">
        <f t="shared" si="212"/>
        <v>0</v>
      </c>
      <c r="S198" s="473">
        <f t="shared" si="213"/>
        <v>10.06</v>
      </c>
      <c r="T198" s="473">
        <f t="shared" si="139"/>
        <v>10</v>
      </c>
      <c r="U198" s="473">
        <f t="shared" si="140"/>
        <v>10</v>
      </c>
      <c r="V198" s="491">
        <f t="shared" si="141"/>
        <v>0</v>
      </c>
      <c r="W198" s="475">
        <f t="shared" si="194"/>
        <v>10</v>
      </c>
      <c r="X198" s="475">
        <f t="shared" si="195"/>
        <v>0</v>
      </c>
      <c r="Y198" s="735">
        <f t="shared" si="142"/>
        <v>10.06</v>
      </c>
      <c r="Z198" s="475">
        <f t="shared" si="196"/>
        <v>9</v>
      </c>
      <c r="AA198" s="475">
        <f>IF($F$36=$D$36,MIN(AbsFeuchte(Z198,100%,$N$19),R198),MIN(AbsFeuchte(Z198,100%,$N$19),X198))</f>
        <v>0</v>
      </c>
      <c r="AB198" s="735">
        <f t="shared" si="143"/>
        <v>9.0540000000000003</v>
      </c>
      <c r="AC198" s="475">
        <f t="shared" si="197"/>
        <v>9</v>
      </c>
      <c r="AD198" s="475">
        <v>0</v>
      </c>
      <c r="AE198" s="735">
        <f t="shared" si="144"/>
        <v>9.0540000000000003</v>
      </c>
      <c r="AF198" s="735">
        <f t="shared" si="198"/>
        <v>9</v>
      </c>
      <c r="AG198" s="735">
        <f t="shared" si="145"/>
        <v>9.9999999999999992E+22</v>
      </c>
      <c r="AH198" s="475">
        <f t="shared" si="146"/>
        <v>10</v>
      </c>
      <c r="AI198" s="475">
        <f t="shared" si="199"/>
        <v>0.19570006685493199</v>
      </c>
      <c r="AJ198" s="735">
        <f t="shared" si="147"/>
        <v>10.553203308487801</v>
      </c>
      <c r="AK198" s="475">
        <f t="shared" si="148"/>
        <v>10</v>
      </c>
      <c r="AL198" s="475">
        <f t="shared" si="200"/>
        <v>1.3E-22</v>
      </c>
      <c r="AM198" s="735">
        <f t="shared" si="149"/>
        <v>10.06</v>
      </c>
      <c r="AN198" s="475">
        <f t="shared" si="214"/>
        <v>22.494603711709743</v>
      </c>
      <c r="AO198" s="475">
        <f t="shared" si="150"/>
        <v>0</v>
      </c>
      <c r="AP198" s="735">
        <f t="shared" si="201"/>
        <v>22.629571333980003</v>
      </c>
      <c r="AQ198" s="475" t="e">
        <f t="shared" ca="1" si="151"/>
        <v>#NAME?</v>
      </c>
      <c r="AR198" s="475">
        <f t="shared" si="202"/>
        <v>0.19570006685493199</v>
      </c>
      <c r="AS198" s="735" t="e">
        <f t="shared" ca="1" si="152"/>
        <v>#VALUE!</v>
      </c>
      <c r="AT198" s="475">
        <f t="shared" si="203"/>
        <v>22</v>
      </c>
      <c r="AU198" s="475">
        <f t="shared" si="153"/>
        <v>0</v>
      </c>
      <c r="AV198" s="735">
        <f t="shared" si="154"/>
        <v>22.132000000000001</v>
      </c>
      <c r="AW198" s="529">
        <f t="shared" si="155"/>
        <v>1</v>
      </c>
      <c r="AX198" s="735">
        <f t="shared" si="204"/>
        <v>1</v>
      </c>
      <c r="AY198" s="735">
        <f t="shared" si="156"/>
        <v>0</v>
      </c>
      <c r="AZ198" s="735">
        <f t="shared" si="205"/>
        <v>1</v>
      </c>
      <c r="BA198" s="735">
        <f t="shared" si="206"/>
        <v>0</v>
      </c>
      <c r="BB198" s="735">
        <f>IF($F$36=$D$36,IF(AW198=1,Fall1Tzul(AX198,AY198,BJ198,Q198),0),IF(AW198=1,Fall1Tzul(AX198,AY198,BJ198,W198),0))</f>
        <v>22</v>
      </c>
      <c r="BC198" s="735">
        <f>IF($F$36=$D$36,IF(AW198=1,Fall1xzul(AX198,AY198,BL198,R198),0),IF(AW198=1,Fall1xzul(AX198,AY198,BL198,X198),0))</f>
        <v>0</v>
      </c>
      <c r="BD198" s="735">
        <f>IF($F$36=$D$36,IF(AW198=2,Fall2Tzul(AX198, AZ198, BJ198,Q198, Z198),0),IF(AW198=2,Fall2Tzul(AX198, AZ198, BJ198,W198, Z198),0))</f>
        <v>0</v>
      </c>
      <c r="BE198" s="735">
        <f>IF($F$36=$D$36,IF(AW198=2,Fall2xzul(AX198,AZ198,BL198,R198,AA198),0),IF(AW198=2,Fall2xzul(AX198,AZ198,BL198,X198,AA198),0))</f>
        <v>0</v>
      </c>
      <c r="BF198" s="735">
        <f t="shared" si="157"/>
        <v>0</v>
      </c>
      <c r="BG198" s="735">
        <f t="shared" si="158"/>
        <v>0</v>
      </c>
      <c r="BH198" s="735">
        <f t="shared" si="159"/>
        <v>0</v>
      </c>
      <c r="BI198" s="735">
        <f t="shared" si="160"/>
        <v>0</v>
      </c>
      <c r="BJ198" s="473">
        <f t="shared" si="161"/>
        <v>22</v>
      </c>
      <c r="BK198" s="491">
        <f t="shared" si="162"/>
        <v>1.1286920260116094E-2</v>
      </c>
      <c r="BL198" s="475">
        <f>AbsFeuchte(BJ198,BK198,$N$19)</f>
        <v>0.19570006685493199</v>
      </c>
      <c r="BM198" s="735">
        <f t="shared" si="163"/>
        <v>22.629571333980003</v>
      </c>
      <c r="BN198" s="473">
        <f t="shared" si="207"/>
        <v>22</v>
      </c>
      <c r="BO198" s="491">
        <f t="shared" si="164"/>
        <v>0</v>
      </c>
      <c r="BP198" s="475">
        <f t="shared" si="208"/>
        <v>0</v>
      </c>
      <c r="BQ198" s="735">
        <f t="shared" si="165"/>
        <v>22.132000000000001</v>
      </c>
      <c r="BR198" s="473">
        <f t="shared" si="166"/>
        <v>24</v>
      </c>
      <c r="BS198" s="491">
        <f t="shared" si="167"/>
        <v>0.01</v>
      </c>
      <c r="BT198" s="475">
        <f>AbsFeuchte(BR198,BS198,$N$19)</f>
        <v>0.19570006685493199</v>
      </c>
      <c r="BU198" s="576">
        <f>IF($J$21=0,IF(E$13=$S$10,BR198+$N$18,BR198),IF(E$13=$S$10,BR198+$N$18+#REF!,BR198+$J$21))</f>
        <v>24</v>
      </c>
      <c r="BV198" s="491">
        <f t="shared" si="168"/>
        <v>0.01</v>
      </c>
      <c r="BW198" s="726">
        <f t="shared" si="169"/>
        <v>0.19570006685493199</v>
      </c>
      <c r="BX198" s="475">
        <f t="shared" si="215"/>
        <v>0</v>
      </c>
      <c r="BY198" s="475">
        <f t="shared" si="216"/>
        <v>12.072000000000001</v>
      </c>
      <c r="BZ198" s="475">
        <f t="shared" si="170"/>
        <v>0</v>
      </c>
      <c r="CA198" s="475">
        <f t="shared" si="171"/>
        <v>0</v>
      </c>
      <c r="CB198" s="475">
        <f t="shared" si="172"/>
        <v>0</v>
      </c>
      <c r="CC198" s="475">
        <f t="shared" si="173"/>
        <v>12.072000000000001</v>
      </c>
      <c r="CD198" s="475">
        <f t="shared" si="174"/>
        <v>0</v>
      </c>
      <c r="CE198" s="621">
        <f t="shared" si="175"/>
        <v>0</v>
      </c>
      <c r="CF198" s="621">
        <f t="shared" si="176"/>
        <v>0</v>
      </c>
      <c r="CG198" s="621">
        <f t="shared" si="177"/>
        <v>0</v>
      </c>
      <c r="CH198" s="573">
        <f t="shared" si="178"/>
        <v>0</v>
      </c>
      <c r="CI198" s="621">
        <f t="shared" si="179"/>
        <v>0</v>
      </c>
      <c r="CJ198" s="621">
        <f t="shared" si="180"/>
        <v>0</v>
      </c>
      <c r="CK198" s="621">
        <f t="shared" si="181"/>
        <v>0</v>
      </c>
      <c r="CL198" s="737">
        <f t="shared" si="182"/>
        <v>0</v>
      </c>
      <c r="CM198" s="738">
        <f t="shared" si="183"/>
        <v>0</v>
      </c>
      <c r="CN198" s="475">
        <f t="shared" si="184"/>
        <v>222</v>
      </c>
      <c r="CO198" s="475">
        <f t="shared" si="185"/>
        <v>222</v>
      </c>
      <c r="CP198" s="475">
        <f t="shared" si="186"/>
        <v>222</v>
      </c>
      <c r="CQ198" s="475">
        <f t="shared" si="187"/>
        <v>-222</v>
      </c>
      <c r="CR198" s="475">
        <f t="shared" si="188"/>
        <v>-222</v>
      </c>
      <c r="CS198" s="475">
        <f t="shared" si="189"/>
        <v>-222</v>
      </c>
      <c r="CT198" s="475">
        <f t="shared" si="190"/>
        <v>0</v>
      </c>
      <c r="CU198" s="475">
        <f t="shared" si="191"/>
        <v>222</v>
      </c>
      <c r="CV198" s="475">
        <f t="shared" si="192"/>
        <v>-222</v>
      </c>
      <c r="CW198" s="475">
        <f t="shared" si="209"/>
        <v>0</v>
      </c>
      <c r="CX198" s="573">
        <f t="shared" si="217"/>
        <v>0</v>
      </c>
      <c r="CY198" s="475">
        <f t="shared" si="210"/>
        <v>22</v>
      </c>
      <c r="CZ198" s="475">
        <f t="shared" si="218"/>
        <v>22</v>
      </c>
      <c r="DA198" s="475">
        <v>-16</v>
      </c>
      <c r="DB198" s="475"/>
      <c r="DC198" s="410"/>
    </row>
    <row r="199" spans="1:107" s="619" customFormat="1" ht="12" hidden="1" customHeight="1" outlineLevel="1">
      <c r="A199" s="752">
        <v>-15</v>
      </c>
      <c r="B199" s="573">
        <v>0</v>
      </c>
      <c r="C199" s="475">
        <v>0</v>
      </c>
      <c r="D199" s="741">
        <v>0</v>
      </c>
      <c r="E199" s="491">
        <f t="shared" si="132"/>
        <v>0</v>
      </c>
      <c r="F199" s="438">
        <f t="shared" si="133"/>
        <v>0</v>
      </c>
      <c r="G199" s="438"/>
      <c r="H199" s="475">
        <f t="shared" si="134"/>
        <v>37</v>
      </c>
      <c r="I199" s="473">
        <f t="shared" si="135"/>
        <v>10.350000000000001</v>
      </c>
      <c r="J199" s="473">
        <f t="shared" si="136"/>
        <v>10.350000000000001</v>
      </c>
      <c r="K199" s="491">
        <f t="shared" si="137"/>
        <v>0.65</v>
      </c>
      <c r="L199" s="473">
        <f t="shared" si="193"/>
        <v>10.350000000000001</v>
      </c>
      <c r="M199" s="473">
        <f t="shared" si="138"/>
        <v>0</v>
      </c>
      <c r="N199" s="473">
        <f>(EnthalpieA(L199,M199,#REF!)*$F$35)+((1-$F$35)*EnthalpieA(BU199,BW199,#REF!))</f>
        <v>10.412100000000002</v>
      </c>
      <c r="O199" s="473">
        <f>(EnthalpieA(L199,M199,#REF!)*$F$34)+((1-$F$34)*EnthalpieA(BU199,BW199,#REF!))</f>
        <v>10.412100000000002</v>
      </c>
      <c r="P199" s="734">
        <f>1-IF(EnthalpieA(L199,M199,#REF!)=S199,$F$35,(S199-EnthalpieA(BU199,BW199,#REF!))/((EnthalpieA(L199,M199,#REF!)-EnthalpieA(BU199,BW199,#REF!))))</f>
        <v>0</v>
      </c>
      <c r="Q199" s="473">
        <f t="shared" si="211"/>
        <v>10.350000000000001</v>
      </c>
      <c r="R199" s="475">
        <f t="shared" si="212"/>
        <v>0</v>
      </c>
      <c r="S199" s="473">
        <f t="shared" si="213"/>
        <v>10.412100000000002</v>
      </c>
      <c r="T199" s="473">
        <f t="shared" si="139"/>
        <v>10.350000000000001</v>
      </c>
      <c r="U199" s="473">
        <f t="shared" si="140"/>
        <v>10.350000000000001</v>
      </c>
      <c r="V199" s="491">
        <f t="shared" si="141"/>
        <v>0</v>
      </c>
      <c r="W199" s="475">
        <f t="shared" si="194"/>
        <v>10.350000000000001</v>
      </c>
      <c r="X199" s="475">
        <f t="shared" si="195"/>
        <v>0</v>
      </c>
      <c r="Y199" s="735">
        <f t="shared" si="142"/>
        <v>10.412100000000002</v>
      </c>
      <c r="Z199" s="475">
        <f t="shared" si="196"/>
        <v>9</v>
      </c>
      <c r="AA199" s="475">
        <f>IF($F$36=$D$36,MIN(AbsFeuchte(Z199,100%,$N$19),R199),MIN(AbsFeuchte(Z199,100%,$N$19),X199))</f>
        <v>0</v>
      </c>
      <c r="AB199" s="735">
        <f t="shared" si="143"/>
        <v>9.0540000000000003</v>
      </c>
      <c r="AC199" s="475">
        <f t="shared" si="197"/>
        <v>9</v>
      </c>
      <c r="AD199" s="475">
        <v>0</v>
      </c>
      <c r="AE199" s="735">
        <f t="shared" si="144"/>
        <v>9.0540000000000003</v>
      </c>
      <c r="AF199" s="735">
        <f t="shared" si="198"/>
        <v>9</v>
      </c>
      <c r="AG199" s="735">
        <f t="shared" si="145"/>
        <v>9.9999999999999992E+22</v>
      </c>
      <c r="AH199" s="475">
        <f t="shared" si="146"/>
        <v>10.350000000000001</v>
      </c>
      <c r="AI199" s="475">
        <f t="shared" si="199"/>
        <v>0.19570006685493199</v>
      </c>
      <c r="AJ199" s="735">
        <f t="shared" si="147"/>
        <v>10.905430709231325</v>
      </c>
      <c r="AK199" s="475">
        <f t="shared" si="148"/>
        <v>10.350000000000001</v>
      </c>
      <c r="AL199" s="475">
        <f t="shared" si="200"/>
        <v>1.3E-22</v>
      </c>
      <c r="AM199" s="735">
        <f t="shared" si="149"/>
        <v>10.412100000000002</v>
      </c>
      <c r="AN199" s="475">
        <f t="shared" si="214"/>
        <v>22.494603711709743</v>
      </c>
      <c r="AO199" s="475">
        <f t="shared" si="150"/>
        <v>0</v>
      </c>
      <c r="AP199" s="735">
        <f t="shared" si="201"/>
        <v>22.629571333980003</v>
      </c>
      <c r="AQ199" s="475" t="e">
        <f t="shared" ca="1" si="151"/>
        <v>#NAME?</v>
      </c>
      <c r="AR199" s="475">
        <f t="shared" si="202"/>
        <v>0.19570006685493199</v>
      </c>
      <c r="AS199" s="735" t="e">
        <f t="shared" ca="1" si="152"/>
        <v>#VALUE!</v>
      </c>
      <c r="AT199" s="475">
        <f t="shared" si="203"/>
        <v>22</v>
      </c>
      <c r="AU199" s="475">
        <f t="shared" si="153"/>
        <v>0</v>
      </c>
      <c r="AV199" s="735">
        <f t="shared" si="154"/>
        <v>22.132000000000001</v>
      </c>
      <c r="AW199" s="529">
        <f t="shared" si="155"/>
        <v>1</v>
      </c>
      <c r="AX199" s="735">
        <f t="shared" si="204"/>
        <v>1</v>
      </c>
      <c r="AY199" s="735">
        <f t="shared" si="156"/>
        <v>0</v>
      </c>
      <c r="AZ199" s="735">
        <f t="shared" si="205"/>
        <v>1</v>
      </c>
      <c r="BA199" s="735">
        <f t="shared" si="206"/>
        <v>0</v>
      </c>
      <c r="BB199" s="735">
        <f>IF($F$36=$D$36,IF(AW199=1,Fall1Tzul(AX199,AY199,BJ199,Q199),0),IF(AW199=1,Fall1Tzul(AX199,AY199,BJ199,W199),0))</f>
        <v>22</v>
      </c>
      <c r="BC199" s="735">
        <f>IF($F$36=$D$36,IF(AW199=1,Fall1xzul(AX199,AY199,BL199,R199),0),IF(AW199=1,Fall1xzul(AX199,AY199,BL199,X199),0))</f>
        <v>0</v>
      </c>
      <c r="BD199" s="735">
        <f>IF($F$36=$D$36,IF(AW199=2,Fall2Tzul(AX199, AZ199, BJ199,Q199, Z199),0),IF(AW199=2,Fall2Tzul(AX199, AZ199, BJ199,W199, Z199),0))</f>
        <v>0</v>
      </c>
      <c r="BE199" s="735">
        <f>IF($F$36=$D$36,IF(AW199=2,Fall2xzul(AX199,AZ199,BL199,R199,AA199),0),IF(AW199=2,Fall2xzul(AX199,AZ199,BL199,X199,AA199),0))</f>
        <v>0</v>
      </c>
      <c r="BF199" s="735">
        <f t="shared" si="157"/>
        <v>0</v>
      </c>
      <c r="BG199" s="735">
        <f t="shared" si="158"/>
        <v>0</v>
      </c>
      <c r="BH199" s="735">
        <f t="shared" si="159"/>
        <v>0</v>
      </c>
      <c r="BI199" s="735">
        <f t="shared" si="160"/>
        <v>0</v>
      </c>
      <c r="BJ199" s="473">
        <f t="shared" si="161"/>
        <v>22</v>
      </c>
      <c r="BK199" s="491">
        <f t="shared" si="162"/>
        <v>1.1286920260116094E-2</v>
      </c>
      <c r="BL199" s="475">
        <f>AbsFeuchte(BJ199,BK199,$N$19)</f>
        <v>0.19570006685493199</v>
      </c>
      <c r="BM199" s="735">
        <f t="shared" si="163"/>
        <v>22.629571333980003</v>
      </c>
      <c r="BN199" s="473">
        <f t="shared" si="207"/>
        <v>22</v>
      </c>
      <c r="BO199" s="491">
        <f t="shared" si="164"/>
        <v>0</v>
      </c>
      <c r="BP199" s="475">
        <f t="shared" si="208"/>
        <v>0</v>
      </c>
      <c r="BQ199" s="735">
        <f t="shared" si="165"/>
        <v>22.132000000000001</v>
      </c>
      <c r="BR199" s="473">
        <f t="shared" si="166"/>
        <v>24</v>
      </c>
      <c r="BS199" s="491">
        <f t="shared" si="167"/>
        <v>0.01</v>
      </c>
      <c r="BT199" s="475">
        <f>AbsFeuchte(BR199,BS199,$N$19)</f>
        <v>0.19570006685493199</v>
      </c>
      <c r="BU199" s="576">
        <f>IF($J$21=0,IF(E$13=$S$10,BR199+$N$18,BR199),IF(E$13=$S$10,BR199+$N$18+#REF!,BR199+$J$21))</f>
        <v>24</v>
      </c>
      <c r="BV199" s="491">
        <f t="shared" si="168"/>
        <v>0.01</v>
      </c>
      <c r="BW199" s="726">
        <f t="shared" si="169"/>
        <v>0.19570006685493199</v>
      </c>
      <c r="BX199" s="475">
        <f t="shared" si="215"/>
        <v>0</v>
      </c>
      <c r="BY199" s="475">
        <f t="shared" si="216"/>
        <v>11.719899999999999</v>
      </c>
      <c r="BZ199" s="475">
        <f t="shared" si="170"/>
        <v>0</v>
      </c>
      <c r="CA199" s="475">
        <f t="shared" si="171"/>
        <v>0</v>
      </c>
      <c r="CB199" s="475">
        <f t="shared" si="172"/>
        <v>0</v>
      </c>
      <c r="CC199" s="475">
        <f t="shared" si="173"/>
        <v>11.719899999999999</v>
      </c>
      <c r="CD199" s="475">
        <f t="shared" si="174"/>
        <v>0</v>
      </c>
      <c r="CE199" s="621">
        <f t="shared" si="175"/>
        <v>0</v>
      </c>
      <c r="CF199" s="621">
        <f t="shared" si="176"/>
        <v>0</v>
      </c>
      <c r="CG199" s="621">
        <f t="shared" si="177"/>
        <v>0</v>
      </c>
      <c r="CH199" s="573">
        <f t="shared" si="178"/>
        <v>0</v>
      </c>
      <c r="CI199" s="621">
        <f t="shared" si="179"/>
        <v>0</v>
      </c>
      <c r="CJ199" s="621">
        <f t="shared" si="180"/>
        <v>0</v>
      </c>
      <c r="CK199" s="621">
        <f t="shared" si="181"/>
        <v>0</v>
      </c>
      <c r="CL199" s="737">
        <f t="shared" si="182"/>
        <v>0</v>
      </c>
      <c r="CM199" s="738">
        <f t="shared" si="183"/>
        <v>0</v>
      </c>
      <c r="CN199" s="475">
        <f t="shared" si="184"/>
        <v>222</v>
      </c>
      <c r="CO199" s="475">
        <f t="shared" si="185"/>
        <v>222</v>
      </c>
      <c r="CP199" s="475">
        <f t="shared" si="186"/>
        <v>222</v>
      </c>
      <c r="CQ199" s="475">
        <f t="shared" si="187"/>
        <v>-222</v>
      </c>
      <c r="CR199" s="475">
        <f t="shared" si="188"/>
        <v>-222</v>
      </c>
      <c r="CS199" s="475">
        <f t="shared" si="189"/>
        <v>-222</v>
      </c>
      <c r="CT199" s="475">
        <f t="shared" si="190"/>
        <v>0</v>
      </c>
      <c r="CU199" s="475">
        <f t="shared" si="191"/>
        <v>222</v>
      </c>
      <c r="CV199" s="475">
        <f t="shared" si="192"/>
        <v>-222</v>
      </c>
      <c r="CW199" s="475">
        <f t="shared" si="209"/>
        <v>0</v>
      </c>
      <c r="CX199" s="573">
        <f t="shared" si="217"/>
        <v>0</v>
      </c>
      <c r="CY199" s="475">
        <f t="shared" si="210"/>
        <v>22</v>
      </c>
      <c r="CZ199" s="475">
        <f t="shared" si="218"/>
        <v>22</v>
      </c>
      <c r="DA199" s="475">
        <v>-15</v>
      </c>
      <c r="DB199" s="475"/>
      <c r="DC199" s="410"/>
    </row>
    <row r="200" spans="1:107" s="619" customFormat="1" ht="12" hidden="1" customHeight="1" outlineLevel="1">
      <c r="A200" s="752">
        <v>-14</v>
      </c>
      <c r="B200" s="573">
        <v>0</v>
      </c>
      <c r="C200" s="475">
        <v>0</v>
      </c>
      <c r="D200" s="741">
        <v>0</v>
      </c>
      <c r="E200" s="491">
        <f t="shared" si="132"/>
        <v>0</v>
      </c>
      <c r="F200" s="438">
        <f t="shared" si="133"/>
        <v>0</v>
      </c>
      <c r="G200" s="438"/>
      <c r="H200" s="475">
        <f t="shared" si="134"/>
        <v>36</v>
      </c>
      <c r="I200" s="473">
        <f t="shared" si="135"/>
        <v>10.7</v>
      </c>
      <c r="J200" s="473">
        <f t="shared" si="136"/>
        <v>10.7</v>
      </c>
      <c r="K200" s="491">
        <f t="shared" si="137"/>
        <v>0.65</v>
      </c>
      <c r="L200" s="473">
        <f t="shared" si="193"/>
        <v>10.7</v>
      </c>
      <c r="M200" s="473">
        <f t="shared" si="138"/>
        <v>0</v>
      </c>
      <c r="N200" s="473">
        <f>(EnthalpieA(L200,M200,#REF!)*$F$35)+((1-$F$35)*EnthalpieA(BU200,BW200,#REF!))</f>
        <v>10.764199999999999</v>
      </c>
      <c r="O200" s="473">
        <f>(EnthalpieA(L200,M200,#REF!)*$F$34)+((1-$F$34)*EnthalpieA(BU200,BW200,#REF!))</f>
        <v>10.764199999999999</v>
      </c>
      <c r="P200" s="734">
        <f>1-IF(EnthalpieA(L200,M200,#REF!)=S200,$F$35,(S200-EnthalpieA(BU200,BW200,#REF!))/((EnthalpieA(L200,M200,#REF!)-EnthalpieA(BU200,BW200,#REF!))))</f>
        <v>0</v>
      </c>
      <c r="Q200" s="473">
        <f t="shared" si="211"/>
        <v>10.7</v>
      </c>
      <c r="R200" s="475">
        <f t="shared" si="212"/>
        <v>0</v>
      </c>
      <c r="S200" s="473">
        <f t="shared" si="213"/>
        <v>10.764199999999999</v>
      </c>
      <c r="T200" s="473">
        <f t="shared" si="139"/>
        <v>10.7</v>
      </c>
      <c r="U200" s="473">
        <f t="shared" si="140"/>
        <v>10.7</v>
      </c>
      <c r="V200" s="491">
        <f t="shared" si="141"/>
        <v>0</v>
      </c>
      <c r="W200" s="475">
        <f t="shared" si="194"/>
        <v>10.7</v>
      </c>
      <c r="X200" s="475">
        <f t="shared" si="195"/>
        <v>0</v>
      </c>
      <c r="Y200" s="735">
        <f t="shared" si="142"/>
        <v>10.764199999999999</v>
      </c>
      <c r="Z200" s="475">
        <f t="shared" si="196"/>
        <v>9</v>
      </c>
      <c r="AA200" s="475">
        <f>IF($F$36=$D$36,MIN(AbsFeuchte(Z200,100%,$N$19),R200),MIN(AbsFeuchte(Z200,100%,$N$19),X200))</f>
        <v>0</v>
      </c>
      <c r="AB200" s="735">
        <f t="shared" si="143"/>
        <v>9.0540000000000003</v>
      </c>
      <c r="AC200" s="475">
        <f t="shared" si="197"/>
        <v>9</v>
      </c>
      <c r="AD200" s="475">
        <v>0</v>
      </c>
      <c r="AE200" s="735">
        <f t="shared" si="144"/>
        <v>9.0540000000000003</v>
      </c>
      <c r="AF200" s="735">
        <f t="shared" si="198"/>
        <v>9</v>
      </c>
      <c r="AG200" s="735">
        <f t="shared" si="145"/>
        <v>9.9999999999999992E+22</v>
      </c>
      <c r="AH200" s="475">
        <f t="shared" si="146"/>
        <v>10.7</v>
      </c>
      <c r="AI200" s="475">
        <f t="shared" si="199"/>
        <v>0.19570006685493199</v>
      </c>
      <c r="AJ200" s="735">
        <f t="shared" si="147"/>
        <v>11.257658109974845</v>
      </c>
      <c r="AK200" s="475">
        <f t="shared" si="148"/>
        <v>10.7</v>
      </c>
      <c r="AL200" s="475">
        <f t="shared" si="200"/>
        <v>1.3E-22</v>
      </c>
      <c r="AM200" s="735">
        <f t="shared" si="149"/>
        <v>10.764199999999999</v>
      </c>
      <c r="AN200" s="475">
        <f t="shared" si="214"/>
        <v>22.494603711709743</v>
      </c>
      <c r="AO200" s="475">
        <f t="shared" si="150"/>
        <v>0</v>
      </c>
      <c r="AP200" s="735">
        <f t="shared" si="201"/>
        <v>22.629571333980003</v>
      </c>
      <c r="AQ200" s="475" t="e">
        <f t="shared" ca="1" si="151"/>
        <v>#NAME?</v>
      </c>
      <c r="AR200" s="475">
        <f t="shared" si="202"/>
        <v>0.19570006685493199</v>
      </c>
      <c r="AS200" s="735" t="e">
        <f t="shared" ca="1" si="152"/>
        <v>#VALUE!</v>
      </c>
      <c r="AT200" s="475">
        <f t="shared" si="203"/>
        <v>22</v>
      </c>
      <c r="AU200" s="475">
        <f t="shared" si="153"/>
        <v>0</v>
      </c>
      <c r="AV200" s="735">
        <f t="shared" si="154"/>
        <v>22.132000000000001</v>
      </c>
      <c r="AW200" s="529">
        <f t="shared" si="155"/>
        <v>1</v>
      </c>
      <c r="AX200" s="735">
        <f t="shared" si="204"/>
        <v>1</v>
      </c>
      <c r="AY200" s="735">
        <f t="shared" si="156"/>
        <v>0</v>
      </c>
      <c r="AZ200" s="735">
        <f t="shared" si="205"/>
        <v>1</v>
      </c>
      <c r="BA200" s="735">
        <f t="shared" si="206"/>
        <v>0</v>
      </c>
      <c r="BB200" s="735">
        <f>IF($F$36=$D$36,IF(AW200=1,Fall1Tzul(AX200,AY200,BJ200,Q200),0),IF(AW200=1,Fall1Tzul(AX200,AY200,BJ200,W200),0))</f>
        <v>22</v>
      </c>
      <c r="BC200" s="735">
        <f>IF($F$36=$D$36,IF(AW200=1,Fall1xzul(AX200,AY200,BL200,R200),0),IF(AW200=1,Fall1xzul(AX200,AY200,BL200,X200),0))</f>
        <v>0</v>
      </c>
      <c r="BD200" s="735">
        <f>IF($F$36=$D$36,IF(AW200=2,Fall2Tzul(AX200, AZ200, BJ200,Q200, Z200),0),IF(AW200=2,Fall2Tzul(AX200, AZ200, BJ200,W200, Z200),0))</f>
        <v>0</v>
      </c>
      <c r="BE200" s="735">
        <f>IF($F$36=$D$36,IF(AW200=2,Fall2xzul(AX200,AZ200,BL200,R200,AA200),0),IF(AW200=2,Fall2xzul(AX200,AZ200,BL200,X200,AA200),0))</f>
        <v>0</v>
      </c>
      <c r="BF200" s="735">
        <f t="shared" si="157"/>
        <v>0</v>
      </c>
      <c r="BG200" s="735">
        <f t="shared" si="158"/>
        <v>0</v>
      </c>
      <c r="BH200" s="735">
        <f t="shared" si="159"/>
        <v>0</v>
      </c>
      <c r="BI200" s="735">
        <f t="shared" si="160"/>
        <v>0</v>
      </c>
      <c r="BJ200" s="473">
        <f t="shared" si="161"/>
        <v>22</v>
      </c>
      <c r="BK200" s="491">
        <f t="shared" si="162"/>
        <v>1.1286920260116094E-2</v>
      </c>
      <c r="BL200" s="475">
        <f>AbsFeuchte(BJ200,BK200,$N$19)</f>
        <v>0.19570006685493199</v>
      </c>
      <c r="BM200" s="735">
        <f t="shared" si="163"/>
        <v>22.629571333980003</v>
      </c>
      <c r="BN200" s="473">
        <f t="shared" si="207"/>
        <v>22</v>
      </c>
      <c r="BO200" s="491">
        <f t="shared" si="164"/>
        <v>0</v>
      </c>
      <c r="BP200" s="475">
        <f t="shared" si="208"/>
        <v>0</v>
      </c>
      <c r="BQ200" s="735">
        <f t="shared" si="165"/>
        <v>22.132000000000001</v>
      </c>
      <c r="BR200" s="473">
        <f t="shared" si="166"/>
        <v>24</v>
      </c>
      <c r="BS200" s="491">
        <f t="shared" si="167"/>
        <v>0.01</v>
      </c>
      <c r="BT200" s="475">
        <f>AbsFeuchte(BR200,BS200,$N$19)</f>
        <v>0.19570006685493199</v>
      </c>
      <c r="BU200" s="576">
        <f>IF($J$21=0,IF(E$13=$S$10,BR200+$N$18,BR200),IF(E$13=$S$10,BR200+$N$18+#REF!,BR200+$J$21))</f>
        <v>24</v>
      </c>
      <c r="BV200" s="491">
        <f t="shared" si="168"/>
        <v>0.01</v>
      </c>
      <c r="BW200" s="726">
        <f t="shared" si="169"/>
        <v>0.19570006685493199</v>
      </c>
      <c r="BX200" s="475">
        <f t="shared" si="215"/>
        <v>0</v>
      </c>
      <c r="BY200" s="475">
        <f t="shared" si="216"/>
        <v>11.367800000000003</v>
      </c>
      <c r="BZ200" s="475">
        <f t="shared" si="170"/>
        <v>0</v>
      </c>
      <c r="CA200" s="475">
        <f t="shared" si="171"/>
        <v>0</v>
      </c>
      <c r="CB200" s="475">
        <f t="shared" si="172"/>
        <v>0</v>
      </c>
      <c r="CC200" s="475">
        <f t="shared" si="173"/>
        <v>11.367800000000003</v>
      </c>
      <c r="CD200" s="475">
        <f t="shared" si="174"/>
        <v>0</v>
      </c>
      <c r="CE200" s="621">
        <f t="shared" si="175"/>
        <v>0</v>
      </c>
      <c r="CF200" s="621">
        <f t="shared" si="176"/>
        <v>0</v>
      </c>
      <c r="CG200" s="621">
        <f t="shared" si="177"/>
        <v>0</v>
      </c>
      <c r="CH200" s="573">
        <f t="shared" si="178"/>
        <v>0</v>
      </c>
      <c r="CI200" s="621">
        <f t="shared" si="179"/>
        <v>0</v>
      </c>
      <c r="CJ200" s="621">
        <f t="shared" si="180"/>
        <v>0</v>
      </c>
      <c r="CK200" s="621">
        <f t="shared" si="181"/>
        <v>0</v>
      </c>
      <c r="CL200" s="737">
        <f t="shared" si="182"/>
        <v>0</v>
      </c>
      <c r="CM200" s="738">
        <f t="shared" si="183"/>
        <v>0</v>
      </c>
      <c r="CN200" s="475">
        <f t="shared" si="184"/>
        <v>222</v>
      </c>
      <c r="CO200" s="475">
        <f t="shared" si="185"/>
        <v>222</v>
      </c>
      <c r="CP200" s="475">
        <f t="shared" si="186"/>
        <v>222</v>
      </c>
      <c r="CQ200" s="475">
        <f t="shared" si="187"/>
        <v>-222</v>
      </c>
      <c r="CR200" s="475">
        <f t="shared" si="188"/>
        <v>-222</v>
      </c>
      <c r="CS200" s="475">
        <f t="shared" si="189"/>
        <v>-222</v>
      </c>
      <c r="CT200" s="475">
        <f t="shared" si="190"/>
        <v>0</v>
      </c>
      <c r="CU200" s="475">
        <f t="shared" si="191"/>
        <v>222</v>
      </c>
      <c r="CV200" s="475">
        <f t="shared" si="192"/>
        <v>-222</v>
      </c>
      <c r="CW200" s="475">
        <f t="shared" si="209"/>
        <v>0</v>
      </c>
      <c r="CX200" s="573">
        <f t="shared" si="217"/>
        <v>0</v>
      </c>
      <c r="CY200" s="475">
        <f t="shared" si="210"/>
        <v>22</v>
      </c>
      <c r="CZ200" s="475">
        <f t="shared" si="218"/>
        <v>22</v>
      </c>
      <c r="DA200" s="475">
        <v>-14</v>
      </c>
      <c r="DB200" s="475"/>
      <c r="DC200" s="410"/>
    </row>
    <row r="201" spans="1:107" s="619" customFormat="1" ht="12" hidden="1" customHeight="1" outlineLevel="1">
      <c r="A201" s="752">
        <v>-13</v>
      </c>
      <c r="B201" s="573">
        <v>0</v>
      </c>
      <c r="C201" s="475">
        <v>0</v>
      </c>
      <c r="D201" s="741">
        <v>0</v>
      </c>
      <c r="E201" s="491">
        <f t="shared" si="132"/>
        <v>0</v>
      </c>
      <c r="F201" s="438">
        <f t="shared" si="133"/>
        <v>0</v>
      </c>
      <c r="G201" s="438"/>
      <c r="H201" s="475">
        <f t="shared" si="134"/>
        <v>35</v>
      </c>
      <c r="I201" s="473">
        <f t="shared" si="135"/>
        <v>11.05</v>
      </c>
      <c r="J201" s="473">
        <f t="shared" si="136"/>
        <v>11.05</v>
      </c>
      <c r="K201" s="491">
        <f t="shared" si="137"/>
        <v>0.65</v>
      </c>
      <c r="L201" s="473">
        <f t="shared" si="193"/>
        <v>11.05</v>
      </c>
      <c r="M201" s="473">
        <f t="shared" si="138"/>
        <v>0</v>
      </c>
      <c r="N201" s="473">
        <f>(EnthalpieA(L201,M201,#REF!)*$F$35)+((1-$F$35)*EnthalpieA(BU201,BW201,#REF!))</f>
        <v>11.116300000000001</v>
      </c>
      <c r="O201" s="473">
        <f>(EnthalpieA(L201,M201,#REF!)*$F$34)+((1-$F$34)*EnthalpieA(BU201,BW201,#REF!))</f>
        <v>11.116300000000001</v>
      </c>
      <c r="P201" s="734">
        <f>1-IF(EnthalpieA(L201,M201,#REF!)=S201,$F$35,(S201-EnthalpieA(BU201,BW201,#REF!))/((EnthalpieA(L201,M201,#REF!)-EnthalpieA(BU201,BW201,#REF!))))</f>
        <v>0</v>
      </c>
      <c r="Q201" s="473">
        <f t="shared" si="211"/>
        <v>11.05</v>
      </c>
      <c r="R201" s="475">
        <f t="shared" si="212"/>
        <v>0</v>
      </c>
      <c r="S201" s="473">
        <f t="shared" si="213"/>
        <v>11.116300000000001</v>
      </c>
      <c r="T201" s="473">
        <f t="shared" si="139"/>
        <v>11.05</v>
      </c>
      <c r="U201" s="473">
        <f t="shared" si="140"/>
        <v>11.05</v>
      </c>
      <c r="V201" s="491">
        <f t="shared" si="141"/>
        <v>0</v>
      </c>
      <c r="W201" s="475">
        <f t="shared" si="194"/>
        <v>11.05</v>
      </c>
      <c r="X201" s="475">
        <f t="shared" si="195"/>
        <v>0</v>
      </c>
      <c r="Y201" s="735">
        <f t="shared" si="142"/>
        <v>11.116300000000001</v>
      </c>
      <c r="Z201" s="475">
        <f t="shared" si="196"/>
        <v>9</v>
      </c>
      <c r="AA201" s="475">
        <f>IF($F$36=$D$36,MIN(AbsFeuchte(Z201,100%,$N$19),R201),MIN(AbsFeuchte(Z201,100%,$N$19),X201))</f>
        <v>0</v>
      </c>
      <c r="AB201" s="735">
        <f t="shared" si="143"/>
        <v>9.0540000000000003</v>
      </c>
      <c r="AC201" s="475">
        <f t="shared" si="197"/>
        <v>9</v>
      </c>
      <c r="AD201" s="475">
        <v>0</v>
      </c>
      <c r="AE201" s="735">
        <f t="shared" si="144"/>
        <v>9.0540000000000003</v>
      </c>
      <c r="AF201" s="735">
        <f t="shared" si="198"/>
        <v>9</v>
      </c>
      <c r="AG201" s="735">
        <f t="shared" si="145"/>
        <v>9.9999999999999992E+22</v>
      </c>
      <c r="AH201" s="475">
        <f t="shared" si="146"/>
        <v>11.05</v>
      </c>
      <c r="AI201" s="475">
        <f t="shared" si="199"/>
        <v>0.19570006685493199</v>
      </c>
      <c r="AJ201" s="735">
        <f t="shared" si="147"/>
        <v>11.609885510718367</v>
      </c>
      <c r="AK201" s="475">
        <f t="shared" si="148"/>
        <v>11.05</v>
      </c>
      <c r="AL201" s="475">
        <f t="shared" si="200"/>
        <v>1.3E-22</v>
      </c>
      <c r="AM201" s="735">
        <f t="shared" si="149"/>
        <v>11.116300000000001</v>
      </c>
      <c r="AN201" s="475">
        <f t="shared" si="214"/>
        <v>22.494603711709743</v>
      </c>
      <c r="AO201" s="475">
        <f t="shared" si="150"/>
        <v>0</v>
      </c>
      <c r="AP201" s="735">
        <f t="shared" si="201"/>
        <v>22.629571333980003</v>
      </c>
      <c r="AQ201" s="475" t="e">
        <f t="shared" ca="1" si="151"/>
        <v>#NAME?</v>
      </c>
      <c r="AR201" s="475">
        <f t="shared" si="202"/>
        <v>0.19570006685493199</v>
      </c>
      <c r="AS201" s="735" t="e">
        <f t="shared" ca="1" si="152"/>
        <v>#VALUE!</v>
      </c>
      <c r="AT201" s="475">
        <f t="shared" si="203"/>
        <v>22</v>
      </c>
      <c r="AU201" s="475">
        <f t="shared" si="153"/>
        <v>0</v>
      </c>
      <c r="AV201" s="735">
        <f t="shared" si="154"/>
        <v>22.132000000000001</v>
      </c>
      <c r="AW201" s="529">
        <f t="shared" si="155"/>
        <v>1</v>
      </c>
      <c r="AX201" s="735">
        <f t="shared" si="204"/>
        <v>1</v>
      </c>
      <c r="AY201" s="735">
        <f t="shared" si="156"/>
        <v>0</v>
      </c>
      <c r="AZ201" s="735">
        <f t="shared" si="205"/>
        <v>1</v>
      </c>
      <c r="BA201" s="735">
        <f t="shared" si="206"/>
        <v>0</v>
      </c>
      <c r="BB201" s="735">
        <f>IF($F$36=$D$36,IF(AW201=1,Fall1Tzul(AX201,AY201,BJ201,Q201),0),IF(AW201=1,Fall1Tzul(AX201,AY201,BJ201,W201),0))</f>
        <v>22</v>
      </c>
      <c r="BC201" s="735">
        <f>IF($F$36=$D$36,IF(AW201=1,Fall1xzul(AX201,AY201,BL201,R201),0),IF(AW201=1,Fall1xzul(AX201,AY201,BL201,X201),0))</f>
        <v>0</v>
      </c>
      <c r="BD201" s="735">
        <f>IF($F$36=$D$36,IF(AW201=2,Fall2Tzul(AX201, AZ201, BJ201,Q201, Z201),0),IF(AW201=2,Fall2Tzul(AX201, AZ201, BJ201,W201, Z201),0))</f>
        <v>0</v>
      </c>
      <c r="BE201" s="735">
        <f>IF($F$36=$D$36,IF(AW201=2,Fall2xzul(AX201,AZ201,BL201,R201,AA201),0),IF(AW201=2,Fall2xzul(AX201,AZ201,BL201,X201,AA201),0))</f>
        <v>0</v>
      </c>
      <c r="BF201" s="735">
        <f t="shared" si="157"/>
        <v>0</v>
      </c>
      <c r="BG201" s="735">
        <f t="shared" si="158"/>
        <v>0</v>
      </c>
      <c r="BH201" s="735">
        <f t="shared" si="159"/>
        <v>0</v>
      </c>
      <c r="BI201" s="735">
        <f t="shared" si="160"/>
        <v>0</v>
      </c>
      <c r="BJ201" s="473">
        <f t="shared" si="161"/>
        <v>22</v>
      </c>
      <c r="BK201" s="491">
        <f t="shared" si="162"/>
        <v>1.1286920260116094E-2</v>
      </c>
      <c r="BL201" s="475">
        <f>AbsFeuchte(BJ201,BK201,$N$19)</f>
        <v>0.19570006685493199</v>
      </c>
      <c r="BM201" s="735">
        <f t="shared" si="163"/>
        <v>22.629571333980003</v>
      </c>
      <c r="BN201" s="473">
        <f t="shared" si="207"/>
        <v>22</v>
      </c>
      <c r="BO201" s="491">
        <f t="shared" si="164"/>
        <v>0</v>
      </c>
      <c r="BP201" s="475">
        <f t="shared" si="208"/>
        <v>0</v>
      </c>
      <c r="BQ201" s="735">
        <f t="shared" si="165"/>
        <v>22.132000000000001</v>
      </c>
      <c r="BR201" s="473">
        <f t="shared" si="166"/>
        <v>24</v>
      </c>
      <c r="BS201" s="491">
        <f t="shared" si="167"/>
        <v>0.01</v>
      </c>
      <c r="BT201" s="475">
        <f>AbsFeuchte(BR201,BS201,$N$19)</f>
        <v>0.19570006685493199</v>
      </c>
      <c r="BU201" s="576">
        <f>IF($J$21=0,IF(E$13=$S$10,BR201+$N$18,BR201),IF(E$13=$S$10,BR201+$N$18+#REF!,BR201+$J$21))</f>
        <v>24</v>
      </c>
      <c r="BV201" s="491">
        <f t="shared" si="168"/>
        <v>0.01</v>
      </c>
      <c r="BW201" s="726">
        <f t="shared" si="169"/>
        <v>0.19570006685493199</v>
      </c>
      <c r="BX201" s="475">
        <f t="shared" si="215"/>
        <v>0</v>
      </c>
      <c r="BY201" s="475">
        <f t="shared" si="216"/>
        <v>11.015700000000001</v>
      </c>
      <c r="BZ201" s="475">
        <f t="shared" si="170"/>
        <v>0</v>
      </c>
      <c r="CA201" s="475">
        <f t="shared" si="171"/>
        <v>0</v>
      </c>
      <c r="CB201" s="475">
        <f t="shared" si="172"/>
        <v>0</v>
      </c>
      <c r="CC201" s="475">
        <f t="shared" si="173"/>
        <v>11.015700000000001</v>
      </c>
      <c r="CD201" s="475">
        <f t="shared" si="174"/>
        <v>0</v>
      </c>
      <c r="CE201" s="621">
        <f t="shared" si="175"/>
        <v>0</v>
      </c>
      <c r="CF201" s="621">
        <f t="shared" si="176"/>
        <v>0</v>
      </c>
      <c r="CG201" s="621">
        <f t="shared" si="177"/>
        <v>0</v>
      </c>
      <c r="CH201" s="573">
        <f t="shared" si="178"/>
        <v>0</v>
      </c>
      <c r="CI201" s="621">
        <f t="shared" si="179"/>
        <v>0</v>
      </c>
      <c r="CJ201" s="621">
        <f t="shared" si="180"/>
        <v>0</v>
      </c>
      <c r="CK201" s="621">
        <f t="shared" si="181"/>
        <v>0</v>
      </c>
      <c r="CL201" s="737">
        <f t="shared" si="182"/>
        <v>0</v>
      </c>
      <c r="CM201" s="738">
        <f t="shared" si="183"/>
        <v>0</v>
      </c>
      <c r="CN201" s="475">
        <f t="shared" si="184"/>
        <v>222</v>
      </c>
      <c r="CO201" s="475">
        <f t="shared" si="185"/>
        <v>222</v>
      </c>
      <c r="CP201" s="475">
        <f t="shared" si="186"/>
        <v>222</v>
      </c>
      <c r="CQ201" s="475">
        <f t="shared" si="187"/>
        <v>-222</v>
      </c>
      <c r="CR201" s="475">
        <f t="shared" si="188"/>
        <v>-222</v>
      </c>
      <c r="CS201" s="475">
        <f t="shared" si="189"/>
        <v>-222</v>
      </c>
      <c r="CT201" s="475">
        <f t="shared" si="190"/>
        <v>0</v>
      </c>
      <c r="CU201" s="475">
        <f t="shared" si="191"/>
        <v>222</v>
      </c>
      <c r="CV201" s="475">
        <f t="shared" si="192"/>
        <v>-222</v>
      </c>
      <c r="CW201" s="475">
        <f t="shared" si="209"/>
        <v>0</v>
      </c>
      <c r="CX201" s="573">
        <f t="shared" si="217"/>
        <v>0</v>
      </c>
      <c r="CY201" s="475">
        <f t="shared" si="210"/>
        <v>22</v>
      </c>
      <c r="CZ201" s="475">
        <f t="shared" si="218"/>
        <v>22</v>
      </c>
      <c r="DA201" s="475">
        <v>-13</v>
      </c>
      <c r="DB201" s="475"/>
      <c r="DC201" s="410"/>
    </row>
    <row r="202" spans="1:107" s="619" customFormat="1" ht="12" hidden="1" customHeight="1" outlineLevel="1">
      <c r="A202" s="752">
        <v>-12</v>
      </c>
      <c r="B202" s="573">
        <v>0</v>
      </c>
      <c r="C202" s="475">
        <v>0</v>
      </c>
      <c r="D202" s="741">
        <v>0</v>
      </c>
      <c r="E202" s="491">
        <f t="shared" si="132"/>
        <v>0</v>
      </c>
      <c r="F202" s="438">
        <f t="shared" si="133"/>
        <v>0</v>
      </c>
      <c r="G202" s="438"/>
      <c r="H202" s="475">
        <f t="shared" si="134"/>
        <v>34</v>
      </c>
      <c r="I202" s="473">
        <f t="shared" si="135"/>
        <v>11.400000000000002</v>
      </c>
      <c r="J202" s="473">
        <f t="shared" si="136"/>
        <v>11.400000000000002</v>
      </c>
      <c r="K202" s="491">
        <f t="shared" si="137"/>
        <v>0.65</v>
      </c>
      <c r="L202" s="473">
        <f t="shared" si="193"/>
        <v>11.400000000000002</v>
      </c>
      <c r="M202" s="473">
        <f t="shared" si="138"/>
        <v>0</v>
      </c>
      <c r="N202" s="473">
        <f>(EnthalpieA(L202,M202,E251)*$F$35)+((1-$F$35)*EnthalpieA(BU202,BW202,E251))</f>
        <v>11.468400000000003</v>
      </c>
      <c r="O202" s="473">
        <f>(EnthalpieA(L202,M202,E251)*$F$34)+((1-$F$34)*EnthalpieA(BU202,BW202,E251))</f>
        <v>11.468400000000003</v>
      </c>
      <c r="P202" s="734">
        <f>1-IF(EnthalpieA(L202,M202,E251)=S202,$F$35,(S202-EnthalpieA(BU202,BW202,E251))/((EnthalpieA(L202,M202,E251)-EnthalpieA(BU202,BW202,E251))))</f>
        <v>0</v>
      </c>
      <c r="Q202" s="473">
        <f t="shared" si="211"/>
        <v>11.400000000000002</v>
      </c>
      <c r="R202" s="475">
        <f t="shared" si="212"/>
        <v>0</v>
      </c>
      <c r="S202" s="473">
        <f t="shared" si="213"/>
        <v>11.468400000000003</v>
      </c>
      <c r="T202" s="473">
        <f t="shared" si="139"/>
        <v>11.400000000000002</v>
      </c>
      <c r="U202" s="473">
        <f t="shared" si="140"/>
        <v>11.400000000000002</v>
      </c>
      <c r="V202" s="491">
        <f t="shared" si="141"/>
        <v>0</v>
      </c>
      <c r="W202" s="475">
        <f t="shared" si="194"/>
        <v>11.400000000000002</v>
      </c>
      <c r="X202" s="475">
        <f t="shared" si="195"/>
        <v>0</v>
      </c>
      <c r="Y202" s="735">
        <f t="shared" si="142"/>
        <v>11.468400000000003</v>
      </c>
      <c r="Z202" s="475">
        <f t="shared" si="196"/>
        <v>9</v>
      </c>
      <c r="AA202" s="475">
        <f>IF($F$36=$D$36,MIN(AbsFeuchte(Z202,100%,$N$19),R202),MIN(AbsFeuchte(Z202,100%,$N$19),X202))</f>
        <v>0</v>
      </c>
      <c r="AB202" s="735">
        <f t="shared" si="143"/>
        <v>9.0540000000000003</v>
      </c>
      <c r="AC202" s="475">
        <f t="shared" si="197"/>
        <v>9</v>
      </c>
      <c r="AD202" s="475">
        <v>0</v>
      </c>
      <c r="AE202" s="735">
        <f t="shared" si="144"/>
        <v>9.0540000000000003</v>
      </c>
      <c r="AF202" s="735">
        <f t="shared" si="198"/>
        <v>9</v>
      </c>
      <c r="AG202" s="735">
        <f t="shared" si="145"/>
        <v>9.9999999999999992E+22</v>
      </c>
      <c r="AH202" s="475">
        <f t="shared" si="146"/>
        <v>11.400000000000002</v>
      </c>
      <c r="AI202" s="475">
        <f t="shared" si="199"/>
        <v>0.19570006685493199</v>
      </c>
      <c r="AJ202" s="735">
        <f t="shared" si="147"/>
        <v>11.962112911461892</v>
      </c>
      <c r="AK202" s="475">
        <f t="shared" si="148"/>
        <v>11.400000000000002</v>
      </c>
      <c r="AL202" s="475">
        <f t="shared" si="200"/>
        <v>1.3E-22</v>
      </c>
      <c r="AM202" s="735">
        <f t="shared" si="149"/>
        <v>11.468400000000003</v>
      </c>
      <c r="AN202" s="475">
        <f t="shared" si="214"/>
        <v>22.494603711709743</v>
      </c>
      <c r="AO202" s="475">
        <f t="shared" si="150"/>
        <v>0</v>
      </c>
      <c r="AP202" s="735">
        <f t="shared" si="201"/>
        <v>22.629571333980003</v>
      </c>
      <c r="AQ202" s="475" t="e">
        <f t="shared" ca="1" si="151"/>
        <v>#NAME?</v>
      </c>
      <c r="AR202" s="475">
        <f t="shared" si="202"/>
        <v>0.19570006685493199</v>
      </c>
      <c r="AS202" s="735" t="e">
        <f t="shared" ca="1" si="152"/>
        <v>#VALUE!</v>
      </c>
      <c r="AT202" s="475">
        <f t="shared" si="203"/>
        <v>22</v>
      </c>
      <c r="AU202" s="475">
        <f t="shared" si="153"/>
        <v>0</v>
      </c>
      <c r="AV202" s="735">
        <f t="shared" si="154"/>
        <v>22.132000000000001</v>
      </c>
      <c r="AW202" s="529">
        <f t="shared" si="155"/>
        <v>1</v>
      </c>
      <c r="AX202" s="735">
        <f t="shared" si="204"/>
        <v>1</v>
      </c>
      <c r="AY202" s="735">
        <f t="shared" si="156"/>
        <v>0</v>
      </c>
      <c r="AZ202" s="735">
        <f t="shared" si="205"/>
        <v>1</v>
      </c>
      <c r="BA202" s="735">
        <f t="shared" si="206"/>
        <v>0</v>
      </c>
      <c r="BB202" s="735">
        <f>IF($F$36=$D$36,IF(AW202=1,Fall1Tzul(AX202,AY202,BJ202,Q202),0),IF(AW202=1,Fall1Tzul(AX202,AY202,BJ202,W202),0))</f>
        <v>22</v>
      </c>
      <c r="BC202" s="735">
        <f>IF($F$36=$D$36,IF(AW202=1,Fall1xzul(AX202,AY202,BL202,R202),0),IF(AW202=1,Fall1xzul(AX202,AY202,BL202,X202),0))</f>
        <v>0</v>
      </c>
      <c r="BD202" s="735">
        <f>IF($F$36=$D$36,IF(AW202=2,Fall2Tzul(AX202, AZ202, BJ202,Q202, Z202),0),IF(AW202=2,Fall2Tzul(AX202, AZ202, BJ202,W202, Z202),0))</f>
        <v>0</v>
      </c>
      <c r="BE202" s="735">
        <f>IF($F$36=$D$36,IF(AW202=2,Fall2xzul(AX202,AZ202,BL202,R202,AA202),0),IF(AW202=2,Fall2xzul(AX202,AZ202,BL202,X202,AA202),0))</f>
        <v>0</v>
      </c>
      <c r="BF202" s="735">
        <f t="shared" si="157"/>
        <v>0</v>
      </c>
      <c r="BG202" s="735">
        <f t="shared" si="158"/>
        <v>0</v>
      </c>
      <c r="BH202" s="735">
        <f t="shared" si="159"/>
        <v>0</v>
      </c>
      <c r="BI202" s="735">
        <f t="shared" si="160"/>
        <v>0</v>
      </c>
      <c r="BJ202" s="473">
        <f t="shared" si="161"/>
        <v>22</v>
      </c>
      <c r="BK202" s="491">
        <f t="shared" si="162"/>
        <v>1.1286920260116094E-2</v>
      </c>
      <c r="BL202" s="475">
        <f>AbsFeuchte(BJ202,BK202,$N$19)</f>
        <v>0.19570006685493199</v>
      </c>
      <c r="BM202" s="735">
        <f t="shared" si="163"/>
        <v>22.629571333980003</v>
      </c>
      <c r="BN202" s="473">
        <f t="shared" si="207"/>
        <v>22</v>
      </c>
      <c r="BO202" s="491">
        <f t="shared" si="164"/>
        <v>0</v>
      </c>
      <c r="BP202" s="475">
        <f t="shared" si="208"/>
        <v>0</v>
      </c>
      <c r="BQ202" s="735">
        <f t="shared" si="165"/>
        <v>22.132000000000001</v>
      </c>
      <c r="BR202" s="473">
        <f t="shared" si="166"/>
        <v>24</v>
      </c>
      <c r="BS202" s="491">
        <f t="shared" si="167"/>
        <v>0.01</v>
      </c>
      <c r="BT202" s="475">
        <f>AbsFeuchte(BR202,BS202,$N$19)</f>
        <v>0.19570006685493199</v>
      </c>
      <c r="BU202" s="576">
        <f>IF($J$21=0,IF(E$13=$S$10,BR202+$N$18,BR202),IF(E$13=$S$10,BR202+$N$18+#REF!,BR202+$J$21))</f>
        <v>24</v>
      </c>
      <c r="BV202" s="491">
        <f t="shared" si="168"/>
        <v>0.01</v>
      </c>
      <c r="BW202" s="726">
        <f t="shared" si="169"/>
        <v>0.19570006685493199</v>
      </c>
      <c r="BX202" s="475">
        <f t="shared" si="215"/>
        <v>0</v>
      </c>
      <c r="BY202" s="475">
        <f t="shared" si="216"/>
        <v>10.663599999999999</v>
      </c>
      <c r="BZ202" s="475">
        <f t="shared" si="170"/>
        <v>0</v>
      </c>
      <c r="CA202" s="475">
        <f t="shared" si="171"/>
        <v>0</v>
      </c>
      <c r="CB202" s="475">
        <f t="shared" si="172"/>
        <v>0</v>
      </c>
      <c r="CC202" s="475">
        <f t="shared" si="173"/>
        <v>10.663599999999999</v>
      </c>
      <c r="CD202" s="475">
        <f t="shared" si="174"/>
        <v>0</v>
      </c>
      <c r="CE202" s="621">
        <f t="shared" si="175"/>
        <v>0</v>
      </c>
      <c r="CF202" s="621">
        <f t="shared" si="176"/>
        <v>0</v>
      </c>
      <c r="CG202" s="621">
        <f t="shared" si="177"/>
        <v>0</v>
      </c>
      <c r="CH202" s="573">
        <f t="shared" si="178"/>
        <v>0</v>
      </c>
      <c r="CI202" s="621">
        <f t="shared" si="179"/>
        <v>0</v>
      </c>
      <c r="CJ202" s="621">
        <f t="shared" si="180"/>
        <v>0</v>
      </c>
      <c r="CK202" s="621">
        <f t="shared" si="181"/>
        <v>0</v>
      </c>
      <c r="CL202" s="737">
        <f t="shared" si="182"/>
        <v>0</v>
      </c>
      <c r="CM202" s="738">
        <f t="shared" si="183"/>
        <v>0</v>
      </c>
      <c r="CN202" s="475">
        <f t="shared" si="184"/>
        <v>222</v>
      </c>
      <c r="CO202" s="475">
        <f t="shared" si="185"/>
        <v>222</v>
      </c>
      <c r="CP202" s="475">
        <f t="shared" si="186"/>
        <v>222</v>
      </c>
      <c r="CQ202" s="475">
        <f t="shared" si="187"/>
        <v>-222</v>
      </c>
      <c r="CR202" s="475">
        <f t="shared" si="188"/>
        <v>-222</v>
      </c>
      <c r="CS202" s="475">
        <f t="shared" si="189"/>
        <v>-222</v>
      </c>
      <c r="CT202" s="475">
        <f t="shared" si="190"/>
        <v>0</v>
      </c>
      <c r="CU202" s="475">
        <f t="shared" si="191"/>
        <v>222</v>
      </c>
      <c r="CV202" s="475">
        <f t="shared" si="192"/>
        <v>-222</v>
      </c>
      <c r="CW202" s="475">
        <f t="shared" si="209"/>
        <v>0</v>
      </c>
      <c r="CX202" s="573">
        <f t="shared" si="217"/>
        <v>0</v>
      </c>
      <c r="CY202" s="475">
        <f t="shared" si="210"/>
        <v>22</v>
      </c>
      <c r="CZ202" s="475">
        <f t="shared" si="218"/>
        <v>22</v>
      </c>
      <c r="DA202" s="475">
        <v>-12</v>
      </c>
      <c r="DB202" s="475"/>
      <c r="DC202" s="410"/>
    </row>
    <row r="203" spans="1:107" s="619" customFormat="1" ht="12" hidden="1" customHeight="1" outlineLevel="1">
      <c r="A203" s="752">
        <v>-11</v>
      </c>
      <c r="B203" s="573">
        <v>0</v>
      </c>
      <c r="C203" s="475">
        <v>0</v>
      </c>
      <c r="D203" s="741">
        <v>0</v>
      </c>
      <c r="E203" s="491">
        <f t="shared" si="132"/>
        <v>0</v>
      </c>
      <c r="F203" s="438">
        <f t="shared" si="133"/>
        <v>0</v>
      </c>
      <c r="G203" s="438"/>
      <c r="H203" s="475">
        <f t="shared" si="134"/>
        <v>33</v>
      </c>
      <c r="I203" s="473">
        <f t="shared" si="135"/>
        <v>11.75</v>
      </c>
      <c r="J203" s="473">
        <f t="shared" si="136"/>
        <v>11.75</v>
      </c>
      <c r="K203" s="491">
        <f t="shared" si="137"/>
        <v>0.65</v>
      </c>
      <c r="L203" s="473">
        <f t="shared" si="193"/>
        <v>11.75</v>
      </c>
      <c r="M203" s="473">
        <f t="shared" si="138"/>
        <v>0</v>
      </c>
      <c r="N203" s="473">
        <f>(EnthalpieA(L203,M203,E252)*$F$35)+((1-$F$35)*EnthalpieA(BU203,BW203,E252))</f>
        <v>11.820500000000001</v>
      </c>
      <c r="O203" s="473">
        <f>(EnthalpieA(L203,M203,E252)*$F$34)+((1-$F$34)*EnthalpieA(BU203,BW203,E252))</f>
        <v>11.820500000000001</v>
      </c>
      <c r="P203" s="734">
        <f>1-IF(EnthalpieA(L203,M203,E252)=S203,$F$35,(S203-EnthalpieA(BU203,BW203,E252))/((EnthalpieA(L203,M203,E252)-EnthalpieA(BU203,BW203,E252))))</f>
        <v>0</v>
      </c>
      <c r="Q203" s="473">
        <f t="shared" si="211"/>
        <v>11.75</v>
      </c>
      <c r="R203" s="475">
        <f t="shared" si="212"/>
        <v>0</v>
      </c>
      <c r="S203" s="473">
        <f t="shared" si="213"/>
        <v>11.820500000000001</v>
      </c>
      <c r="T203" s="473">
        <f t="shared" si="139"/>
        <v>11.75</v>
      </c>
      <c r="U203" s="473">
        <f t="shared" si="140"/>
        <v>11.75</v>
      </c>
      <c r="V203" s="491">
        <f t="shared" si="141"/>
        <v>0</v>
      </c>
      <c r="W203" s="475">
        <f t="shared" si="194"/>
        <v>11.75</v>
      </c>
      <c r="X203" s="475">
        <f t="shared" si="195"/>
        <v>0</v>
      </c>
      <c r="Y203" s="735">
        <f t="shared" si="142"/>
        <v>11.820500000000001</v>
      </c>
      <c r="Z203" s="475">
        <f t="shared" si="196"/>
        <v>9</v>
      </c>
      <c r="AA203" s="475">
        <f>IF($F$36=$D$36,MIN(AbsFeuchte(Z203,100%,$N$19),R203),MIN(AbsFeuchte(Z203,100%,$N$19),X203))</f>
        <v>0</v>
      </c>
      <c r="AB203" s="735">
        <f t="shared" si="143"/>
        <v>9.0540000000000003</v>
      </c>
      <c r="AC203" s="475">
        <f t="shared" si="197"/>
        <v>9</v>
      </c>
      <c r="AD203" s="475">
        <v>0</v>
      </c>
      <c r="AE203" s="735">
        <f t="shared" si="144"/>
        <v>9.0540000000000003</v>
      </c>
      <c r="AF203" s="735">
        <f t="shared" si="198"/>
        <v>9</v>
      </c>
      <c r="AG203" s="735">
        <f t="shared" si="145"/>
        <v>9.9999999999999992E+22</v>
      </c>
      <c r="AH203" s="475">
        <f t="shared" si="146"/>
        <v>11.75</v>
      </c>
      <c r="AI203" s="475">
        <f t="shared" si="199"/>
        <v>0.19570006685493199</v>
      </c>
      <c r="AJ203" s="735">
        <f t="shared" si="147"/>
        <v>12.314340312205413</v>
      </c>
      <c r="AK203" s="475">
        <f t="shared" si="148"/>
        <v>11.75</v>
      </c>
      <c r="AL203" s="475">
        <f t="shared" si="200"/>
        <v>1.3E-22</v>
      </c>
      <c r="AM203" s="735">
        <f t="shared" si="149"/>
        <v>11.820500000000001</v>
      </c>
      <c r="AN203" s="475">
        <f t="shared" si="214"/>
        <v>22.494603711709743</v>
      </c>
      <c r="AO203" s="475">
        <f t="shared" si="150"/>
        <v>0</v>
      </c>
      <c r="AP203" s="735">
        <f t="shared" si="201"/>
        <v>22.629571333980003</v>
      </c>
      <c r="AQ203" s="475" t="e">
        <f t="shared" ca="1" si="151"/>
        <v>#NAME?</v>
      </c>
      <c r="AR203" s="475">
        <f t="shared" si="202"/>
        <v>0.19570006685493199</v>
      </c>
      <c r="AS203" s="735" t="e">
        <f t="shared" ca="1" si="152"/>
        <v>#VALUE!</v>
      </c>
      <c r="AT203" s="475">
        <f t="shared" si="203"/>
        <v>22</v>
      </c>
      <c r="AU203" s="475">
        <f t="shared" si="153"/>
        <v>0</v>
      </c>
      <c r="AV203" s="735">
        <f t="shared" si="154"/>
        <v>22.132000000000001</v>
      </c>
      <c r="AW203" s="529">
        <f t="shared" si="155"/>
        <v>1</v>
      </c>
      <c r="AX203" s="735">
        <f t="shared" si="204"/>
        <v>1</v>
      </c>
      <c r="AY203" s="735">
        <f t="shared" si="156"/>
        <v>0</v>
      </c>
      <c r="AZ203" s="735">
        <f t="shared" si="205"/>
        <v>1</v>
      </c>
      <c r="BA203" s="735">
        <f t="shared" si="206"/>
        <v>0</v>
      </c>
      <c r="BB203" s="735">
        <f>IF($F$36=$D$36,IF(AW203=1,Fall1Tzul(AX203,AY203,BJ203,Q203),0),IF(AW203=1,Fall1Tzul(AX203,AY203,BJ203,W203),0))</f>
        <v>22</v>
      </c>
      <c r="BC203" s="735">
        <f>IF($F$36=$D$36,IF(AW203=1,Fall1xzul(AX203,AY203,BL203,R203),0),IF(AW203=1,Fall1xzul(AX203,AY203,BL203,X203),0))</f>
        <v>0</v>
      </c>
      <c r="BD203" s="735">
        <f>IF($F$36=$D$36,IF(AW203=2,Fall2Tzul(AX203, AZ203, BJ203,Q203, Z203),0),IF(AW203=2,Fall2Tzul(AX203, AZ203, BJ203,W203, Z203),0))</f>
        <v>0</v>
      </c>
      <c r="BE203" s="735">
        <f>IF($F$36=$D$36,IF(AW203=2,Fall2xzul(AX203,AZ203,BL203,R203,AA203),0),IF(AW203=2,Fall2xzul(AX203,AZ203,BL203,X203,AA203),0))</f>
        <v>0</v>
      </c>
      <c r="BF203" s="735">
        <f t="shared" si="157"/>
        <v>0</v>
      </c>
      <c r="BG203" s="735">
        <f t="shared" si="158"/>
        <v>0</v>
      </c>
      <c r="BH203" s="735">
        <f t="shared" si="159"/>
        <v>0</v>
      </c>
      <c r="BI203" s="735">
        <f t="shared" si="160"/>
        <v>0</v>
      </c>
      <c r="BJ203" s="473">
        <f t="shared" si="161"/>
        <v>22</v>
      </c>
      <c r="BK203" s="491">
        <f t="shared" si="162"/>
        <v>1.1286920260116094E-2</v>
      </c>
      <c r="BL203" s="475">
        <f>AbsFeuchte(BJ203,BK203,$N$19)</f>
        <v>0.19570006685493199</v>
      </c>
      <c r="BM203" s="735">
        <f t="shared" si="163"/>
        <v>22.629571333980003</v>
      </c>
      <c r="BN203" s="473">
        <f t="shared" si="207"/>
        <v>22</v>
      </c>
      <c r="BO203" s="491">
        <f t="shared" si="164"/>
        <v>0</v>
      </c>
      <c r="BP203" s="475">
        <f t="shared" si="208"/>
        <v>0</v>
      </c>
      <c r="BQ203" s="735">
        <f t="shared" si="165"/>
        <v>22.132000000000001</v>
      </c>
      <c r="BR203" s="473">
        <f t="shared" si="166"/>
        <v>24</v>
      </c>
      <c r="BS203" s="491">
        <f t="shared" si="167"/>
        <v>0.01</v>
      </c>
      <c r="BT203" s="475">
        <f>AbsFeuchte(BR203,BS203,$N$19)</f>
        <v>0.19570006685493199</v>
      </c>
      <c r="BU203" s="576">
        <f>IF($J$21=0,IF(E$13=$S$10,BR203+$N$18,BR203),IF(E$13=$S$10,BR203+$N$18+#REF!,BR203+$J$21))</f>
        <v>24</v>
      </c>
      <c r="BV203" s="491">
        <f t="shared" si="168"/>
        <v>0.01</v>
      </c>
      <c r="BW203" s="726">
        <f t="shared" si="169"/>
        <v>0.19570006685493199</v>
      </c>
      <c r="BX203" s="475">
        <f t="shared" si="215"/>
        <v>0</v>
      </c>
      <c r="BY203" s="475">
        <f t="shared" si="216"/>
        <v>10.311500000000001</v>
      </c>
      <c r="BZ203" s="475">
        <f t="shared" si="170"/>
        <v>0</v>
      </c>
      <c r="CA203" s="475">
        <f t="shared" si="171"/>
        <v>0</v>
      </c>
      <c r="CB203" s="475">
        <f t="shared" si="172"/>
        <v>0</v>
      </c>
      <c r="CC203" s="475">
        <f t="shared" si="173"/>
        <v>10.311500000000001</v>
      </c>
      <c r="CD203" s="475">
        <f t="shared" si="174"/>
        <v>0</v>
      </c>
      <c r="CE203" s="621">
        <f t="shared" si="175"/>
        <v>0</v>
      </c>
      <c r="CF203" s="621">
        <f t="shared" si="176"/>
        <v>0</v>
      </c>
      <c r="CG203" s="621">
        <f t="shared" si="177"/>
        <v>0</v>
      </c>
      <c r="CH203" s="573">
        <f t="shared" si="178"/>
        <v>0</v>
      </c>
      <c r="CI203" s="621">
        <f t="shared" si="179"/>
        <v>0</v>
      </c>
      <c r="CJ203" s="621">
        <f t="shared" si="180"/>
        <v>0</v>
      </c>
      <c r="CK203" s="621">
        <f t="shared" si="181"/>
        <v>0</v>
      </c>
      <c r="CL203" s="737">
        <f t="shared" si="182"/>
        <v>0</v>
      </c>
      <c r="CM203" s="738">
        <f t="shared" si="183"/>
        <v>0</v>
      </c>
      <c r="CN203" s="475">
        <f t="shared" si="184"/>
        <v>222</v>
      </c>
      <c r="CO203" s="475">
        <f t="shared" si="185"/>
        <v>222</v>
      </c>
      <c r="CP203" s="475">
        <f t="shared" si="186"/>
        <v>222</v>
      </c>
      <c r="CQ203" s="475">
        <f t="shared" si="187"/>
        <v>-222</v>
      </c>
      <c r="CR203" s="475">
        <f t="shared" si="188"/>
        <v>-222</v>
      </c>
      <c r="CS203" s="475">
        <f t="shared" si="189"/>
        <v>-222</v>
      </c>
      <c r="CT203" s="475">
        <f t="shared" si="190"/>
        <v>0</v>
      </c>
      <c r="CU203" s="475">
        <f t="shared" si="191"/>
        <v>222</v>
      </c>
      <c r="CV203" s="475">
        <f t="shared" si="192"/>
        <v>-222</v>
      </c>
      <c r="CW203" s="475">
        <f t="shared" si="209"/>
        <v>0</v>
      </c>
      <c r="CX203" s="573">
        <f t="shared" si="217"/>
        <v>0</v>
      </c>
      <c r="CY203" s="475">
        <f t="shared" si="210"/>
        <v>22</v>
      </c>
      <c r="CZ203" s="475">
        <f t="shared" si="218"/>
        <v>22</v>
      </c>
      <c r="DA203" s="475">
        <v>-11</v>
      </c>
      <c r="DB203" s="475"/>
      <c r="DC203" s="410"/>
    </row>
    <row r="204" spans="1:107" s="619" customFormat="1" ht="12" hidden="1" customHeight="1" outlineLevel="1">
      <c r="A204" s="752">
        <v>-10</v>
      </c>
      <c r="B204" s="573">
        <v>0</v>
      </c>
      <c r="C204" s="475">
        <v>0</v>
      </c>
      <c r="D204" s="741">
        <v>0</v>
      </c>
      <c r="E204" s="491">
        <f t="shared" si="132"/>
        <v>0</v>
      </c>
      <c r="F204" s="438">
        <f t="shared" si="133"/>
        <v>0</v>
      </c>
      <c r="G204" s="438"/>
      <c r="H204" s="475">
        <f t="shared" si="134"/>
        <v>32</v>
      </c>
      <c r="I204" s="473">
        <f t="shared" si="135"/>
        <v>12.100000000000001</v>
      </c>
      <c r="J204" s="473">
        <f t="shared" si="136"/>
        <v>12.100000000000001</v>
      </c>
      <c r="K204" s="491">
        <f t="shared" si="137"/>
        <v>0.65</v>
      </c>
      <c r="L204" s="473">
        <f t="shared" si="193"/>
        <v>12.100000000000001</v>
      </c>
      <c r="M204" s="473">
        <f t="shared" si="138"/>
        <v>0</v>
      </c>
      <c r="N204" s="473">
        <f>(EnthalpieA(L204,M204,E253)*$F$35)+((1-$F$35)*EnthalpieA(BU204,BW204,E253))</f>
        <v>12.172600000000001</v>
      </c>
      <c r="O204" s="473">
        <f>(EnthalpieA(L204,M204,E253)*$F$34)+((1-$F$34)*EnthalpieA(BU204,BW204,E253))</f>
        <v>12.172600000000001</v>
      </c>
      <c r="P204" s="734">
        <f>1-IF(EnthalpieA(L204,M204,E253)=S204,$F$35,(S204-EnthalpieA(BU204,BW204,E253))/((EnthalpieA(L204,M204,E253)-EnthalpieA(BU204,BW204,E253))))</f>
        <v>0</v>
      </c>
      <c r="Q204" s="473">
        <f t="shared" si="211"/>
        <v>12.100000000000001</v>
      </c>
      <c r="R204" s="475">
        <f t="shared" si="212"/>
        <v>0</v>
      </c>
      <c r="S204" s="473">
        <f t="shared" si="213"/>
        <v>12.172600000000001</v>
      </c>
      <c r="T204" s="473">
        <f t="shared" si="139"/>
        <v>12.100000000000001</v>
      </c>
      <c r="U204" s="473">
        <f t="shared" si="140"/>
        <v>12.100000000000001</v>
      </c>
      <c r="V204" s="491">
        <f t="shared" si="141"/>
        <v>0</v>
      </c>
      <c r="W204" s="475">
        <f t="shared" si="194"/>
        <v>12.100000000000001</v>
      </c>
      <c r="X204" s="475">
        <f t="shared" si="195"/>
        <v>0</v>
      </c>
      <c r="Y204" s="735">
        <f t="shared" si="142"/>
        <v>12.172600000000001</v>
      </c>
      <c r="Z204" s="475">
        <f t="shared" si="196"/>
        <v>9</v>
      </c>
      <c r="AA204" s="475">
        <f>IF($F$36=$D$36,MIN(AbsFeuchte(Z204,100%,$N$19),R204),MIN(AbsFeuchte(Z204,100%,$N$19),X204))</f>
        <v>0</v>
      </c>
      <c r="AB204" s="735">
        <f t="shared" si="143"/>
        <v>9.0540000000000003</v>
      </c>
      <c r="AC204" s="475">
        <f t="shared" si="197"/>
        <v>9</v>
      </c>
      <c r="AD204" s="475">
        <v>0</v>
      </c>
      <c r="AE204" s="735">
        <f t="shared" si="144"/>
        <v>9.0540000000000003</v>
      </c>
      <c r="AF204" s="735">
        <f t="shared" si="198"/>
        <v>9</v>
      </c>
      <c r="AG204" s="735">
        <f t="shared" si="145"/>
        <v>9.9999999999999992E+22</v>
      </c>
      <c r="AH204" s="475">
        <f t="shared" si="146"/>
        <v>12.100000000000001</v>
      </c>
      <c r="AI204" s="475">
        <f t="shared" si="199"/>
        <v>0.19570006685493199</v>
      </c>
      <c r="AJ204" s="735">
        <f t="shared" si="147"/>
        <v>12.666567712948936</v>
      </c>
      <c r="AK204" s="475">
        <f t="shared" si="148"/>
        <v>12.100000000000001</v>
      </c>
      <c r="AL204" s="475">
        <f t="shared" si="200"/>
        <v>1.3E-22</v>
      </c>
      <c r="AM204" s="735">
        <f t="shared" si="149"/>
        <v>12.172600000000001</v>
      </c>
      <c r="AN204" s="475">
        <f t="shared" si="214"/>
        <v>22.494603711709743</v>
      </c>
      <c r="AO204" s="475">
        <f t="shared" si="150"/>
        <v>0</v>
      </c>
      <c r="AP204" s="735">
        <f t="shared" si="201"/>
        <v>22.629571333980003</v>
      </c>
      <c r="AQ204" s="475" t="e">
        <f t="shared" ca="1" si="151"/>
        <v>#NAME?</v>
      </c>
      <c r="AR204" s="475">
        <f t="shared" si="202"/>
        <v>0.19570006685493199</v>
      </c>
      <c r="AS204" s="735" t="e">
        <f t="shared" ca="1" si="152"/>
        <v>#VALUE!</v>
      </c>
      <c r="AT204" s="475">
        <f t="shared" si="203"/>
        <v>22</v>
      </c>
      <c r="AU204" s="475">
        <f t="shared" si="153"/>
        <v>0</v>
      </c>
      <c r="AV204" s="735">
        <f t="shared" si="154"/>
        <v>22.132000000000001</v>
      </c>
      <c r="AW204" s="529">
        <f t="shared" si="155"/>
        <v>1</v>
      </c>
      <c r="AX204" s="735">
        <f t="shared" si="204"/>
        <v>1</v>
      </c>
      <c r="AY204" s="735">
        <f t="shared" si="156"/>
        <v>0</v>
      </c>
      <c r="AZ204" s="735">
        <f t="shared" si="205"/>
        <v>1</v>
      </c>
      <c r="BA204" s="735">
        <f t="shared" si="206"/>
        <v>0</v>
      </c>
      <c r="BB204" s="735">
        <f>IF($F$36=$D$36,IF(AW204=1,Fall1Tzul(AX204,AY204,BJ204,Q204),0),IF(AW204=1,Fall1Tzul(AX204,AY204,BJ204,W204),0))</f>
        <v>22</v>
      </c>
      <c r="BC204" s="735">
        <f>IF($F$36=$D$36,IF(AW204=1,Fall1xzul(AX204,AY204,BL204,R204),0),IF(AW204=1,Fall1xzul(AX204,AY204,BL204,X204),0))</f>
        <v>0</v>
      </c>
      <c r="BD204" s="735">
        <f>IF($F$36=$D$36,IF(AW204=2,Fall2Tzul(AX204, AZ204, BJ204,Q204, Z204),0),IF(AW204=2,Fall2Tzul(AX204, AZ204, BJ204,W204, Z204),0))</f>
        <v>0</v>
      </c>
      <c r="BE204" s="735">
        <f>IF($F$36=$D$36,IF(AW204=2,Fall2xzul(AX204,AZ204,BL204,R204,AA204),0),IF(AW204=2,Fall2xzul(AX204,AZ204,BL204,X204,AA204),0))</f>
        <v>0</v>
      </c>
      <c r="BF204" s="735">
        <f t="shared" si="157"/>
        <v>0</v>
      </c>
      <c r="BG204" s="735">
        <f t="shared" si="158"/>
        <v>0</v>
      </c>
      <c r="BH204" s="735">
        <f t="shared" si="159"/>
        <v>0</v>
      </c>
      <c r="BI204" s="735">
        <f t="shared" si="160"/>
        <v>0</v>
      </c>
      <c r="BJ204" s="473">
        <f t="shared" si="161"/>
        <v>22</v>
      </c>
      <c r="BK204" s="491">
        <f t="shared" si="162"/>
        <v>1.1286920260116094E-2</v>
      </c>
      <c r="BL204" s="475">
        <f>AbsFeuchte(BJ204,BK204,$N$19)</f>
        <v>0.19570006685493199</v>
      </c>
      <c r="BM204" s="735">
        <f t="shared" si="163"/>
        <v>22.629571333980003</v>
      </c>
      <c r="BN204" s="473">
        <f t="shared" si="207"/>
        <v>22</v>
      </c>
      <c r="BO204" s="491">
        <f t="shared" si="164"/>
        <v>0</v>
      </c>
      <c r="BP204" s="475">
        <f t="shared" si="208"/>
        <v>0</v>
      </c>
      <c r="BQ204" s="735">
        <f t="shared" si="165"/>
        <v>22.132000000000001</v>
      </c>
      <c r="BR204" s="473">
        <f t="shared" si="166"/>
        <v>24</v>
      </c>
      <c r="BS204" s="491">
        <f t="shared" si="167"/>
        <v>0.01</v>
      </c>
      <c r="BT204" s="475">
        <f>AbsFeuchte(BR204,BS204,$N$19)</f>
        <v>0.19570006685493199</v>
      </c>
      <c r="BU204" s="576">
        <f>IF($J$21=0,IF(E$13=$S$10,BR204+$N$18,BR204),IF(E$13=$S$10,BR204+$N$18+#REF!,BR204+$J$21))</f>
        <v>24</v>
      </c>
      <c r="BV204" s="491">
        <f t="shared" si="168"/>
        <v>0.01</v>
      </c>
      <c r="BW204" s="726">
        <f t="shared" si="169"/>
        <v>0.19570006685493199</v>
      </c>
      <c r="BX204" s="475">
        <f t="shared" si="215"/>
        <v>0</v>
      </c>
      <c r="BY204" s="475">
        <f t="shared" si="216"/>
        <v>9.9594000000000005</v>
      </c>
      <c r="BZ204" s="475">
        <f t="shared" si="170"/>
        <v>0</v>
      </c>
      <c r="CA204" s="475">
        <f t="shared" si="171"/>
        <v>0</v>
      </c>
      <c r="CB204" s="475">
        <f t="shared" si="172"/>
        <v>0</v>
      </c>
      <c r="CC204" s="475">
        <f t="shared" si="173"/>
        <v>9.9594000000000005</v>
      </c>
      <c r="CD204" s="475">
        <f t="shared" si="174"/>
        <v>0</v>
      </c>
      <c r="CE204" s="621">
        <f t="shared" si="175"/>
        <v>0</v>
      </c>
      <c r="CF204" s="621">
        <f t="shared" si="176"/>
        <v>0</v>
      </c>
      <c r="CG204" s="621">
        <f t="shared" si="177"/>
        <v>0</v>
      </c>
      <c r="CH204" s="573">
        <f t="shared" si="178"/>
        <v>0</v>
      </c>
      <c r="CI204" s="621">
        <f t="shared" si="179"/>
        <v>0</v>
      </c>
      <c r="CJ204" s="621">
        <f t="shared" si="180"/>
        <v>0</v>
      </c>
      <c r="CK204" s="621">
        <f t="shared" si="181"/>
        <v>0</v>
      </c>
      <c r="CL204" s="737">
        <f t="shared" si="182"/>
        <v>0</v>
      </c>
      <c r="CM204" s="738">
        <f t="shared" si="183"/>
        <v>0</v>
      </c>
      <c r="CN204" s="475">
        <f t="shared" si="184"/>
        <v>222</v>
      </c>
      <c r="CO204" s="475">
        <f t="shared" si="185"/>
        <v>222</v>
      </c>
      <c r="CP204" s="475">
        <f t="shared" si="186"/>
        <v>222</v>
      </c>
      <c r="CQ204" s="475">
        <f t="shared" si="187"/>
        <v>-222</v>
      </c>
      <c r="CR204" s="475">
        <f t="shared" si="188"/>
        <v>-222</v>
      </c>
      <c r="CS204" s="475">
        <f t="shared" si="189"/>
        <v>-222</v>
      </c>
      <c r="CT204" s="475">
        <f t="shared" si="190"/>
        <v>0</v>
      </c>
      <c r="CU204" s="475">
        <f t="shared" si="191"/>
        <v>222</v>
      </c>
      <c r="CV204" s="475">
        <f t="shared" si="192"/>
        <v>-222</v>
      </c>
      <c r="CW204" s="475">
        <f t="shared" si="209"/>
        <v>0</v>
      </c>
      <c r="CX204" s="573">
        <f t="shared" si="217"/>
        <v>0</v>
      </c>
      <c r="CY204" s="475">
        <f t="shared" si="210"/>
        <v>22</v>
      </c>
      <c r="CZ204" s="475">
        <f t="shared" si="218"/>
        <v>22</v>
      </c>
      <c r="DA204" s="475">
        <v>-10</v>
      </c>
      <c r="DB204" s="475"/>
      <c r="DC204" s="410"/>
    </row>
    <row r="205" spans="1:107" s="619" customFormat="1" ht="12" hidden="1" customHeight="1" outlineLevel="1">
      <c r="A205" s="752">
        <v>-9</v>
      </c>
      <c r="B205" s="573">
        <v>0</v>
      </c>
      <c r="C205" s="475">
        <v>0</v>
      </c>
      <c r="D205" s="741">
        <v>0</v>
      </c>
      <c r="E205" s="491">
        <f t="shared" si="132"/>
        <v>0</v>
      </c>
      <c r="F205" s="438">
        <f t="shared" si="133"/>
        <v>0</v>
      </c>
      <c r="G205" s="438"/>
      <c r="H205" s="475">
        <f t="shared" si="134"/>
        <v>31</v>
      </c>
      <c r="I205" s="473">
        <f t="shared" si="135"/>
        <v>12.45</v>
      </c>
      <c r="J205" s="473">
        <f t="shared" si="136"/>
        <v>12.45</v>
      </c>
      <c r="K205" s="491">
        <f t="shared" si="137"/>
        <v>0.65</v>
      </c>
      <c r="L205" s="473">
        <f t="shared" si="193"/>
        <v>12.45</v>
      </c>
      <c r="M205" s="511">
        <f t="shared" si="138"/>
        <v>0</v>
      </c>
      <c r="N205" s="473">
        <f>(EnthalpieA(L205,M205,E254)*$F$35)+((1-$F$35)*EnthalpieA(BU205,BW205,E254))</f>
        <v>12.524699999999999</v>
      </c>
      <c r="O205" s="473">
        <f>(EnthalpieA(L205,M205,E254)*$F$34)+((1-$F$34)*EnthalpieA(BU205,BW205,E254))</f>
        <v>12.524699999999999</v>
      </c>
      <c r="P205" s="734">
        <f>1-IF(EnthalpieA(L205,M205,E254)=S205,$F$35,(S205-EnthalpieA(BU205,BW205,E254))/((EnthalpieA(L205,M205,E254)-EnthalpieA(BU205,BW205,E254))))</f>
        <v>0</v>
      </c>
      <c r="Q205" s="473">
        <f t="shared" si="211"/>
        <v>12.45</v>
      </c>
      <c r="R205" s="475">
        <f t="shared" si="212"/>
        <v>0</v>
      </c>
      <c r="S205" s="473">
        <f t="shared" si="213"/>
        <v>12.524699999999999</v>
      </c>
      <c r="T205" s="473">
        <f t="shared" si="139"/>
        <v>12.45</v>
      </c>
      <c r="U205" s="473">
        <f t="shared" si="140"/>
        <v>12.45</v>
      </c>
      <c r="V205" s="491">
        <f t="shared" si="141"/>
        <v>0</v>
      </c>
      <c r="W205" s="475">
        <f t="shared" si="194"/>
        <v>12.45</v>
      </c>
      <c r="X205" s="475">
        <f t="shared" si="195"/>
        <v>0</v>
      </c>
      <c r="Y205" s="735">
        <f t="shared" si="142"/>
        <v>12.524699999999999</v>
      </c>
      <c r="Z205" s="475">
        <f t="shared" si="196"/>
        <v>9</v>
      </c>
      <c r="AA205" s="475">
        <f>IF($F$36=$D$36,MIN(AbsFeuchte(Z205,100%,$N$19),R205),MIN(AbsFeuchte(Z205,100%,$N$19),X205))</f>
        <v>0</v>
      </c>
      <c r="AB205" s="735">
        <f t="shared" si="143"/>
        <v>9.0540000000000003</v>
      </c>
      <c r="AC205" s="475">
        <f t="shared" si="197"/>
        <v>9</v>
      </c>
      <c r="AD205" s="475">
        <v>0</v>
      </c>
      <c r="AE205" s="735">
        <f t="shared" si="144"/>
        <v>9.0540000000000003</v>
      </c>
      <c r="AF205" s="735">
        <f t="shared" si="198"/>
        <v>9</v>
      </c>
      <c r="AG205" s="735">
        <f t="shared" si="145"/>
        <v>9.9999999999999992E+22</v>
      </c>
      <c r="AH205" s="475">
        <f t="shared" si="146"/>
        <v>12.45</v>
      </c>
      <c r="AI205" s="475">
        <f t="shared" si="199"/>
        <v>0.19570006685493199</v>
      </c>
      <c r="AJ205" s="735">
        <f t="shared" si="147"/>
        <v>13.018795113692457</v>
      </c>
      <c r="AK205" s="475">
        <f t="shared" si="148"/>
        <v>12.45</v>
      </c>
      <c r="AL205" s="475">
        <f t="shared" si="200"/>
        <v>1.3E-22</v>
      </c>
      <c r="AM205" s="735">
        <f t="shared" si="149"/>
        <v>12.524699999999999</v>
      </c>
      <c r="AN205" s="475">
        <f t="shared" si="214"/>
        <v>22.494603711709743</v>
      </c>
      <c r="AO205" s="475">
        <f t="shared" si="150"/>
        <v>0</v>
      </c>
      <c r="AP205" s="735">
        <f t="shared" si="201"/>
        <v>22.629571333980003</v>
      </c>
      <c r="AQ205" s="475" t="e">
        <f t="shared" ca="1" si="151"/>
        <v>#NAME?</v>
      </c>
      <c r="AR205" s="475">
        <f t="shared" si="202"/>
        <v>0.19570006685493199</v>
      </c>
      <c r="AS205" s="735" t="e">
        <f t="shared" ca="1" si="152"/>
        <v>#VALUE!</v>
      </c>
      <c r="AT205" s="475">
        <f t="shared" si="203"/>
        <v>22</v>
      </c>
      <c r="AU205" s="475">
        <f t="shared" si="153"/>
        <v>0</v>
      </c>
      <c r="AV205" s="735">
        <f t="shared" si="154"/>
        <v>22.132000000000001</v>
      </c>
      <c r="AW205" s="529">
        <f t="shared" si="155"/>
        <v>1</v>
      </c>
      <c r="AX205" s="735">
        <f t="shared" si="204"/>
        <v>1</v>
      </c>
      <c r="AY205" s="735">
        <f t="shared" si="156"/>
        <v>0</v>
      </c>
      <c r="AZ205" s="735">
        <f t="shared" si="205"/>
        <v>1</v>
      </c>
      <c r="BA205" s="735">
        <f t="shared" si="206"/>
        <v>0</v>
      </c>
      <c r="BB205" s="735">
        <f>IF($F$36=$D$36,IF(AW205=1,Fall1Tzul(AX205,AY205,BJ205,Q205),0),IF(AW205=1,Fall1Tzul(AX205,AY205,BJ205,W205),0))</f>
        <v>22</v>
      </c>
      <c r="BC205" s="735">
        <f>IF($F$36=$D$36,IF(AW205=1,Fall1xzul(AX205,AY205,BL205,R205),0),IF(AW205=1,Fall1xzul(AX205,AY205,BL205,X205),0))</f>
        <v>0</v>
      </c>
      <c r="BD205" s="735">
        <f>IF($F$36=$D$36,IF(AW205=2,Fall2Tzul(AX205, AZ205, BJ205,Q205, Z205),0),IF(AW205=2,Fall2Tzul(AX205, AZ205, BJ205,W205, Z205),0))</f>
        <v>0</v>
      </c>
      <c r="BE205" s="735">
        <f>IF($F$36=$D$36,IF(AW205=2,Fall2xzul(AX205,AZ205,BL205,R205,AA205),0),IF(AW205=2,Fall2xzul(AX205,AZ205,BL205,X205,AA205),0))</f>
        <v>0</v>
      </c>
      <c r="BF205" s="735">
        <f t="shared" si="157"/>
        <v>0</v>
      </c>
      <c r="BG205" s="735">
        <f t="shared" si="158"/>
        <v>0</v>
      </c>
      <c r="BH205" s="735">
        <f t="shared" si="159"/>
        <v>0</v>
      </c>
      <c r="BI205" s="735">
        <f t="shared" si="160"/>
        <v>0</v>
      </c>
      <c r="BJ205" s="473">
        <f t="shared" si="161"/>
        <v>22</v>
      </c>
      <c r="BK205" s="491">
        <f t="shared" si="162"/>
        <v>1.1286920260116094E-2</v>
      </c>
      <c r="BL205" s="475">
        <f>AbsFeuchte(BJ205,BK205,$N$19)</f>
        <v>0.19570006685493199</v>
      </c>
      <c r="BM205" s="735">
        <f t="shared" si="163"/>
        <v>22.629571333980003</v>
      </c>
      <c r="BN205" s="473">
        <f t="shared" si="207"/>
        <v>22</v>
      </c>
      <c r="BO205" s="491">
        <f t="shared" si="164"/>
        <v>0</v>
      </c>
      <c r="BP205" s="475">
        <f t="shared" si="208"/>
        <v>0</v>
      </c>
      <c r="BQ205" s="735">
        <f t="shared" si="165"/>
        <v>22.132000000000001</v>
      </c>
      <c r="BR205" s="473">
        <f t="shared" si="166"/>
        <v>24</v>
      </c>
      <c r="BS205" s="491">
        <f t="shared" si="167"/>
        <v>0.01</v>
      </c>
      <c r="BT205" s="475">
        <f>AbsFeuchte(BR205,BS205,$N$19)</f>
        <v>0.19570006685493199</v>
      </c>
      <c r="BU205" s="576">
        <f>IF($J$21=0,IF(E$13=$S$10,BR205+$N$18,BR205),IF(E$13=$S$10,BR205+$N$18+#REF!,BR205+$J$21))</f>
        <v>24</v>
      </c>
      <c r="BV205" s="491">
        <f t="shared" si="168"/>
        <v>0.01</v>
      </c>
      <c r="BW205" s="726">
        <f t="shared" si="169"/>
        <v>0.19570006685493199</v>
      </c>
      <c r="BX205" s="475">
        <f t="shared" si="215"/>
        <v>0</v>
      </c>
      <c r="BY205" s="475">
        <f t="shared" si="216"/>
        <v>9.6073000000000022</v>
      </c>
      <c r="BZ205" s="475">
        <f t="shared" si="170"/>
        <v>0</v>
      </c>
      <c r="CA205" s="475">
        <f t="shared" si="171"/>
        <v>0</v>
      </c>
      <c r="CB205" s="475">
        <f t="shared" si="172"/>
        <v>0</v>
      </c>
      <c r="CC205" s="475">
        <f t="shared" si="173"/>
        <v>9.6073000000000022</v>
      </c>
      <c r="CD205" s="475">
        <f t="shared" si="174"/>
        <v>0</v>
      </c>
      <c r="CE205" s="621">
        <f t="shared" si="175"/>
        <v>0</v>
      </c>
      <c r="CF205" s="621">
        <f t="shared" si="176"/>
        <v>0</v>
      </c>
      <c r="CG205" s="621">
        <f t="shared" si="177"/>
        <v>0</v>
      </c>
      <c r="CH205" s="573">
        <f t="shared" si="178"/>
        <v>0</v>
      </c>
      <c r="CI205" s="621">
        <f t="shared" si="179"/>
        <v>0</v>
      </c>
      <c r="CJ205" s="621">
        <f t="shared" si="180"/>
        <v>0</v>
      </c>
      <c r="CK205" s="621">
        <f t="shared" si="181"/>
        <v>0</v>
      </c>
      <c r="CL205" s="737">
        <f t="shared" si="182"/>
        <v>0</v>
      </c>
      <c r="CM205" s="738">
        <f t="shared" si="183"/>
        <v>0</v>
      </c>
      <c r="CN205" s="475">
        <f t="shared" si="184"/>
        <v>222</v>
      </c>
      <c r="CO205" s="475">
        <f t="shared" si="185"/>
        <v>222</v>
      </c>
      <c r="CP205" s="475">
        <f t="shared" si="186"/>
        <v>222</v>
      </c>
      <c r="CQ205" s="475">
        <f t="shared" si="187"/>
        <v>-222</v>
      </c>
      <c r="CR205" s="475">
        <f t="shared" si="188"/>
        <v>-222</v>
      </c>
      <c r="CS205" s="475">
        <f t="shared" si="189"/>
        <v>-222</v>
      </c>
      <c r="CT205" s="475">
        <f t="shared" si="190"/>
        <v>0</v>
      </c>
      <c r="CU205" s="475">
        <f t="shared" si="191"/>
        <v>222</v>
      </c>
      <c r="CV205" s="475">
        <f t="shared" si="192"/>
        <v>-222</v>
      </c>
      <c r="CW205" s="475">
        <f t="shared" si="209"/>
        <v>0</v>
      </c>
      <c r="CX205" s="573">
        <f t="shared" si="217"/>
        <v>0</v>
      </c>
      <c r="CY205" s="475">
        <f t="shared" si="210"/>
        <v>22</v>
      </c>
      <c r="CZ205" s="475">
        <f t="shared" si="218"/>
        <v>22</v>
      </c>
      <c r="DA205" s="475">
        <v>-9</v>
      </c>
      <c r="DB205" s="475"/>
      <c r="DC205" s="410"/>
    </row>
    <row r="206" spans="1:107" s="619" customFormat="1" ht="12" hidden="1" customHeight="1" outlineLevel="1">
      <c r="A206" s="752">
        <v>-8</v>
      </c>
      <c r="B206" s="573">
        <v>0</v>
      </c>
      <c r="C206" s="475">
        <v>0</v>
      </c>
      <c r="D206" s="741">
        <v>0</v>
      </c>
      <c r="E206" s="491">
        <f t="shared" si="132"/>
        <v>0</v>
      </c>
      <c r="F206" s="438">
        <f t="shared" si="133"/>
        <v>0</v>
      </c>
      <c r="G206" s="438"/>
      <c r="H206" s="475">
        <f t="shared" si="134"/>
        <v>30</v>
      </c>
      <c r="I206" s="473">
        <f t="shared" si="135"/>
        <v>12.8</v>
      </c>
      <c r="J206" s="473">
        <f t="shared" si="136"/>
        <v>12.8</v>
      </c>
      <c r="K206" s="491">
        <f t="shared" si="137"/>
        <v>0.65</v>
      </c>
      <c r="L206" s="473">
        <f t="shared" si="193"/>
        <v>12.8</v>
      </c>
      <c r="M206" s="473">
        <f t="shared" si="138"/>
        <v>0</v>
      </c>
      <c r="N206" s="473">
        <f>(EnthalpieA(L206,M206,E255)*$F$35)+((1-$F$35)*EnthalpieA(BU206,BW206,E255))</f>
        <v>12.876800000000001</v>
      </c>
      <c r="O206" s="473">
        <f>(EnthalpieA(L206,M206,E255)*$F$34)+((1-$F$34)*EnthalpieA(BU206,BW206,E255))</f>
        <v>12.876800000000001</v>
      </c>
      <c r="P206" s="734">
        <f>1-IF(EnthalpieA(L206,M206,E255)=S206,$F$35,(S206-EnthalpieA(BU206,BW206,E255))/((EnthalpieA(L206,M206,E255)-EnthalpieA(BU206,BW206,E255))))</f>
        <v>0</v>
      </c>
      <c r="Q206" s="473">
        <f t="shared" si="211"/>
        <v>12.8</v>
      </c>
      <c r="R206" s="475">
        <f t="shared" si="212"/>
        <v>0</v>
      </c>
      <c r="S206" s="473">
        <f t="shared" si="213"/>
        <v>12.876800000000001</v>
      </c>
      <c r="T206" s="473">
        <f t="shared" si="139"/>
        <v>12.8</v>
      </c>
      <c r="U206" s="473">
        <f t="shared" si="140"/>
        <v>12.8</v>
      </c>
      <c r="V206" s="491">
        <f t="shared" si="141"/>
        <v>0</v>
      </c>
      <c r="W206" s="475">
        <f t="shared" si="194"/>
        <v>12.8</v>
      </c>
      <c r="X206" s="475">
        <f t="shared" si="195"/>
        <v>0</v>
      </c>
      <c r="Y206" s="735">
        <f t="shared" si="142"/>
        <v>12.876800000000001</v>
      </c>
      <c r="Z206" s="475">
        <f t="shared" si="196"/>
        <v>9</v>
      </c>
      <c r="AA206" s="475">
        <f>IF($F$36=$D$36,MIN(AbsFeuchte(Z206,100%,$N$19),R206),MIN(AbsFeuchte(Z206,100%,$N$19),X206))</f>
        <v>0</v>
      </c>
      <c r="AB206" s="735">
        <f t="shared" si="143"/>
        <v>9.0540000000000003</v>
      </c>
      <c r="AC206" s="475">
        <f t="shared" si="197"/>
        <v>9</v>
      </c>
      <c r="AD206" s="475">
        <v>0</v>
      </c>
      <c r="AE206" s="735">
        <f t="shared" si="144"/>
        <v>9.0540000000000003</v>
      </c>
      <c r="AF206" s="735">
        <f t="shared" si="198"/>
        <v>9</v>
      </c>
      <c r="AG206" s="735">
        <f t="shared" si="145"/>
        <v>9.9999999999999992E+22</v>
      </c>
      <c r="AH206" s="475">
        <f t="shared" si="146"/>
        <v>12.8</v>
      </c>
      <c r="AI206" s="475">
        <f t="shared" si="199"/>
        <v>0.19570006685493199</v>
      </c>
      <c r="AJ206" s="735">
        <f t="shared" si="147"/>
        <v>13.371022514435982</v>
      </c>
      <c r="AK206" s="475">
        <f t="shared" si="148"/>
        <v>12.8</v>
      </c>
      <c r="AL206" s="475">
        <f t="shared" si="200"/>
        <v>1.3E-22</v>
      </c>
      <c r="AM206" s="735">
        <f t="shared" si="149"/>
        <v>12.876800000000001</v>
      </c>
      <c r="AN206" s="475">
        <f t="shared" si="214"/>
        <v>22.494603711709743</v>
      </c>
      <c r="AO206" s="475">
        <f t="shared" si="150"/>
        <v>0</v>
      </c>
      <c r="AP206" s="735">
        <f t="shared" si="201"/>
        <v>22.629571333980003</v>
      </c>
      <c r="AQ206" s="475" t="e">
        <f t="shared" ca="1" si="151"/>
        <v>#NAME?</v>
      </c>
      <c r="AR206" s="475">
        <f t="shared" si="202"/>
        <v>0.19570006685493199</v>
      </c>
      <c r="AS206" s="735" t="e">
        <f t="shared" ca="1" si="152"/>
        <v>#VALUE!</v>
      </c>
      <c r="AT206" s="475">
        <f t="shared" si="203"/>
        <v>22</v>
      </c>
      <c r="AU206" s="475">
        <f t="shared" si="153"/>
        <v>0</v>
      </c>
      <c r="AV206" s="735">
        <f t="shared" si="154"/>
        <v>22.132000000000001</v>
      </c>
      <c r="AW206" s="529">
        <f t="shared" si="155"/>
        <v>1</v>
      </c>
      <c r="AX206" s="735">
        <f t="shared" si="204"/>
        <v>1</v>
      </c>
      <c r="AY206" s="735">
        <f t="shared" si="156"/>
        <v>0</v>
      </c>
      <c r="AZ206" s="735">
        <f t="shared" si="205"/>
        <v>1</v>
      </c>
      <c r="BA206" s="735">
        <f t="shared" si="206"/>
        <v>0</v>
      </c>
      <c r="BB206" s="735">
        <f>IF($F$36=$D$36,IF(AW206=1,Fall1Tzul(AX206,AY206,BJ206,Q206),0),IF(AW206=1,Fall1Tzul(AX206,AY206,BJ206,W206),0))</f>
        <v>22</v>
      </c>
      <c r="BC206" s="735">
        <f>IF($F$36=$D$36,IF(AW206=1,Fall1xzul(AX206,AY206,BL206,R206),0),IF(AW206=1,Fall1xzul(AX206,AY206,BL206,X206),0))</f>
        <v>0</v>
      </c>
      <c r="BD206" s="735">
        <f>IF($F$36=$D$36,IF(AW206=2,Fall2Tzul(AX206, AZ206, BJ206,Q206, Z206),0),IF(AW206=2,Fall2Tzul(AX206, AZ206, BJ206,W206, Z206),0))</f>
        <v>0</v>
      </c>
      <c r="BE206" s="735">
        <f>IF($F$36=$D$36,IF(AW206=2,Fall2xzul(AX206,AZ206,BL206,R206,AA206),0),IF(AW206=2,Fall2xzul(AX206,AZ206,BL206,X206,AA206),0))</f>
        <v>0</v>
      </c>
      <c r="BF206" s="735">
        <f t="shared" si="157"/>
        <v>0</v>
      </c>
      <c r="BG206" s="735">
        <f t="shared" si="158"/>
        <v>0</v>
      </c>
      <c r="BH206" s="735">
        <f t="shared" si="159"/>
        <v>0</v>
      </c>
      <c r="BI206" s="735">
        <f t="shared" si="160"/>
        <v>0</v>
      </c>
      <c r="BJ206" s="473">
        <f t="shared" si="161"/>
        <v>22</v>
      </c>
      <c r="BK206" s="491">
        <f t="shared" si="162"/>
        <v>1.1286920260116094E-2</v>
      </c>
      <c r="BL206" s="475">
        <f>AbsFeuchte(BJ206,BK206,$N$19)</f>
        <v>0.19570006685493199</v>
      </c>
      <c r="BM206" s="735">
        <f t="shared" si="163"/>
        <v>22.629571333980003</v>
      </c>
      <c r="BN206" s="473">
        <f t="shared" si="207"/>
        <v>22</v>
      </c>
      <c r="BO206" s="491">
        <f t="shared" si="164"/>
        <v>0</v>
      </c>
      <c r="BP206" s="475">
        <f t="shared" si="208"/>
        <v>0</v>
      </c>
      <c r="BQ206" s="735">
        <f t="shared" si="165"/>
        <v>22.132000000000001</v>
      </c>
      <c r="BR206" s="473">
        <f t="shared" si="166"/>
        <v>24</v>
      </c>
      <c r="BS206" s="491">
        <f t="shared" si="167"/>
        <v>0.01</v>
      </c>
      <c r="BT206" s="475">
        <f>AbsFeuchte(BR206,BS206,$N$19)</f>
        <v>0.19570006685493199</v>
      </c>
      <c r="BU206" s="576">
        <f>IF($J$21=0,IF(E$13=$S$10,BR206+$N$18,BR206),IF(E$13=$S$10,BR206+$N$18+#REF!,BR206+$J$21))</f>
        <v>24</v>
      </c>
      <c r="BV206" s="491">
        <f t="shared" si="168"/>
        <v>0.01</v>
      </c>
      <c r="BW206" s="726">
        <f t="shared" si="169"/>
        <v>0.19570006685493199</v>
      </c>
      <c r="BX206" s="475">
        <f t="shared" si="215"/>
        <v>0</v>
      </c>
      <c r="BY206" s="475">
        <f t="shared" si="216"/>
        <v>9.2552000000000003</v>
      </c>
      <c r="BZ206" s="475">
        <f t="shared" si="170"/>
        <v>0</v>
      </c>
      <c r="CA206" s="475">
        <f t="shared" si="171"/>
        <v>0</v>
      </c>
      <c r="CB206" s="475">
        <f t="shared" si="172"/>
        <v>0</v>
      </c>
      <c r="CC206" s="475">
        <f t="shared" si="173"/>
        <v>9.2552000000000003</v>
      </c>
      <c r="CD206" s="475">
        <f t="shared" si="174"/>
        <v>0</v>
      </c>
      <c r="CE206" s="621">
        <f t="shared" si="175"/>
        <v>0</v>
      </c>
      <c r="CF206" s="621">
        <f t="shared" si="176"/>
        <v>0</v>
      </c>
      <c r="CG206" s="621">
        <f t="shared" si="177"/>
        <v>0</v>
      </c>
      <c r="CH206" s="573">
        <f t="shared" si="178"/>
        <v>0</v>
      </c>
      <c r="CI206" s="621">
        <f t="shared" si="179"/>
        <v>0</v>
      </c>
      <c r="CJ206" s="621">
        <f t="shared" si="180"/>
        <v>0</v>
      </c>
      <c r="CK206" s="621">
        <f t="shared" si="181"/>
        <v>0</v>
      </c>
      <c r="CL206" s="737">
        <f t="shared" si="182"/>
        <v>0</v>
      </c>
      <c r="CM206" s="738">
        <f t="shared" si="183"/>
        <v>0</v>
      </c>
      <c r="CN206" s="475">
        <f t="shared" si="184"/>
        <v>222</v>
      </c>
      <c r="CO206" s="475">
        <f t="shared" si="185"/>
        <v>222</v>
      </c>
      <c r="CP206" s="475">
        <f t="shared" si="186"/>
        <v>222</v>
      </c>
      <c r="CQ206" s="475">
        <f t="shared" si="187"/>
        <v>-222</v>
      </c>
      <c r="CR206" s="475">
        <f t="shared" si="188"/>
        <v>-222</v>
      </c>
      <c r="CS206" s="475">
        <f t="shared" si="189"/>
        <v>-222</v>
      </c>
      <c r="CT206" s="475">
        <f t="shared" si="190"/>
        <v>0</v>
      </c>
      <c r="CU206" s="475">
        <f t="shared" si="191"/>
        <v>222</v>
      </c>
      <c r="CV206" s="475">
        <f t="shared" si="192"/>
        <v>-222</v>
      </c>
      <c r="CW206" s="475">
        <f t="shared" si="209"/>
        <v>0</v>
      </c>
      <c r="CX206" s="573">
        <f t="shared" si="217"/>
        <v>0</v>
      </c>
      <c r="CY206" s="475">
        <f t="shared" si="210"/>
        <v>22</v>
      </c>
      <c r="CZ206" s="475">
        <f t="shared" si="218"/>
        <v>22</v>
      </c>
      <c r="DA206" s="475">
        <v>-8</v>
      </c>
      <c r="DB206" s="475"/>
      <c r="DC206" s="410"/>
    </row>
    <row r="207" spans="1:107" s="619" customFormat="1" ht="12" hidden="1" customHeight="1" outlineLevel="1">
      <c r="A207" s="752">
        <v>-7</v>
      </c>
      <c r="B207" s="573">
        <v>0.89285714285714279</v>
      </c>
      <c r="C207" s="475">
        <v>1.8490777933819043</v>
      </c>
      <c r="D207" s="741">
        <v>0.87</v>
      </c>
      <c r="E207" s="491">
        <f t="shared" si="132"/>
        <v>9.423487892748629E-2</v>
      </c>
      <c r="F207" s="438">
        <f t="shared" si="133"/>
        <v>0</v>
      </c>
      <c r="G207" s="438"/>
      <c r="H207" s="475">
        <f t="shared" si="134"/>
        <v>29</v>
      </c>
      <c r="I207" s="473">
        <f t="shared" si="135"/>
        <v>13.150000000000002</v>
      </c>
      <c r="J207" s="473">
        <f t="shared" si="136"/>
        <v>13.150000000000002</v>
      </c>
      <c r="K207" s="491">
        <f t="shared" si="137"/>
        <v>0.65</v>
      </c>
      <c r="L207" s="473">
        <f t="shared" si="193"/>
        <v>13.150000000000002</v>
      </c>
      <c r="M207" s="473">
        <f t="shared" si="138"/>
        <v>1.8490777933819043</v>
      </c>
      <c r="N207" s="473">
        <f>(EnthalpieA(L207,M207,#REF!)*$F$35)+((1-$F$35)*EnthalpieA(BU207,BW207,#REF!))</f>
        <v>17.899779601672503</v>
      </c>
      <c r="O207" s="473">
        <f>(EnthalpieA(L207,M207,#REF!)*$F$34)+((1-$F$34)*EnthalpieA(BU207,BW207,#REF!))</f>
        <v>17.899779601672503</v>
      </c>
      <c r="P207" s="734">
        <f>1-IF(EnthalpieA(L207,M207,#REF!)=S207,$F$35,(S207-EnthalpieA(BU207,BW207,#REF!))/((EnthalpieA(L207,M207,#REF!)-EnthalpieA(BU207,BW207,#REF!))))</f>
        <v>0</v>
      </c>
      <c r="Q207" s="473">
        <f t="shared" si="211"/>
        <v>13.150000000000002</v>
      </c>
      <c r="R207" s="475">
        <f t="shared" si="212"/>
        <v>1.8490777933819043</v>
      </c>
      <c r="S207" s="473">
        <f t="shared" si="213"/>
        <v>17.899779601672503</v>
      </c>
      <c r="T207" s="473">
        <f t="shared" si="139"/>
        <v>13.150000000000002</v>
      </c>
      <c r="U207" s="473">
        <f t="shared" si="140"/>
        <v>13.150000000000002</v>
      </c>
      <c r="V207" s="491">
        <f t="shared" si="141"/>
        <v>0</v>
      </c>
      <c r="W207" s="475">
        <f t="shared" si="194"/>
        <v>13.150000000000002</v>
      </c>
      <c r="X207" s="475">
        <f t="shared" si="195"/>
        <v>1.8490777933819043</v>
      </c>
      <c r="Y207" s="735">
        <f t="shared" si="142"/>
        <v>17.899779601672503</v>
      </c>
      <c r="Z207" s="475">
        <f t="shared" si="196"/>
        <v>9</v>
      </c>
      <c r="AA207" s="475">
        <f>IF($F$36=$D$36,MIN(AbsFeuchte(Z207,100%,$N$19),R207),MIN(AbsFeuchte(Z207,100%,$N$19),X207))</f>
        <v>1.8490777933819043</v>
      </c>
      <c r="AB207" s="735">
        <f t="shared" si="143"/>
        <v>13.710606570185384</v>
      </c>
      <c r="AC207" s="475">
        <f t="shared" si="197"/>
        <v>9</v>
      </c>
      <c r="AD207" s="475">
        <v>0</v>
      </c>
      <c r="AE207" s="735">
        <f t="shared" si="144"/>
        <v>9.0540000000000003</v>
      </c>
      <c r="AF207" s="735">
        <f t="shared" si="198"/>
        <v>9</v>
      </c>
      <c r="AG207" s="735">
        <f t="shared" si="145"/>
        <v>9.9999999999999992E+22</v>
      </c>
      <c r="AH207" s="475">
        <f t="shared" si="146"/>
        <v>13.150000000000002</v>
      </c>
      <c r="AI207" s="475">
        <f t="shared" si="199"/>
        <v>1.8490777933819047</v>
      </c>
      <c r="AJ207" s="735">
        <f t="shared" si="147"/>
        <v>17.899779601672503</v>
      </c>
      <c r="AK207" s="475">
        <f t="shared" si="148"/>
        <v>13.150000000000002</v>
      </c>
      <c r="AL207" s="475">
        <f t="shared" si="200"/>
        <v>1.8490777933819043</v>
      </c>
      <c r="AM207" s="735">
        <f t="shared" si="149"/>
        <v>17.899779601672503</v>
      </c>
      <c r="AN207" s="475">
        <f t="shared" si="214"/>
        <v>22.000000000000004</v>
      </c>
      <c r="AO207" s="475">
        <f t="shared" si="150"/>
        <v>1.8490777933819043</v>
      </c>
      <c r="AP207" s="735">
        <f t="shared" si="201"/>
        <v>26.833317271229362</v>
      </c>
      <c r="AQ207" s="475" t="e">
        <f t="shared" ca="1" si="151"/>
        <v>#NAME?</v>
      </c>
      <c r="AR207" s="475">
        <f t="shared" si="202"/>
        <v>1.8490777933819047</v>
      </c>
      <c r="AS207" s="735" t="e">
        <f t="shared" ca="1" si="152"/>
        <v>#VALUE!</v>
      </c>
      <c r="AT207" s="475">
        <f t="shared" si="203"/>
        <v>22</v>
      </c>
      <c r="AU207" s="475">
        <f t="shared" si="153"/>
        <v>1.8490777933819043</v>
      </c>
      <c r="AV207" s="735">
        <f t="shared" si="154"/>
        <v>26.833317271229362</v>
      </c>
      <c r="AW207" s="529">
        <f t="shared" si="155"/>
        <v>1</v>
      </c>
      <c r="AX207" s="735">
        <f t="shared" si="204"/>
        <v>1</v>
      </c>
      <c r="AY207" s="735">
        <f t="shared" si="156"/>
        <v>0</v>
      </c>
      <c r="AZ207" s="735">
        <f t="shared" si="205"/>
        <v>1</v>
      </c>
      <c r="BA207" s="735">
        <f t="shared" si="206"/>
        <v>0</v>
      </c>
      <c r="BB207" s="735">
        <f>IF($F$36=$D$36,IF(AW207=1,Fall1Tzul(AX207,AY207,BJ207,Q207),0),IF(AW207=1,Fall1Tzul(AX207,AY207,BJ207,W207),0))</f>
        <v>22</v>
      </c>
      <c r="BC207" s="735">
        <f>IF($F$36=$D$36,IF(AW207=1,Fall1xzul(AX207,AY207,BL207,R207),0),IF(AW207=1,Fall1xzul(AX207,AY207,BL207,X207),0))</f>
        <v>1.8490777933819043</v>
      </c>
      <c r="BD207" s="735">
        <f>IF($F$36=$D$36,IF(AW207=2,Fall2Tzul(AX207, AZ207, BJ207,Q207, Z207),0),IF(AW207=2,Fall2Tzul(AX207, AZ207, BJ207,W207, Z207),0))</f>
        <v>0</v>
      </c>
      <c r="BE207" s="735">
        <f>IF($F$36=$D$36,IF(AW207=2,Fall2xzul(AX207,AZ207,BL207,R207,AA207),0),IF(AW207=2,Fall2xzul(AX207,AZ207,BL207,X207,AA207),0))</f>
        <v>0</v>
      </c>
      <c r="BF207" s="735">
        <f t="shared" si="157"/>
        <v>0</v>
      </c>
      <c r="BG207" s="735">
        <f t="shared" si="158"/>
        <v>0</v>
      </c>
      <c r="BH207" s="735">
        <f t="shared" si="159"/>
        <v>0</v>
      </c>
      <c r="BI207" s="735">
        <f t="shared" si="160"/>
        <v>0</v>
      </c>
      <c r="BJ207" s="473">
        <f t="shared" si="161"/>
        <v>22</v>
      </c>
      <c r="BK207" s="491">
        <f t="shared" si="162"/>
        <v>0.10636215641762323</v>
      </c>
      <c r="BL207" s="475">
        <f>AbsFeuchte(BJ207,BK207,$N$19)</f>
        <v>1.8490777933819047</v>
      </c>
      <c r="BM207" s="735">
        <f t="shared" si="163"/>
        <v>26.833317271229362</v>
      </c>
      <c r="BN207" s="473">
        <f t="shared" si="207"/>
        <v>22</v>
      </c>
      <c r="BO207" s="491">
        <f t="shared" si="164"/>
        <v>0.10636215641762321</v>
      </c>
      <c r="BP207" s="475">
        <f t="shared" si="208"/>
        <v>1.8490777933819043</v>
      </c>
      <c r="BQ207" s="735">
        <f t="shared" si="165"/>
        <v>26.833317271229362</v>
      </c>
      <c r="BR207" s="473">
        <f t="shared" si="166"/>
        <v>24</v>
      </c>
      <c r="BS207" s="491">
        <f t="shared" si="167"/>
        <v>9.423487892748629E-2</v>
      </c>
      <c r="BT207" s="475">
        <f>AbsFeuchte(BR207,BS207,$N$19)</f>
        <v>1.8490777933819045</v>
      </c>
      <c r="BU207" s="576">
        <f>IF($J$21=0,IF(E$13=$S$10,BR207+$N$18,BR207),IF(E$13=$S$10,BR207+$N$18+#REF!,BR207+$J$21))</f>
        <v>24</v>
      </c>
      <c r="BV207" s="491">
        <f t="shared" si="168"/>
        <v>9.4234878927486304E-2</v>
      </c>
      <c r="BW207" s="726">
        <f t="shared" si="169"/>
        <v>1.8490777933819045</v>
      </c>
      <c r="BX207" s="475">
        <f t="shared" si="215"/>
        <v>0</v>
      </c>
      <c r="BY207" s="475">
        <f t="shared" si="216"/>
        <v>8.9335376695568591</v>
      </c>
      <c r="BZ207" s="475">
        <f t="shared" si="170"/>
        <v>0</v>
      </c>
      <c r="CA207" s="475">
        <f t="shared" si="171"/>
        <v>0</v>
      </c>
      <c r="CB207" s="475">
        <f t="shared" si="172"/>
        <v>0</v>
      </c>
      <c r="CC207" s="475">
        <f t="shared" si="173"/>
        <v>8.9335376695568591</v>
      </c>
      <c r="CD207" s="475">
        <f t="shared" si="174"/>
        <v>0</v>
      </c>
      <c r="CE207" s="621">
        <f t="shared" si="175"/>
        <v>0</v>
      </c>
      <c r="CF207" s="621">
        <f t="shared" si="176"/>
        <v>0</v>
      </c>
      <c r="CG207" s="621">
        <f t="shared" si="177"/>
        <v>0</v>
      </c>
      <c r="CH207" s="573">
        <f t="shared" si="178"/>
        <v>0</v>
      </c>
      <c r="CI207" s="621">
        <f t="shared" si="179"/>
        <v>0</v>
      </c>
      <c r="CJ207" s="621">
        <f t="shared" si="180"/>
        <v>0</v>
      </c>
      <c r="CK207" s="621">
        <f t="shared" si="181"/>
        <v>0</v>
      </c>
      <c r="CL207" s="737">
        <f t="shared" si="182"/>
        <v>0</v>
      </c>
      <c r="CM207" s="738">
        <f t="shared" si="183"/>
        <v>0</v>
      </c>
      <c r="CN207" s="475">
        <f t="shared" si="184"/>
        <v>0.10636215641762323</v>
      </c>
      <c r="CO207" s="475">
        <f t="shared" si="185"/>
        <v>0.10636215641762321</v>
      </c>
      <c r="CP207" s="475">
        <f t="shared" si="186"/>
        <v>13.150000000000002</v>
      </c>
      <c r="CQ207" s="475">
        <f t="shared" si="187"/>
        <v>13.150000000000002</v>
      </c>
      <c r="CR207" s="475">
        <f t="shared" si="188"/>
        <v>8.9335376695568591</v>
      </c>
      <c r="CS207" s="475">
        <f t="shared" si="189"/>
        <v>0</v>
      </c>
      <c r="CT207" s="475">
        <f t="shared" si="190"/>
        <v>0</v>
      </c>
      <c r="CU207" s="475">
        <f t="shared" si="191"/>
        <v>22</v>
      </c>
      <c r="CV207" s="475">
        <f t="shared" si="192"/>
        <v>22</v>
      </c>
      <c r="CW207" s="475">
        <f t="shared" si="209"/>
        <v>0</v>
      </c>
      <c r="CX207" s="573">
        <f t="shared" si="217"/>
        <v>0</v>
      </c>
      <c r="CY207" s="475">
        <f>IF(I207=0,CY208,BJ207)</f>
        <v>22</v>
      </c>
      <c r="CZ207" s="475">
        <f t="shared" si="218"/>
        <v>22</v>
      </c>
      <c r="DA207" s="475">
        <v>-7</v>
      </c>
      <c r="DB207" s="475"/>
      <c r="DC207" s="410"/>
    </row>
    <row r="208" spans="1:107" s="619" customFormat="1" ht="12" hidden="1" customHeight="1" outlineLevel="1">
      <c r="A208" s="752">
        <v>-6</v>
      </c>
      <c r="B208" s="573">
        <v>2.9761904761904758</v>
      </c>
      <c r="C208" s="475">
        <v>1.9291157494680586</v>
      </c>
      <c r="D208" s="741">
        <v>0.83200000000000007</v>
      </c>
      <c r="E208" s="491">
        <f t="shared" si="132"/>
        <v>9.8301255697896273E-2</v>
      </c>
      <c r="F208" s="438">
        <f t="shared" si="133"/>
        <v>0</v>
      </c>
      <c r="G208" s="438"/>
      <c r="H208" s="475">
        <f t="shared" si="134"/>
        <v>28</v>
      </c>
      <c r="I208" s="473">
        <f t="shared" si="135"/>
        <v>13.5</v>
      </c>
      <c r="J208" s="473">
        <f t="shared" si="136"/>
        <v>13.5</v>
      </c>
      <c r="K208" s="491">
        <f t="shared" si="137"/>
        <v>0.65</v>
      </c>
      <c r="L208" s="473">
        <f t="shared" si="193"/>
        <v>13.5</v>
      </c>
      <c r="M208" s="473">
        <f t="shared" si="138"/>
        <v>1.9291157494680586</v>
      </c>
      <c r="N208" s="473">
        <f>(EnthalpieA(L208,M208,E256)*$F$35)+((1-$F$35)*EnthalpieA(BU208,BW208,E256))</f>
        <v>18.455316055338439</v>
      </c>
      <c r="O208" s="473">
        <f>(EnthalpieA(L208,M208,E256)*$F$34)+((1-$F$34)*EnthalpieA(BU208,BW208,E256))</f>
        <v>18.455316055338439</v>
      </c>
      <c r="P208" s="734">
        <f>1-IF(EnthalpieA(L208,M208,E256)=S208,$F$35,(S208-EnthalpieA(BU208,BW208,E256))/((EnthalpieA(L208,M208,E256)-EnthalpieA(BU208,BW208,E256))))</f>
        <v>0</v>
      </c>
      <c r="Q208" s="473">
        <f t="shared" si="211"/>
        <v>13.5</v>
      </c>
      <c r="R208" s="475">
        <f t="shared" si="212"/>
        <v>1.9291157494680586</v>
      </c>
      <c r="S208" s="473">
        <f t="shared" si="213"/>
        <v>18.455316055338439</v>
      </c>
      <c r="T208" s="473">
        <f t="shared" si="139"/>
        <v>13.5</v>
      </c>
      <c r="U208" s="473">
        <f t="shared" si="140"/>
        <v>13.5</v>
      </c>
      <c r="V208" s="491">
        <f t="shared" si="141"/>
        <v>0</v>
      </c>
      <c r="W208" s="475">
        <f t="shared" si="194"/>
        <v>13.5</v>
      </c>
      <c r="X208" s="475">
        <f t="shared" si="195"/>
        <v>1.9291157494680586</v>
      </c>
      <c r="Y208" s="735">
        <f t="shared" si="142"/>
        <v>18.455316055338439</v>
      </c>
      <c r="Z208" s="475">
        <f t="shared" si="196"/>
        <v>9</v>
      </c>
      <c r="AA208" s="475">
        <f>IF($F$36=$D$36,MIN(AbsFeuchte(Z208,100%,$N$19),R208),MIN(AbsFeuchte(Z208,100%,$N$19),X208))</f>
        <v>1.9291157494680586</v>
      </c>
      <c r="AB208" s="735">
        <f t="shared" si="143"/>
        <v>13.912169356515392</v>
      </c>
      <c r="AC208" s="475">
        <f t="shared" si="197"/>
        <v>9</v>
      </c>
      <c r="AD208" s="475">
        <v>0</v>
      </c>
      <c r="AE208" s="735">
        <f t="shared" si="144"/>
        <v>9.0540000000000003</v>
      </c>
      <c r="AF208" s="735">
        <f t="shared" si="198"/>
        <v>9</v>
      </c>
      <c r="AG208" s="735">
        <f t="shared" si="145"/>
        <v>9.9999999999999992E+22</v>
      </c>
      <c r="AH208" s="475">
        <f t="shared" si="146"/>
        <v>13.5</v>
      </c>
      <c r="AI208" s="475">
        <f t="shared" si="199"/>
        <v>1.9291157494680586</v>
      </c>
      <c r="AJ208" s="735">
        <f t="shared" si="147"/>
        <v>18.455316055338439</v>
      </c>
      <c r="AK208" s="475">
        <f t="shared" si="148"/>
        <v>13.5</v>
      </c>
      <c r="AL208" s="475">
        <f t="shared" si="200"/>
        <v>1.9291157494680586</v>
      </c>
      <c r="AM208" s="735">
        <f t="shared" si="149"/>
        <v>18.455316055338439</v>
      </c>
      <c r="AN208" s="475">
        <f t="shared" si="214"/>
        <v>21.999999999999996</v>
      </c>
      <c r="AO208" s="475">
        <f t="shared" si="150"/>
        <v>1.9291157494680586</v>
      </c>
      <c r="AP208" s="735">
        <f t="shared" si="201"/>
        <v>27.036815375337529</v>
      </c>
      <c r="AQ208" s="475" t="e">
        <f t="shared" ca="1" si="151"/>
        <v>#NAME?</v>
      </c>
      <c r="AR208" s="475">
        <f t="shared" si="202"/>
        <v>1.9291157494680586</v>
      </c>
      <c r="AS208" s="735" t="e">
        <f t="shared" ca="1" si="152"/>
        <v>#VALUE!</v>
      </c>
      <c r="AT208" s="475">
        <f t="shared" si="203"/>
        <v>22</v>
      </c>
      <c r="AU208" s="475">
        <f t="shared" si="153"/>
        <v>1.9291157494680586</v>
      </c>
      <c r="AV208" s="735">
        <f t="shared" si="154"/>
        <v>27.036815375337529</v>
      </c>
      <c r="AW208" s="529">
        <f t="shared" si="155"/>
        <v>1</v>
      </c>
      <c r="AX208" s="735">
        <f t="shared" si="204"/>
        <v>1</v>
      </c>
      <c r="AY208" s="735">
        <f t="shared" si="156"/>
        <v>0</v>
      </c>
      <c r="AZ208" s="735">
        <f t="shared" si="205"/>
        <v>1</v>
      </c>
      <c r="BA208" s="735">
        <f t="shared" si="206"/>
        <v>0</v>
      </c>
      <c r="BB208" s="735">
        <f>IF($F$36=$D$36,IF(AW208=1,Fall1Tzul(AX208,AY208,BJ208,Q208),0),IF(AW208=1,Fall1Tzul(AX208,AY208,BJ208,W208),0))</f>
        <v>22</v>
      </c>
      <c r="BC208" s="735">
        <f>IF($F$36=$D$36,IF(AW208=1,Fall1xzul(AX208,AY208,BL208,R208),0),IF(AW208=1,Fall1xzul(AX208,AY208,BL208,X208),0))</f>
        <v>1.9291157494680586</v>
      </c>
      <c r="BD208" s="735">
        <f>IF($F$36=$D$36,IF(AW208=2,Fall2Tzul(AX208, AZ208, BJ208,Q208, Z208),0),IF(AW208=2,Fall2Tzul(AX208, AZ208, BJ208,W208, Z208),0))</f>
        <v>0</v>
      </c>
      <c r="BE208" s="735">
        <f>IF($F$36=$D$36,IF(AW208=2,Fall2xzul(AX208,AZ208,BL208,R208,AA208),0),IF(AW208=2,Fall2xzul(AX208,AZ208,BL208,X208,AA208),0))</f>
        <v>0</v>
      </c>
      <c r="BF208" s="735">
        <f t="shared" si="157"/>
        <v>0</v>
      </c>
      <c r="BG208" s="735">
        <f t="shared" si="158"/>
        <v>0</v>
      </c>
      <c r="BH208" s="735">
        <f t="shared" si="159"/>
        <v>0</v>
      </c>
      <c r="BI208" s="735">
        <f t="shared" si="160"/>
        <v>0</v>
      </c>
      <c r="BJ208" s="473">
        <f t="shared" si="161"/>
        <v>22</v>
      </c>
      <c r="BK208" s="491">
        <f t="shared" si="162"/>
        <v>0.11095184345314381</v>
      </c>
      <c r="BL208" s="475">
        <f>AbsFeuchte(BJ208,BK208,$N$19)</f>
        <v>1.9291157494680586</v>
      </c>
      <c r="BM208" s="735">
        <f t="shared" si="163"/>
        <v>27.036815375337529</v>
      </c>
      <c r="BN208" s="473">
        <f t="shared" si="207"/>
        <v>22</v>
      </c>
      <c r="BO208" s="491">
        <f t="shared" si="164"/>
        <v>0.11095184345314381</v>
      </c>
      <c r="BP208" s="475">
        <f t="shared" si="208"/>
        <v>1.9291157494680586</v>
      </c>
      <c r="BQ208" s="735">
        <f t="shared" si="165"/>
        <v>27.036815375337529</v>
      </c>
      <c r="BR208" s="473">
        <f t="shared" si="166"/>
        <v>24</v>
      </c>
      <c r="BS208" s="491">
        <f t="shared" si="167"/>
        <v>9.8301255697896273E-2</v>
      </c>
      <c r="BT208" s="475">
        <f>AbsFeuchte(BR208,BS208,$N$19)</f>
        <v>1.9291157494680586</v>
      </c>
      <c r="BU208" s="576">
        <f>IF($J$21=0,IF(E$13=$S$10,BR208+$N$18,BR208),IF(E$13=$S$10,BR208+$N$18+#REF!,BR208+$J$21))</f>
        <v>24</v>
      </c>
      <c r="BV208" s="491">
        <f t="shared" si="168"/>
        <v>9.8301255697896273E-2</v>
      </c>
      <c r="BW208" s="726">
        <f t="shared" si="169"/>
        <v>1.9291157494680586</v>
      </c>
      <c r="BX208" s="475">
        <f t="shared" si="215"/>
        <v>0</v>
      </c>
      <c r="BY208" s="475">
        <f t="shared" si="216"/>
        <v>8.5814993199990894</v>
      </c>
      <c r="BZ208" s="475">
        <f t="shared" si="170"/>
        <v>0</v>
      </c>
      <c r="CA208" s="475">
        <f t="shared" si="171"/>
        <v>0</v>
      </c>
      <c r="CB208" s="475">
        <f t="shared" si="172"/>
        <v>0</v>
      </c>
      <c r="CC208" s="475">
        <f t="shared" si="173"/>
        <v>8.5814993199990894</v>
      </c>
      <c r="CD208" s="475">
        <f t="shared" si="174"/>
        <v>0</v>
      </c>
      <c r="CE208" s="621">
        <f t="shared" si="175"/>
        <v>0</v>
      </c>
      <c r="CF208" s="621">
        <f t="shared" si="176"/>
        <v>0</v>
      </c>
      <c r="CG208" s="621">
        <f t="shared" si="177"/>
        <v>0</v>
      </c>
      <c r="CH208" s="573">
        <f t="shared" si="178"/>
        <v>0</v>
      </c>
      <c r="CI208" s="621">
        <f t="shared" si="179"/>
        <v>0</v>
      </c>
      <c r="CJ208" s="621">
        <f t="shared" si="180"/>
        <v>0</v>
      </c>
      <c r="CK208" s="621">
        <f t="shared" si="181"/>
        <v>0</v>
      </c>
      <c r="CL208" s="737">
        <f t="shared" si="182"/>
        <v>0</v>
      </c>
      <c r="CM208" s="738">
        <f t="shared" si="183"/>
        <v>0</v>
      </c>
      <c r="CN208" s="475">
        <f t="shared" si="184"/>
        <v>0.11095184345314381</v>
      </c>
      <c r="CO208" s="475">
        <f t="shared" si="185"/>
        <v>0.11095184345314381</v>
      </c>
      <c r="CP208" s="475">
        <f t="shared" si="186"/>
        <v>13.5</v>
      </c>
      <c r="CQ208" s="475">
        <f t="shared" si="187"/>
        <v>13.5</v>
      </c>
      <c r="CR208" s="475">
        <f t="shared" si="188"/>
        <v>8.5814993199990894</v>
      </c>
      <c r="CS208" s="475">
        <f t="shared" si="189"/>
        <v>0</v>
      </c>
      <c r="CT208" s="475">
        <f t="shared" si="190"/>
        <v>0</v>
      </c>
      <c r="CU208" s="475">
        <f t="shared" si="191"/>
        <v>22</v>
      </c>
      <c r="CV208" s="475">
        <f t="shared" si="192"/>
        <v>22</v>
      </c>
      <c r="CW208" s="475">
        <f t="shared" si="209"/>
        <v>0</v>
      </c>
      <c r="CX208" s="573">
        <f t="shared" si="217"/>
        <v>0</v>
      </c>
      <c r="CY208" s="475">
        <f t="shared" ref="CY208:CY249" si="219">IF(I208=0,CY209,BJ208)</f>
        <v>22</v>
      </c>
      <c r="CZ208" s="475">
        <f t="shared" si="218"/>
        <v>22</v>
      </c>
      <c r="DA208" s="475">
        <v>-6</v>
      </c>
      <c r="DB208" s="475"/>
      <c r="DC208" s="410"/>
    </row>
    <row r="209" spans="1:107" s="619" customFormat="1" ht="12" hidden="1" customHeight="1" outlineLevel="1">
      <c r="A209" s="752">
        <v>-5</v>
      </c>
      <c r="B209" s="573">
        <v>6.8452380952380958</v>
      </c>
      <c r="C209" s="475">
        <v>1.9860822634035527</v>
      </c>
      <c r="D209" s="741">
        <v>0.78565217391304343</v>
      </c>
      <c r="E209" s="491">
        <f t="shared" si="132"/>
        <v>0.10119483843071561</v>
      </c>
      <c r="F209" s="438">
        <f t="shared" si="133"/>
        <v>0</v>
      </c>
      <c r="G209" s="438"/>
      <c r="H209" s="475">
        <f t="shared" si="134"/>
        <v>27</v>
      </c>
      <c r="I209" s="473">
        <f t="shared" si="135"/>
        <v>13.850000000000001</v>
      </c>
      <c r="J209" s="473">
        <f t="shared" si="136"/>
        <v>13.850000000000001</v>
      </c>
      <c r="K209" s="491">
        <f t="shared" si="137"/>
        <v>0.65</v>
      </c>
      <c r="L209" s="473">
        <f t="shared" si="193"/>
        <v>13.850000000000001</v>
      </c>
      <c r="M209" s="473">
        <f t="shared" si="138"/>
        <v>1.9860822634035527</v>
      </c>
      <c r="N209" s="473">
        <f>(EnthalpieA(L209,M209,#REF!)*$F$35)+((1-$F$35)*EnthalpieA(BU209,BW209,#REF!))</f>
        <v>18.952646855317866</v>
      </c>
      <c r="O209" s="473">
        <f>(EnthalpieA(L209,M209,#REF!)*$F$34)+((1-$F$34)*EnthalpieA(BU209,BW209,#REF!))</f>
        <v>18.952646855317866</v>
      </c>
      <c r="P209" s="734">
        <f>1-IF(EnthalpieA(L209,M209,#REF!)=S209,$F$35,(S209-EnthalpieA(BU209,BW209,#REF!))/((EnthalpieA(L209,M209,#REF!)-EnthalpieA(BU209,BW209,#REF!))))</f>
        <v>0</v>
      </c>
      <c r="Q209" s="473">
        <f t="shared" si="211"/>
        <v>13.850000000000001</v>
      </c>
      <c r="R209" s="475">
        <f t="shared" si="212"/>
        <v>1.9860822634035527</v>
      </c>
      <c r="S209" s="473">
        <f t="shared" si="213"/>
        <v>18.952646855317866</v>
      </c>
      <c r="T209" s="473">
        <f t="shared" si="139"/>
        <v>13.850000000000001</v>
      </c>
      <c r="U209" s="473">
        <f t="shared" si="140"/>
        <v>13.850000000000001</v>
      </c>
      <c r="V209" s="491">
        <f t="shared" si="141"/>
        <v>0</v>
      </c>
      <c r="W209" s="475">
        <f t="shared" si="194"/>
        <v>13.850000000000001</v>
      </c>
      <c r="X209" s="475">
        <f t="shared" si="195"/>
        <v>1.9860822634035527</v>
      </c>
      <c r="Y209" s="735">
        <f t="shared" si="142"/>
        <v>18.952646855317866</v>
      </c>
      <c r="Z209" s="475">
        <f t="shared" si="196"/>
        <v>9</v>
      </c>
      <c r="AA209" s="475">
        <f>IF($F$36=$D$36,MIN(AbsFeuchte(Z209,100%,$N$19),R209),MIN(AbsFeuchte(Z209,100%,$N$19),X209))</f>
        <v>1.9860822634035527</v>
      </c>
      <c r="AB209" s="735">
        <f t="shared" si="143"/>
        <v>14.055630407219702</v>
      </c>
      <c r="AC209" s="475">
        <f t="shared" si="197"/>
        <v>9</v>
      </c>
      <c r="AD209" s="475">
        <v>0</v>
      </c>
      <c r="AE209" s="735">
        <f t="shared" si="144"/>
        <v>9.0540000000000003</v>
      </c>
      <c r="AF209" s="735">
        <f t="shared" si="198"/>
        <v>9</v>
      </c>
      <c r="AG209" s="735">
        <f t="shared" si="145"/>
        <v>9.9999999999999992E+22</v>
      </c>
      <c r="AH209" s="475">
        <f t="shared" si="146"/>
        <v>13.850000000000001</v>
      </c>
      <c r="AI209" s="475">
        <f t="shared" si="199"/>
        <v>1.9860822634035529</v>
      </c>
      <c r="AJ209" s="735">
        <f t="shared" si="147"/>
        <v>18.95264685531787</v>
      </c>
      <c r="AK209" s="475">
        <f t="shared" si="148"/>
        <v>13.850000000000001</v>
      </c>
      <c r="AL209" s="475">
        <f t="shared" si="200"/>
        <v>1.9860822634035527</v>
      </c>
      <c r="AM209" s="735">
        <f t="shared" si="149"/>
        <v>18.952646855317866</v>
      </c>
      <c r="AN209" s="475">
        <f t="shared" si="214"/>
        <v>22.000000000000004</v>
      </c>
      <c r="AO209" s="475">
        <f t="shared" si="150"/>
        <v>1.9860822634035527</v>
      </c>
      <c r="AP209" s="735">
        <f t="shared" si="201"/>
        <v>27.181653876348804</v>
      </c>
      <c r="AQ209" s="475" t="e">
        <f t="shared" ca="1" si="151"/>
        <v>#NAME?</v>
      </c>
      <c r="AR209" s="475">
        <f t="shared" si="202"/>
        <v>1.9860822634035529</v>
      </c>
      <c r="AS209" s="735" t="e">
        <f t="shared" ca="1" si="152"/>
        <v>#VALUE!</v>
      </c>
      <c r="AT209" s="475">
        <f t="shared" si="203"/>
        <v>22</v>
      </c>
      <c r="AU209" s="475">
        <f t="shared" si="153"/>
        <v>1.9860822634035527</v>
      </c>
      <c r="AV209" s="735">
        <f t="shared" si="154"/>
        <v>27.181653876348804</v>
      </c>
      <c r="AW209" s="529">
        <f t="shared" si="155"/>
        <v>1</v>
      </c>
      <c r="AX209" s="735">
        <f t="shared" si="204"/>
        <v>1</v>
      </c>
      <c r="AY209" s="735">
        <f t="shared" si="156"/>
        <v>0</v>
      </c>
      <c r="AZ209" s="735">
        <f t="shared" si="205"/>
        <v>1</v>
      </c>
      <c r="BA209" s="735">
        <f t="shared" si="206"/>
        <v>0</v>
      </c>
      <c r="BB209" s="735">
        <f>IF($F$36=$D$36,IF(AW209=1,Fall1Tzul(AX209,AY209,BJ209,Q209),0),IF(AW209=1,Fall1Tzul(AX209,AY209,BJ209,W209),0))</f>
        <v>22</v>
      </c>
      <c r="BC209" s="735">
        <f>IF($F$36=$D$36,IF(AW209=1,Fall1xzul(AX209,AY209,BL209,R209),0),IF(AW209=1,Fall1xzul(AX209,AY209,BL209,X209),0))</f>
        <v>1.9860822634035527</v>
      </c>
      <c r="BD209" s="735">
        <f>IF($F$36=$D$36,IF(AW209=2,Fall2Tzul(AX209, AZ209, BJ209,Q209, Z209),0),IF(AW209=2,Fall2Tzul(AX209, AZ209, BJ209,W209, Z209),0))</f>
        <v>0</v>
      </c>
      <c r="BE209" s="735">
        <f>IF($F$36=$D$36,IF(AW209=2,Fall2xzul(AX209,AZ209,BL209,R209,AA209),0),IF(AW209=2,Fall2xzul(AX209,AZ209,BL209,X209,AA209),0))</f>
        <v>0</v>
      </c>
      <c r="BF209" s="735">
        <f t="shared" si="157"/>
        <v>0</v>
      </c>
      <c r="BG209" s="735">
        <f t="shared" si="158"/>
        <v>0</v>
      </c>
      <c r="BH209" s="735">
        <f t="shared" si="159"/>
        <v>0</v>
      </c>
      <c r="BI209" s="735">
        <f t="shared" si="160"/>
        <v>0</v>
      </c>
      <c r="BJ209" s="473">
        <f t="shared" si="161"/>
        <v>22</v>
      </c>
      <c r="BK209" s="491">
        <f t="shared" si="162"/>
        <v>0.11421780721028188</v>
      </c>
      <c r="BL209" s="475">
        <f>AbsFeuchte(BJ209,BK209,$N$19)</f>
        <v>1.9860822634035529</v>
      </c>
      <c r="BM209" s="735">
        <f t="shared" si="163"/>
        <v>27.181653876348804</v>
      </c>
      <c r="BN209" s="473">
        <f t="shared" si="207"/>
        <v>22</v>
      </c>
      <c r="BO209" s="491">
        <f t="shared" si="164"/>
        <v>0.11421780721028187</v>
      </c>
      <c r="BP209" s="475">
        <f t="shared" si="208"/>
        <v>1.9860822634035527</v>
      </c>
      <c r="BQ209" s="735">
        <f t="shared" si="165"/>
        <v>27.181653876348804</v>
      </c>
      <c r="BR209" s="473">
        <f t="shared" si="166"/>
        <v>24</v>
      </c>
      <c r="BS209" s="491">
        <f t="shared" si="167"/>
        <v>0.10119483843071561</v>
      </c>
      <c r="BT209" s="475">
        <f>AbsFeuchte(BR209,BS209,$N$19)</f>
        <v>1.9860822634035529</v>
      </c>
      <c r="BU209" s="576">
        <f>IF($J$21=0,IF(E$13=$S$10,BR209+$N$18,BR209),IF(E$13=$S$10,BR209+$N$18+#REF!,BR209+$J$21))</f>
        <v>24</v>
      </c>
      <c r="BV209" s="491">
        <f t="shared" si="168"/>
        <v>0.10119483843071563</v>
      </c>
      <c r="BW209" s="726">
        <f t="shared" si="169"/>
        <v>1.9860822634035529</v>
      </c>
      <c r="BX209" s="475">
        <f t="shared" si="215"/>
        <v>0</v>
      </c>
      <c r="BY209" s="475">
        <f t="shared" si="216"/>
        <v>8.2290070210309381</v>
      </c>
      <c r="BZ209" s="475">
        <f t="shared" si="170"/>
        <v>0</v>
      </c>
      <c r="CA209" s="475">
        <f t="shared" si="171"/>
        <v>0</v>
      </c>
      <c r="CB209" s="475">
        <f t="shared" si="172"/>
        <v>0</v>
      </c>
      <c r="CC209" s="475">
        <f t="shared" si="173"/>
        <v>8.2290070210309381</v>
      </c>
      <c r="CD209" s="475">
        <f t="shared" si="174"/>
        <v>0</v>
      </c>
      <c r="CE209" s="621">
        <f t="shared" si="175"/>
        <v>0</v>
      </c>
      <c r="CF209" s="621">
        <f t="shared" si="176"/>
        <v>0</v>
      </c>
      <c r="CG209" s="621">
        <f t="shared" si="177"/>
        <v>0</v>
      </c>
      <c r="CH209" s="573">
        <f t="shared" si="178"/>
        <v>0</v>
      </c>
      <c r="CI209" s="621">
        <f t="shared" si="179"/>
        <v>0</v>
      </c>
      <c r="CJ209" s="621">
        <f t="shared" si="180"/>
        <v>0</v>
      </c>
      <c r="CK209" s="621">
        <f t="shared" si="181"/>
        <v>0</v>
      </c>
      <c r="CL209" s="737">
        <f t="shared" si="182"/>
        <v>0</v>
      </c>
      <c r="CM209" s="738">
        <f t="shared" si="183"/>
        <v>0</v>
      </c>
      <c r="CN209" s="475">
        <f t="shared" si="184"/>
        <v>0.11421780721028188</v>
      </c>
      <c r="CO209" s="475">
        <f t="shared" si="185"/>
        <v>0.11421780721028187</v>
      </c>
      <c r="CP209" s="475">
        <f t="shared" si="186"/>
        <v>13.850000000000001</v>
      </c>
      <c r="CQ209" s="475">
        <f t="shared" si="187"/>
        <v>13.850000000000001</v>
      </c>
      <c r="CR209" s="475">
        <f t="shared" si="188"/>
        <v>8.2290070210309381</v>
      </c>
      <c r="CS209" s="475">
        <f t="shared" si="189"/>
        <v>0</v>
      </c>
      <c r="CT209" s="475">
        <f t="shared" si="190"/>
        <v>0</v>
      </c>
      <c r="CU209" s="475">
        <f t="shared" si="191"/>
        <v>22</v>
      </c>
      <c r="CV209" s="475">
        <f t="shared" si="192"/>
        <v>22</v>
      </c>
      <c r="CW209" s="475">
        <f t="shared" si="209"/>
        <v>0</v>
      </c>
      <c r="CX209" s="573">
        <f t="shared" si="217"/>
        <v>0</v>
      </c>
      <c r="CY209" s="475">
        <f t="shared" si="219"/>
        <v>22</v>
      </c>
      <c r="CZ209" s="475">
        <f t="shared" si="218"/>
        <v>22</v>
      </c>
      <c r="DA209" s="475">
        <v>-5</v>
      </c>
      <c r="DB209" s="475"/>
      <c r="DC209" s="410"/>
    </row>
    <row r="210" spans="1:107" s="619" customFormat="1" ht="12" hidden="1" customHeight="1" outlineLevel="1">
      <c r="A210" s="752">
        <v>-4</v>
      </c>
      <c r="B210" s="573">
        <v>13.988095238095239</v>
      </c>
      <c r="C210" s="475">
        <v>2.1382013054571596</v>
      </c>
      <c r="D210" s="741">
        <v>0.77617021276595755</v>
      </c>
      <c r="E210" s="491">
        <f t="shared" si="132"/>
        <v>0.10891905300727012</v>
      </c>
      <c r="F210" s="438">
        <f t="shared" si="133"/>
        <v>0</v>
      </c>
      <c r="G210" s="438"/>
      <c r="H210" s="475">
        <f t="shared" si="134"/>
        <v>26</v>
      </c>
      <c r="I210" s="473">
        <f t="shared" si="135"/>
        <v>14.2</v>
      </c>
      <c r="J210" s="473">
        <f t="shared" si="136"/>
        <v>14.2</v>
      </c>
      <c r="K210" s="491">
        <f t="shared" si="137"/>
        <v>0.65</v>
      </c>
      <c r="L210" s="473">
        <f t="shared" si="193"/>
        <v>14.2</v>
      </c>
      <c r="M210" s="473">
        <f t="shared" si="138"/>
        <v>2.1382013054571596</v>
      </c>
      <c r="N210" s="473">
        <f>(EnthalpieA(L210,M210,E257)*$F$35)+((1-$F$35)*EnthalpieA(BU210,BW210,E257))</f>
        <v>19.690598558611363</v>
      </c>
      <c r="O210" s="473">
        <f>(EnthalpieA(L210,M210,E257)*$F$34)+((1-$F$34)*EnthalpieA(BU210,BW210,E257))</f>
        <v>19.690598558611363</v>
      </c>
      <c r="P210" s="734">
        <f>1-IF(EnthalpieA(L210,M210,E257)=S210,$F$35,(S210-EnthalpieA(BU210,BW210,E257))/((EnthalpieA(L210,M210,E257)-EnthalpieA(BU210,BW210,E257))))</f>
        <v>0</v>
      </c>
      <c r="Q210" s="473">
        <f t="shared" si="211"/>
        <v>14.2</v>
      </c>
      <c r="R210" s="475">
        <f t="shared" si="212"/>
        <v>2.1382013054571596</v>
      </c>
      <c r="S210" s="473">
        <f t="shared" si="213"/>
        <v>19.690598558611363</v>
      </c>
      <c r="T210" s="473">
        <f t="shared" si="139"/>
        <v>14.2</v>
      </c>
      <c r="U210" s="473">
        <f t="shared" si="140"/>
        <v>14.2</v>
      </c>
      <c r="V210" s="491">
        <f t="shared" si="141"/>
        <v>0</v>
      </c>
      <c r="W210" s="475">
        <f t="shared" si="194"/>
        <v>14.2</v>
      </c>
      <c r="X210" s="475">
        <f t="shared" si="195"/>
        <v>2.1382013054571596</v>
      </c>
      <c r="Y210" s="735">
        <f t="shared" si="142"/>
        <v>19.690598558611363</v>
      </c>
      <c r="Z210" s="475">
        <f t="shared" si="196"/>
        <v>9</v>
      </c>
      <c r="AA210" s="475">
        <f>IF($F$36=$D$36,MIN(AbsFeuchte(Z210,100%,$N$19),R210),MIN(AbsFeuchte(Z210,100%,$N$19),X210))</f>
        <v>2.1382013054571596</v>
      </c>
      <c r="AB210" s="735">
        <f t="shared" si="143"/>
        <v>14.438717875584985</v>
      </c>
      <c r="AC210" s="475">
        <f t="shared" si="197"/>
        <v>9</v>
      </c>
      <c r="AD210" s="475">
        <v>0</v>
      </c>
      <c r="AE210" s="735">
        <f t="shared" si="144"/>
        <v>9.0540000000000003</v>
      </c>
      <c r="AF210" s="735">
        <f t="shared" si="198"/>
        <v>9</v>
      </c>
      <c r="AG210" s="735">
        <f t="shared" si="145"/>
        <v>9.9999999999999992E+22</v>
      </c>
      <c r="AH210" s="475">
        <f t="shared" si="146"/>
        <v>14.2</v>
      </c>
      <c r="AI210" s="475">
        <f t="shared" si="199"/>
        <v>2.1382013054571596</v>
      </c>
      <c r="AJ210" s="735">
        <f t="shared" si="147"/>
        <v>19.690598558611363</v>
      </c>
      <c r="AK210" s="475">
        <f t="shared" si="148"/>
        <v>14.2</v>
      </c>
      <c r="AL210" s="475">
        <f t="shared" si="200"/>
        <v>2.1382013054571596</v>
      </c>
      <c r="AM210" s="735">
        <f t="shared" si="149"/>
        <v>19.690598558611363</v>
      </c>
      <c r="AN210" s="475">
        <f t="shared" si="214"/>
        <v>22.000000000000004</v>
      </c>
      <c r="AO210" s="475">
        <f t="shared" si="150"/>
        <v>2.1382013054571596</v>
      </c>
      <c r="AP210" s="735">
        <f t="shared" si="201"/>
        <v>27.568419583150941</v>
      </c>
      <c r="AQ210" s="475" t="e">
        <f t="shared" ca="1" si="151"/>
        <v>#NAME?</v>
      </c>
      <c r="AR210" s="475">
        <f t="shared" si="202"/>
        <v>2.1382013054571596</v>
      </c>
      <c r="AS210" s="735" t="e">
        <f t="shared" ca="1" si="152"/>
        <v>#VALUE!</v>
      </c>
      <c r="AT210" s="475">
        <f t="shared" si="203"/>
        <v>22</v>
      </c>
      <c r="AU210" s="475">
        <f t="shared" si="153"/>
        <v>2.1382013054571596</v>
      </c>
      <c r="AV210" s="735">
        <f t="shared" si="154"/>
        <v>27.568419583150941</v>
      </c>
      <c r="AW210" s="529">
        <f t="shared" si="155"/>
        <v>1</v>
      </c>
      <c r="AX210" s="735">
        <f t="shared" si="204"/>
        <v>1</v>
      </c>
      <c r="AY210" s="735">
        <f t="shared" si="156"/>
        <v>0</v>
      </c>
      <c r="AZ210" s="735">
        <f t="shared" si="205"/>
        <v>1</v>
      </c>
      <c r="BA210" s="735">
        <f t="shared" si="206"/>
        <v>0</v>
      </c>
      <c r="BB210" s="735">
        <f>IF($F$36=$D$36,IF(AW210=1,Fall1Tzul(AX210,AY210,BJ210,Q210),0),IF(AW210=1,Fall1Tzul(AX210,AY210,BJ210,W210),0))</f>
        <v>22</v>
      </c>
      <c r="BC210" s="735">
        <f>IF($F$36=$D$36,IF(AW210=1,Fall1xzul(AX210,AY210,BL210,R210),0),IF(AW210=1,Fall1xzul(AX210,AY210,BL210,X210),0))</f>
        <v>2.1382013054571596</v>
      </c>
      <c r="BD210" s="735">
        <f>IF($F$36=$D$36,IF(AW210=2,Fall2Tzul(AX210, AZ210, BJ210,Q210, Z210),0),IF(AW210=2,Fall2Tzul(AX210, AZ210, BJ210,W210, Z210),0))</f>
        <v>0</v>
      </c>
      <c r="BE210" s="735">
        <f>IF($F$36=$D$36,IF(AW210=2,Fall2xzul(AX210,AZ210,BL210,R210,AA210),0),IF(AW210=2,Fall2xzul(AX210,AZ210,BL210,X210,AA210),0))</f>
        <v>0</v>
      </c>
      <c r="BF210" s="735">
        <f t="shared" si="157"/>
        <v>0</v>
      </c>
      <c r="BG210" s="735">
        <f t="shared" si="158"/>
        <v>0</v>
      </c>
      <c r="BH210" s="735">
        <f t="shared" si="159"/>
        <v>0</v>
      </c>
      <c r="BI210" s="735">
        <f t="shared" si="160"/>
        <v>0</v>
      </c>
      <c r="BJ210" s="473">
        <f t="shared" si="161"/>
        <v>22</v>
      </c>
      <c r="BK210" s="491">
        <f t="shared" si="162"/>
        <v>0.1229360666100416</v>
      </c>
      <c r="BL210" s="475">
        <f>AbsFeuchte(BJ210,BK210,$N$19)</f>
        <v>2.1382013054571596</v>
      </c>
      <c r="BM210" s="735">
        <f t="shared" si="163"/>
        <v>27.568419583150941</v>
      </c>
      <c r="BN210" s="473">
        <f t="shared" si="207"/>
        <v>22</v>
      </c>
      <c r="BO210" s="491">
        <f t="shared" si="164"/>
        <v>0.1229360666100416</v>
      </c>
      <c r="BP210" s="475">
        <f t="shared" si="208"/>
        <v>2.1382013054571596</v>
      </c>
      <c r="BQ210" s="735">
        <f t="shared" si="165"/>
        <v>27.568419583150941</v>
      </c>
      <c r="BR210" s="473">
        <f t="shared" si="166"/>
        <v>24</v>
      </c>
      <c r="BS210" s="491">
        <f t="shared" si="167"/>
        <v>0.10891905300727012</v>
      </c>
      <c r="BT210" s="475">
        <f>AbsFeuchte(BR210,BS210,$N$19)</f>
        <v>2.1382013054571596</v>
      </c>
      <c r="BU210" s="576">
        <f>IF($J$21=0,IF(E$13=$S$10,BR210+$N$18,BR210),IF(E$13=$S$10,BR210+$N$18+#REF!,BR210+$J$21))</f>
        <v>24</v>
      </c>
      <c r="BV210" s="491">
        <f t="shared" si="168"/>
        <v>0.10891905300727012</v>
      </c>
      <c r="BW210" s="726">
        <f t="shared" si="169"/>
        <v>2.1382013054571596</v>
      </c>
      <c r="BX210" s="475">
        <f t="shared" si="215"/>
        <v>0</v>
      </c>
      <c r="BY210" s="475">
        <f t="shared" si="216"/>
        <v>7.8778210245395783</v>
      </c>
      <c r="BZ210" s="475">
        <f t="shared" si="170"/>
        <v>0</v>
      </c>
      <c r="CA210" s="475">
        <f t="shared" si="171"/>
        <v>0</v>
      </c>
      <c r="CB210" s="475">
        <f t="shared" si="172"/>
        <v>0</v>
      </c>
      <c r="CC210" s="475">
        <f t="shared" si="173"/>
        <v>7.8778210245395783</v>
      </c>
      <c r="CD210" s="475">
        <f t="shared" si="174"/>
        <v>0</v>
      </c>
      <c r="CE210" s="621">
        <f t="shared" si="175"/>
        <v>0</v>
      </c>
      <c r="CF210" s="621">
        <f t="shared" si="176"/>
        <v>0</v>
      </c>
      <c r="CG210" s="621">
        <f t="shared" si="177"/>
        <v>0</v>
      </c>
      <c r="CH210" s="573">
        <f t="shared" si="178"/>
        <v>0</v>
      </c>
      <c r="CI210" s="621">
        <f t="shared" si="179"/>
        <v>0</v>
      </c>
      <c r="CJ210" s="621">
        <f t="shared" si="180"/>
        <v>0</v>
      </c>
      <c r="CK210" s="621">
        <f t="shared" si="181"/>
        <v>0</v>
      </c>
      <c r="CL210" s="737">
        <f t="shared" si="182"/>
        <v>0</v>
      </c>
      <c r="CM210" s="738">
        <f t="shared" si="183"/>
        <v>0</v>
      </c>
      <c r="CN210" s="475">
        <f t="shared" si="184"/>
        <v>0.1229360666100416</v>
      </c>
      <c r="CO210" s="475">
        <f t="shared" si="185"/>
        <v>0.1229360666100416</v>
      </c>
      <c r="CP210" s="475">
        <f t="shared" si="186"/>
        <v>14.2</v>
      </c>
      <c r="CQ210" s="475">
        <f t="shared" si="187"/>
        <v>14.2</v>
      </c>
      <c r="CR210" s="475">
        <f t="shared" si="188"/>
        <v>7.8778210245395783</v>
      </c>
      <c r="CS210" s="475">
        <f t="shared" si="189"/>
        <v>0</v>
      </c>
      <c r="CT210" s="475">
        <f t="shared" si="190"/>
        <v>0</v>
      </c>
      <c r="CU210" s="475">
        <f t="shared" si="191"/>
        <v>22</v>
      </c>
      <c r="CV210" s="475">
        <f t="shared" si="192"/>
        <v>22</v>
      </c>
      <c r="CW210" s="475">
        <f t="shared" si="209"/>
        <v>0</v>
      </c>
      <c r="CX210" s="573">
        <f t="shared" si="217"/>
        <v>0</v>
      </c>
      <c r="CY210" s="475">
        <f t="shared" si="219"/>
        <v>22</v>
      </c>
      <c r="CZ210" s="475">
        <f t="shared" si="218"/>
        <v>22</v>
      </c>
      <c r="DA210" s="475">
        <v>-4</v>
      </c>
      <c r="DB210" s="475"/>
      <c r="DC210" s="410"/>
    </row>
    <row r="211" spans="1:107" s="619" customFormat="1" ht="12" hidden="1" customHeight="1" outlineLevel="1">
      <c r="A211" s="752">
        <v>-3</v>
      </c>
      <c r="B211" s="573">
        <v>22.321428571428573</v>
      </c>
      <c r="C211" s="475">
        <v>2.4517924748762114</v>
      </c>
      <c r="D211" s="741">
        <v>0.81706666666666661</v>
      </c>
      <c r="E211" s="491">
        <f t="shared" si="132"/>
        <v>0.12483053234327107</v>
      </c>
      <c r="F211" s="438">
        <f t="shared" si="133"/>
        <v>0</v>
      </c>
      <c r="G211" s="438"/>
      <c r="H211" s="475">
        <f t="shared" si="134"/>
        <v>25</v>
      </c>
      <c r="I211" s="473">
        <f t="shared" si="135"/>
        <v>14.55</v>
      </c>
      <c r="J211" s="473">
        <f t="shared" si="136"/>
        <v>14.55</v>
      </c>
      <c r="K211" s="491">
        <f t="shared" si="137"/>
        <v>0.65</v>
      </c>
      <c r="L211" s="473">
        <f t="shared" si="193"/>
        <v>14.55</v>
      </c>
      <c r="M211" s="473">
        <f t="shared" si="138"/>
        <v>2.4517924748762114</v>
      </c>
      <c r="N211" s="473">
        <f>(EnthalpieA(L211,M211,E258)*$F$35)+((1-$F$35)*EnthalpieA(BU211,BW211,E258))</f>
        <v>20.837056914897907</v>
      </c>
      <c r="O211" s="473">
        <f>(EnthalpieA(L211,M211,E258)*$F$34)+((1-$F$34)*EnthalpieA(BU211,BW211,E258))</f>
        <v>20.837056914897907</v>
      </c>
      <c r="P211" s="734">
        <f>1-IF(EnthalpieA(L211,M211,E258)=S211,$F$35,(S211-EnthalpieA(BU211,BW211,E258))/((EnthalpieA(L211,M211,E258)-EnthalpieA(BU211,BW211,E258))))</f>
        <v>0</v>
      </c>
      <c r="Q211" s="473">
        <f t="shared" si="211"/>
        <v>14.55</v>
      </c>
      <c r="R211" s="475">
        <f t="shared" si="212"/>
        <v>2.4517924748762114</v>
      </c>
      <c r="S211" s="473">
        <f t="shared" si="213"/>
        <v>20.837056914897907</v>
      </c>
      <c r="T211" s="473">
        <f t="shared" si="139"/>
        <v>14.55</v>
      </c>
      <c r="U211" s="473">
        <f t="shared" si="140"/>
        <v>14.55</v>
      </c>
      <c r="V211" s="491">
        <f t="shared" si="141"/>
        <v>0</v>
      </c>
      <c r="W211" s="475">
        <f t="shared" si="194"/>
        <v>14.55</v>
      </c>
      <c r="X211" s="475">
        <f t="shared" si="195"/>
        <v>2.4517924748762114</v>
      </c>
      <c r="Y211" s="735">
        <f t="shared" si="142"/>
        <v>20.837056914897907</v>
      </c>
      <c r="Z211" s="475">
        <f t="shared" si="196"/>
        <v>9</v>
      </c>
      <c r="AA211" s="475">
        <f>IF($F$36=$D$36,MIN(AbsFeuchte(Z211,100%,$N$19),R211),MIN(AbsFeuchte(Z211,100%,$N$19),X211))</f>
        <v>2.4517924748762114</v>
      </c>
      <c r="AB211" s="735">
        <f t="shared" si="143"/>
        <v>15.228447061179757</v>
      </c>
      <c r="AC211" s="475">
        <f t="shared" si="197"/>
        <v>9</v>
      </c>
      <c r="AD211" s="475">
        <v>0</v>
      </c>
      <c r="AE211" s="735">
        <f t="shared" si="144"/>
        <v>9.0540000000000003</v>
      </c>
      <c r="AF211" s="735">
        <f t="shared" si="198"/>
        <v>9</v>
      </c>
      <c r="AG211" s="735">
        <f t="shared" si="145"/>
        <v>9.9999999999999992E+22</v>
      </c>
      <c r="AH211" s="475">
        <f t="shared" si="146"/>
        <v>14.55</v>
      </c>
      <c r="AI211" s="475">
        <f t="shared" si="199"/>
        <v>2.4517924748762105</v>
      </c>
      <c r="AJ211" s="735">
        <f t="shared" si="147"/>
        <v>20.837056914897904</v>
      </c>
      <c r="AK211" s="475">
        <f t="shared" si="148"/>
        <v>14.55</v>
      </c>
      <c r="AL211" s="475">
        <f t="shared" si="200"/>
        <v>2.4517924748762114</v>
      </c>
      <c r="AM211" s="735">
        <f t="shared" si="149"/>
        <v>20.837056914897907</v>
      </c>
      <c r="AN211" s="475">
        <f t="shared" si="214"/>
        <v>21.999999999999996</v>
      </c>
      <c r="AO211" s="475">
        <f t="shared" si="150"/>
        <v>2.4517924748762114</v>
      </c>
      <c r="AP211" s="735">
        <f t="shared" si="201"/>
        <v>28.365731403222263</v>
      </c>
      <c r="AQ211" s="475" t="e">
        <f t="shared" ca="1" si="151"/>
        <v>#NAME?</v>
      </c>
      <c r="AR211" s="475">
        <f t="shared" si="202"/>
        <v>2.4517924748762105</v>
      </c>
      <c r="AS211" s="735" t="e">
        <f t="shared" ca="1" si="152"/>
        <v>#VALUE!</v>
      </c>
      <c r="AT211" s="475">
        <f t="shared" si="203"/>
        <v>22</v>
      </c>
      <c r="AU211" s="475">
        <f t="shared" si="153"/>
        <v>2.4517924748762114</v>
      </c>
      <c r="AV211" s="735">
        <f t="shared" si="154"/>
        <v>28.365731403222266</v>
      </c>
      <c r="AW211" s="529">
        <f t="shared" si="155"/>
        <v>1</v>
      </c>
      <c r="AX211" s="735">
        <f t="shared" si="204"/>
        <v>1</v>
      </c>
      <c r="AY211" s="735">
        <f t="shared" si="156"/>
        <v>0</v>
      </c>
      <c r="AZ211" s="735">
        <f t="shared" si="205"/>
        <v>1</v>
      </c>
      <c r="BA211" s="735">
        <f t="shared" si="206"/>
        <v>0</v>
      </c>
      <c r="BB211" s="735">
        <f>IF($F$36=$D$36,IF(AW211=1,Fall1Tzul(AX211,AY211,BJ211,Q211),0),IF(AW211=1,Fall1Tzul(AX211,AY211,BJ211,W211),0))</f>
        <v>22</v>
      </c>
      <c r="BC211" s="735">
        <f>IF($F$36=$D$36,IF(AW211=1,Fall1xzul(AX211,AY211,BL211,R211),0),IF(AW211=1,Fall1xzul(AX211,AY211,BL211,X211),0))</f>
        <v>2.4517924748762114</v>
      </c>
      <c r="BD211" s="735">
        <f>IF($F$36=$D$36,IF(AW211=2,Fall2Tzul(AX211, AZ211, BJ211,Q211, Z211),0),IF(AW211=2,Fall2Tzul(AX211, AZ211, BJ211,W211, Z211),0))</f>
        <v>0</v>
      </c>
      <c r="BE211" s="735">
        <f>IF($F$36=$D$36,IF(AW211=2,Fall2xzul(AX211,AZ211,BL211,R211,AA211),0),IF(AW211=2,Fall2xzul(AX211,AZ211,BL211,X211,AA211),0))</f>
        <v>0</v>
      </c>
      <c r="BF211" s="735">
        <f t="shared" si="157"/>
        <v>0</v>
      </c>
      <c r="BG211" s="735">
        <f t="shared" si="158"/>
        <v>0</v>
      </c>
      <c r="BH211" s="735">
        <f t="shared" si="159"/>
        <v>0</v>
      </c>
      <c r="BI211" s="735">
        <f t="shared" si="160"/>
        <v>0</v>
      </c>
      <c r="BJ211" s="473">
        <f t="shared" si="161"/>
        <v>22</v>
      </c>
      <c r="BK211" s="491">
        <f t="shared" si="162"/>
        <v>0.14089522645863434</v>
      </c>
      <c r="BL211" s="475">
        <f>AbsFeuchte(BJ211,BK211,$N$19)</f>
        <v>2.4517924748762105</v>
      </c>
      <c r="BM211" s="735">
        <f t="shared" si="163"/>
        <v>28.365731403222263</v>
      </c>
      <c r="BN211" s="473">
        <f t="shared" si="207"/>
        <v>22</v>
      </c>
      <c r="BO211" s="491">
        <f t="shared" si="164"/>
        <v>0.14089522645863434</v>
      </c>
      <c r="BP211" s="475">
        <f t="shared" si="208"/>
        <v>2.4517924748762114</v>
      </c>
      <c r="BQ211" s="735">
        <f t="shared" si="165"/>
        <v>28.365731403222266</v>
      </c>
      <c r="BR211" s="473">
        <f t="shared" si="166"/>
        <v>24</v>
      </c>
      <c r="BS211" s="491">
        <f t="shared" si="167"/>
        <v>0.12483053234327107</v>
      </c>
      <c r="BT211" s="475">
        <f>AbsFeuchte(BR211,BS211,$N$19)</f>
        <v>2.451792474876211</v>
      </c>
      <c r="BU211" s="576">
        <f>IF($J$21=0,IF(E$13=$S$10,BR211+$N$18,BR211),IF(E$13=$S$10,BR211+$N$18+#REF!,BR211+$J$21))</f>
        <v>24</v>
      </c>
      <c r="BV211" s="491">
        <f t="shared" si="168"/>
        <v>0.12483053234327107</v>
      </c>
      <c r="BW211" s="726">
        <f t="shared" si="169"/>
        <v>2.451792474876211</v>
      </c>
      <c r="BX211" s="475">
        <f t="shared" si="215"/>
        <v>0</v>
      </c>
      <c r="BY211" s="475">
        <f t="shared" si="216"/>
        <v>7.5286744883243593</v>
      </c>
      <c r="BZ211" s="475">
        <f t="shared" si="170"/>
        <v>0</v>
      </c>
      <c r="CA211" s="475">
        <f t="shared" si="171"/>
        <v>0</v>
      </c>
      <c r="CB211" s="475">
        <f t="shared" si="172"/>
        <v>0</v>
      </c>
      <c r="CC211" s="475">
        <f t="shared" si="173"/>
        <v>7.5286744883243593</v>
      </c>
      <c r="CD211" s="475">
        <f t="shared" si="174"/>
        <v>0</v>
      </c>
      <c r="CE211" s="621">
        <f t="shared" si="175"/>
        <v>0</v>
      </c>
      <c r="CF211" s="621">
        <f t="shared" si="176"/>
        <v>0</v>
      </c>
      <c r="CG211" s="621">
        <f t="shared" si="177"/>
        <v>0</v>
      </c>
      <c r="CH211" s="573">
        <f t="shared" si="178"/>
        <v>0</v>
      </c>
      <c r="CI211" s="621">
        <f t="shared" si="179"/>
        <v>0</v>
      </c>
      <c r="CJ211" s="621">
        <f t="shared" si="180"/>
        <v>0</v>
      </c>
      <c r="CK211" s="621">
        <f t="shared" si="181"/>
        <v>0</v>
      </c>
      <c r="CL211" s="737">
        <f t="shared" si="182"/>
        <v>0</v>
      </c>
      <c r="CM211" s="738">
        <f t="shared" si="183"/>
        <v>0</v>
      </c>
      <c r="CN211" s="475">
        <f t="shared" si="184"/>
        <v>0.14089522645863434</v>
      </c>
      <c r="CO211" s="475">
        <f t="shared" si="185"/>
        <v>0.14089522645863434</v>
      </c>
      <c r="CP211" s="475">
        <f t="shared" si="186"/>
        <v>14.55</v>
      </c>
      <c r="CQ211" s="475">
        <f t="shared" si="187"/>
        <v>14.55</v>
      </c>
      <c r="CR211" s="475">
        <f t="shared" si="188"/>
        <v>7.5286744883243593</v>
      </c>
      <c r="CS211" s="475">
        <f t="shared" si="189"/>
        <v>0</v>
      </c>
      <c r="CT211" s="475">
        <f t="shared" si="190"/>
        <v>0</v>
      </c>
      <c r="CU211" s="475">
        <f t="shared" si="191"/>
        <v>22</v>
      </c>
      <c r="CV211" s="475">
        <f t="shared" si="192"/>
        <v>22</v>
      </c>
      <c r="CW211" s="475">
        <f t="shared" si="209"/>
        <v>0</v>
      </c>
      <c r="CX211" s="573">
        <f t="shared" si="217"/>
        <v>0</v>
      </c>
      <c r="CY211" s="475">
        <f t="shared" si="219"/>
        <v>22</v>
      </c>
      <c r="CZ211" s="475">
        <f t="shared" si="218"/>
        <v>22</v>
      </c>
      <c r="DA211" s="475">
        <v>-3</v>
      </c>
      <c r="DB211" s="475"/>
      <c r="DC211" s="410"/>
    </row>
    <row r="212" spans="1:107" s="619" customFormat="1" ht="12" hidden="1" customHeight="1" outlineLevel="1">
      <c r="A212" s="752">
        <v>-2</v>
      </c>
      <c r="B212" s="573">
        <v>35.714285714285715</v>
      </c>
      <c r="C212" s="475">
        <v>2.6223100922099292</v>
      </c>
      <c r="D212" s="741">
        <v>0.80308333333333337</v>
      </c>
      <c r="E212" s="491">
        <f t="shared" si="132"/>
        <v>0.13347581631032837</v>
      </c>
      <c r="F212" s="438">
        <f t="shared" si="133"/>
        <v>0</v>
      </c>
      <c r="G212" s="438"/>
      <c r="H212" s="475">
        <f t="shared" si="134"/>
        <v>24</v>
      </c>
      <c r="I212" s="473">
        <f t="shared" si="135"/>
        <v>14.900000000000002</v>
      </c>
      <c r="J212" s="473">
        <f t="shared" si="136"/>
        <v>14.900000000000002</v>
      </c>
      <c r="K212" s="491">
        <f t="shared" si="137"/>
        <v>0.65000000000000013</v>
      </c>
      <c r="L212" s="473">
        <f t="shared" si="193"/>
        <v>14.900000000000002</v>
      </c>
      <c r="M212" s="473">
        <f t="shared" si="138"/>
        <v>2.6223100922099292</v>
      </c>
      <c r="N212" s="473">
        <f>(EnthalpieA(L212,M212,#REF!)*$F$35)+((1-$F$35)*EnthalpieA(BU212,BW212,#REF!))</f>
        <v>21.622045628567864</v>
      </c>
      <c r="O212" s="473">
        <f>(EnthalpieA(L212,M212,#REF!)*$F$34)+((1-$F$34)*EnthalpieA(BU212,BW212,#REF!))</f>
        <v>21.622045628567864</v>
      </c>
      <c r="P212" s="734">
        <f>1-IF(EnthalpieA(L212,M212,#REF!)=S212,$F$35,(S212-EnthalpieA(BU212,BW212,#REF!))/((EnthalpieA(L212,M212,#REF!)-EnthalpieA(BU212,BW212,#REF!))))</f>
        <v>0</v>
      </c>
      <c r="Q212" s="473">
        <f t="shared" si="211"/>
        <v>14.900000000000002</v>
      </c>
      <c r="R212" s="475">
        <f t="shared" si="212"/>
        <v>2.6223100922099292</v>
      </c>
      <c r="S212" s="473">
        <f t="shared" si="213"/>
        <v>21.622045628567864</v>
      </c>
      <c r="T212" s="473">
        <f t="shared" si="139"/>
        <v>14.900000000000002</v>
      </c>
      <c r="U212" s="473">
        <f t="shared" si="140"/>
        <v>14.900000000000002</v>
      </c>
      <c r="V212" s="491">
        <f t="shared" si="141"/>
        <v>0</v>
      </c>
      <c r="W212" s="475">
        <f t="shared" si="194"/>
        <v>14.900000000000002</v>
      </c>
      <c r="X212" s="475">
        <f t="shared" si="195"/>
        <v>2.6223100922099292</v>
      </c>
      <c r="Y212" s="735">
        <f t="shared" si="142"/>
        <v>21.622045628567864</v>
      </c>
      <c r="Z212" s="475">
        <f t="shared" si="196"/>
        <v>9</v>
      </c>
      <c r="AA212" s="475">
        <f>IF($F$36=$D$36,MIN(AbsFeuchte(Z212,100%,$N$19),R212),MIN(AbsFeuchte(Z212,100%,$N$19),X212))</f>
        <v>2.6223100922099292</v>
      </c>
      <c r="AB212" s="735">
        <f t="shared" si="143"/>
        <v>15.657868397615953</v>
      </c>
      <c r="AC212" s="475">
        <f t="shared" si="197"/>
        <v>9</v>
      </c>
      <c r="AD212" s="475">
        <v>0</v>
      </c>
      <c r="AE212" s="735">
        <f t="shared" si="144"/>
        <v>9.0540000000000003</v>
      </c>
      <c r="AF212" s="735">
        <f t="shared" si="198"/>
        <v>9</v>
      </c>
      <c r="AG212" s="735">
        <f t="shared" si="145"/>
        <v>9.9999999999999992E+22</v>
      </c>
      <c r="AH212" s="475">
        <f t="shared" si="146"/>
        <v>14.900000000000002</v>
      </c>
      <c r="AI212" s="475">
        <f t="shared" si="199"/>
        <v>2.6223100922099287</v>
      </c>
      <c r="AJ212" s="735">
        <f t="shared" si="147"/>
        <v>21.622045628567864</v>
      </c>
      <c r="AK212" s="475">
        <f t="shared" si="148"/>
        <v>14.900000000000002</v>
      </c>
      <c r="AL212" s="475">
        <f t="shared" si="200"/>
        <v>2.6223100922099292</v>
      </c>
      <c r="AM212" s="735">
        <f t="shared" si="149"/>
        <v>21.622045628567864</v>
      </c>
      <c r="AN212" s="475">
        <f t="shared" si="214"/>
        <v>22.000000000000004</v>
      </c>
      <c r="AO212" s="475">
        <f t="shared" si="150"/>
        <v>2.6223100922099292</v>
      </c>
      <c r="AP212" s="735">
        <f t="shared" si="201"/>
        <v>28.79927585564559</v>
      </c>
      <c r="AQ212" s="475" t="e">
        <f t="shared" ca="1" si="151"/>
        <v>#NAME?</v>
      </c>
      <c r="AR212" s="475">
        <f t="shared" si="202"/>
        <v>2.6223100922099287</v>
      </c>
      <c r="AS212" s="735" t="e">
        <f t="shared" ca="1" si="152"/>
        <v>#VALUE!</v>
      </c>
      <c r="AT212" s="475">
        <f t="shared" si="203"/>
        <v>22</v>
      </c>
      <c r="AU212" s="475">
        <f t="shared" si="153"/>
        <v>2.6223100922099292</v>
      </c>
      <c r="AV212" s="735">
        <f t="shared" si="154"/>
        <v>28.79927585564559</v>
      </c>
      <c r="AW212" s="529">
        <f t="shared" si="155"/>
        <v>1</v>
      </c>
      <c r="AX212" s="735">
        <f t="shared" si="204"/>
        <v>1</v>
      </c>
      <c r="AY212" s="735">
        <f t="shared" si="156"/>
        <v>0</v>
      </c>
      <c r="AZ212" s="735">
        <f t="shared" si="205"/>
        <v>1</v>
      </c>
      <c r="BA212" s="735">
        <f t="shared" si="206"/>
        <v>0</v>
      </c>
      <c r="BB212" s="735">
        <f>IF($F$36=$D$36,IF(AW212=1,Fall1Tzul(AX212,AY212,BJ212,Q212),0),IF(AW212=1,Fall1Tzul(AX212,AY212,BJ212,W212),0))</f>
        <v>22</v>
      </c>
      <c r="BC212" s="735">
        <f>IF($F$36=$D$36,IF(AW212=1,Fall1xzul(AX212,AY212,BL212,R212),0),IF(AW212=1,Fall1xzul(AX212,AY212,BL212,X212),0))</f>
        <v>2.6223100922099292</v>
      </c>
      <c r="BD212" s="735">
        <f>IF($F$36=$D$36,IF(AW212=2,Fall2Tzul(AX212, AZ212, BJ212,Q212, Z212),0),IF(AW212=2,Fall2Tzul(AX212, AZ212, BJ212,W212, Z212),0))</f>
        <v>0</v>
      </c>
      <c r="BE212" s="735">
        <f>IF($F$36=$D$36,IF(AW212=2,Fall2xzul(AX212,AZ212,BL212,R212,AA212),0),IF(AW212=2,Fall2xzul(AX212,AZ212,BL212,X212,AA212),0))</f>
        <v>0</v>
      </c>
      <c r="BF212" s="735">
        <f t="shared" si="157"/>
        <v>0</v>
      </c>
      <c r="BG212" s="735">
        <f t="shared" si="158"/>
        <v>0</v>
      </c>
      <c r="BH212" s="735">
        <f t="shared" si="159"/>
        <v>0</v>
      </c>
      <c r="BI212" s="735">
        <f t="shared" si="160"/>
        <v>0</v>
      </c>
      <c r="BJ212" s="473">
        <f t="shared" si="161"/>
        <v>22</v>
      </c>
      <c r="BK212" s="491">
        <f t="shared" si="162"/>
        <v>0.15065308953485793</v>
      </c>
      <c r="BL212" s="475">
        <f>AbsFeuchte(BJ212,BK212,$N$19)</f>
        <v>2.6223100922099287</v>
      </c>
      <c r="BM212" s="735">
        <f t="shared" si="163"/>
        <v>28.79927585564559</v>
      </c>
      <c r="BN212" s="473">
        <f t="shared" si="207"/>
        <v>22</v>
      </c>
      <c r="BO212" s="491">
        <f t="shared" si="164"/>
        <v>0.15065308953485793</v>
      </c>
      <c r="BP212" s="475">
        <f t="shared" si="208"/>
        <v>2.6223100922099292</v>
      </c>
      <c r="BQ212" s="735">
        <f t="shared" si="165"/>
        <v>28.79927585564559</v>
      </c>
      <c r="BR212" s="473">
        <f t="shared" si="166"/>
        <v>24</v>
      </c>
      <c r="BS212" s="491">
        <f t="shared" si="167"/>
        <v>0.13347581631032837</v>
      </c>
      <c r="BT212" s="475">
        <f>AbsFeuchte(BR212,BS212,$N$19)</f>
        <v>2.6223100922099292</v>
      </c>
      <c r="BU212" s="576">
        <f>IF($J$21=0,IF(E$13=$S$10,BR212+$N$18,BR212),IF(E$13=$S$10,BR212+$N$18+#REF!,BR212+$J$21))</f>
        <v>24</v>
      </c>
      <c r="BV212" s="491">
        <f t="shared" si="168"/>
        <v>0.13347581631032837</v>
      </c>
      <c r="BW212" s="726">
        <f t="shared" si="169"/>
        <v>2.6223100922099292</v>
      </c>
      <c r="BX212" s="475">
        <f t="shared" si="215"/>
        <v>0</v>
      </c>
      <c r="BY212" s="475">
        <f t="shared" si="216"/>
        <v>7.1772302270777253</v>
      </c>
      <c r="BZ212" s="475">
        <f t="shared" si="170"/>
        <v>0</v>
      </c>
      <c r="CA212" s="475">
        <f t="shared" si="171"/>
        <v>0</v>
      </c>
      <c r="CB212" s="475">
        <f t="shared" si="172"/>
        <v>0</v>
      </c>
      <c r="CC212" s="475">
        <f t="shared" si="173"/>
        <v>7.1772302270777253</v>
      </c>
      <c r="CD212" s="475">
        <f t="shared" si="174"/>
        <v>0</v>
      </c>
      <c r="CE212" s="621">
        <f t="shared" si="175"/>
        <v>0</v>
      </c>
      <c r="CF212" s="621">
        <f t="shared" si="176"/>
        <v>0</v>
      </c>
      <c r="CG212" s="621">
        <f t="shared" si="177"/>
        <v>0</v>
      </c>
      <c r="CH212" s="573">
        <f t="shared" si="178"/>
        <v>0</v>
      </c>
      <c r="CI212" s="621">
        <f t="shared" si="179"/>
        <v>0</v>
      </c>
      <c r="CJ212" s="621">
        <f t="shared" si="180"/>
        <v>0</v>
      </c>
      <c r="CK212" s="621">
        <f t="shared" si="181"/>
        <v>0</v>
      </c>
      <c r="CL212" s="737">
        <f t="shared" si="182"/>
        <v>0</v>
      </c>
      <c r="CM212" s="738">
        <f t="shared" si="183"/>
        <v>0</v>
      </c>
      <c r="CN212" s="475">
        <f t="shared" si="184"/>
        <v>0.15065308953485793</v>
      </c>
      <c r="CO212" s="475">
        <f t="shared" si="185"/>
        <v>0.15065308953485793</v>
      </c>
      <c r="CP212" s="475">
        <f t="shared" si="186"/>
        <v>14.900000000000002</v>
      </c>
      <c r="CQ212" s="475">
        <f t="shared" si="187"/>
        <v>14.900000000000002</v>
      </c>
      <c r="CR212" s="475">
        <f t="shared" si="188"/>
        <v>7.1772302270777253</v>
      </c>
      <c r="CS212" s="475">
        <f t="shared" si="189"/>
        <v>0</v>
      </c>
      <c r="CT212" s="475">
        <f t="shared" si="190"/>
        <v>0</v>
      </c>
      <c r="CU212" s="475">
        <f t="shared" si="191"/>
        <v>22</v>
      </c>
      <c r="CV212" s="475">
        <f t="shared" si="192"/>
        <v>22</v>
      </c>
      <c r="CW212" s="475">
        <f t="shared" si="209"/>
        <v>0</v>
      </c>
      <c r="CX212" s="573">
        <f t="shared" si="217"/>
        <v>0</v>
      </c>
      <c r="CY212" s="475">
        <f t="shared" si="219"/>
        <v>22</v>
      </c>
      <c r="CZ212" s="475">
        <f t="shared" si="218"/>
        <v>22</v>
      </c>
      <c r="DA212" s="475">
        <v>-2</v>
      </c>
      <c r="DB212" s="475"/>
      <c r="DC212" s="410"/>
    </row>
    <row r="213" spans="1:107" s="619" customFormat="1" ht="12" hidden="1" customHeight="1" outlineLevel="1">
      <c r="A213" s="752">
        <v>-1</v>
      </c>
      <c r="B213" s="573">
        <v>61.30952380952381</v>
      </c>
      <c r="C213" s="475">
        <v>2.9859387272805167</v>
      </c>
      <c r="D213" s="741">
        <v>0.84082524271844661</v>
      </c>
      <c r="E213" s="491">
        <f t="shared" si="132"/>
        <v>0.15189611860944838</v>
      </c>
      <c r="F213" s="438">
        <f t="shared" si="133"/>
        <v>0</v>
      </c>
      <c r="G213" s="438"/>
      <c r="H213" s="475">
        <f t="shared" si="134"/>
        <v>23</v>
      </c>
      <c r="I213" s="473">
        <f t="shared" si="135"/>
        <v>15.25</v>
      </c>
      <c r="J213" s="473">
        <f t="shared" si="136"/>
        <v>15.25</v>
      </c>
      <c r="K213" s="491">
        <f t="shared" si="137"/>
        <v>0.65</v>
      </c>
      <c r="L213" s="473">
        <f t="shared" si="193"/>
        <v>15.25</v>
      </c>
      <c r="M213" s="473">
        <f t="shared" si="138"/>
        <v>2.9859387272805167</v>
      </c>
      <c r="N213" s="473">
        <f>(EnthalpieA(L213,M213,E259)*$F$35)+((1-$F$35)*EnthalpieA(BU213,BW213,E259))</f>
        <v>22.895820472164253</v>
      </c>
      <c r="O213" s="473">
        <f>(EnthalpieA(L213,M213,E259)*$F$34)+((1-$F$34)*EnthalpieA(BU213,BW213,E259))</f>
        <v>22.895820472164253</v>
      </c>
      <c r="P213" s="734">
        <f>1-IF(EnthalpieA(L213,M213,E259)=S213,$F$35,(S213-EnthalpieA(BU213,BW213,E259))/((EnthalpieA(L213,M213,E259)-EnthalpieA(BU213,BW213,E259))))</f>
        <v>0</v>
      </c>
      <c r="Q213" s="473">
        <f t="shared" si="211"/>
        <v>15.25</v>
      </c>
      <c r="R213" s="475">
        <f t="shared" si="212"/>
        <v>2.9859387272805167</v>
      </c>
      <c r="S213" s="473">
        <f t="shared" si="213"/>
        <v>22.895820472164253</v>
      </c>
      <c r="T213" s="473">
        <f t="shared" si="139"/>
        <v>15.25</v>
      </c>
      <c r="U213" s="473">
        <f t="shared" si="140"/>
        <v>15.25</v>
      </c>
      <c r="V213" s="491">
        <f t="shared" si="141"/>
        <v>0</v>
      </c>
      <c r="W213" s="475">
        <f t="shared" si="194"/>
        <v>15.25</v>
      </c>
      <c r="X213" s="475">
        <f t="shared" si="195"/>
        <v>2.9859387272805167</v>
      </c>
      <c r="Y213" s="735">
        <f t="shared" si="142"/>
        <v>22.895820472164253</v>
      </c>
      <c r="Z213" s="475">
        <f t="shared" si="196"/>
        <v>9</v>
      </c>
      <c r="AA213" s="475">
        <f>IF($F$36=$D$36,MIN(AbsFeuchte(Z213,100%,$N$19),R213),MIN(AbsFeuchte(Z213,100%,$N$19),X213))</f>
        <v>2.9859387272805167</v>
      </c>
      <c r="AB213" s="735">
        <f t="shared" si="143"/>
        <v>16.573608934459614</v>
      </c>
      <c r="AC213" s="475">
        <f t="shared" si="197"/>
        <v>9</v>
      </c>
      <c r="AD213" s="475">
        <v>0</v>
      </c>
      <c r="AE213" s="735">
        <f t="shared" si="144"/>
        <v>9.0540000000000003</v>
      </c>
      <c r="AF213" s="735">
        <f t="shared" si="198"/>
        <v>9</v>
      </c>
      <c r="AG213" s="735">
        <f t="shared" si="145"/>
        <v>9.9999999999999992E+22</v>
      </c>
      <c r="AH213" s="475">
        <f t="shared" si="146"/>
        <v>15.25</v>
      </c>
      <c r="AI213" s="475">
        <f t="shared" si="199"/>
        <v>2.9859387272805162</v>
      </c>
      <c r="AJ213" s="735">
        <f t="shared" si="147"/>
        <v>22.89582047216425</v>
      </c>
      <c r="AK213" s="475">
        <f t="shared" si="148"/>
        <v>15.25</v>
      </c>
      <c r="AL213" s="475">
        <f t="shared" si="200"/>
        <v>2.9859387272805167</v>
      </c>
      <c r="AM213" s="735">
        <f t="shared" si="149"/>
        <v>22.895820472164253</v>
      </c>
      <c r="AN213" s="475">
        <f t="shared" si="214"/>
        <v>22</v>
      </c>
      <c r="AO213" s="475">
        <f t="shared" si="150"/>
        <v>2.9859387272805167</v>
      </c>
      <c r="AP213" s="735">
        <f t="shared" si="201"/>
        <v>29.723808932885259</v>
      </c>
      <c r="AQ213" s="475" t="e">
        <f t="shared" ca="1" si="151"/>
        <v>#NAME?</v>
      </c>
      <c r="AR213" s="475">
        <f t="shared" si="202"/>
        <v>2.9859387272805162</v>
      </c>
      <c r="AS213" s="735" t="e">
        <f t="shared" ca="1" si="152"/>
        <v>#VALUE!</v>
      </c>
      <c r="AT213" s="475">
        <f t="shared" si="203"/>
        <v>22</v>
      </c>
      <c r="AU213" s="475">
        <f t="shared" si="153"/>
        <v>2.9859387272805167</v>
      </c>
      <c r="AV213" s="735">
        <f t="shared" si="154"/>
        <v>29.723808932885262</v>
      </c>
      <c r="AW213" s="529">
        <f t="shared" si="155"/>
        <v>1</v>
      </c>
      <c r="AX213" s="735">
        <f t="shared" si="204"/>
        <v>1</v>
      </c>
      <c r="AY213" s="735">
        <f t="shared" si="156"/>
        <v>0</v>
      </c>
      <c r="AZ213" s="735">
        <f t="shared" si="205"/>
        <v>1</v>
      </c>
      <c r="BA213" s="735">
        <f t="shared" si="206"/>
        <v>0</v>
      </c>
      <c r="BB213" s="735">
        <f>IF($F$36=$D$36,IF(AW213=1,Fall1Tzul(AX213,AY213,BJ213,Q213),0),IF(AW213=1,Fall1Tzul(AX213,AY213,BJ213,W213),0))</f>
        <v>22</v>
      </c>
      <c r="BC213" s="735">
        <f>IF($F$36=$D$36,IF(AW213=1,Fall1xzul(AX213,AY213,BL213,R213),0),IF(AW213=1,Fall1xzul(AX213,AY213,BL213,X213),0))</f>
        <v>2.9859387272805167</v>
      </c>
      <c r="BD213" s="735">
        <f>IF($F$36=$D$36,IF(AW213=2,Fall2Tzul(AX213, AZ213, BJ213,Q213, Z213),0),IF(AW213=2,Fall2Tzul(AX213, AZ213, BJ213,W213, Z213),0))</f>
        <v>0</v>
      </c>
      <c r="BE213" s="735">
        <f>IF($F$36=$D$36,IF(AW213=2,Fall2xzul(AX213,AZ213,BL213,R213,AA213),0),IF(AW213=2,Fall2xzul(AX213,AZ213,BL213,X213,AA213),0))</f>
        <v>0</v>
      </c>
      <c r="BF213" s="735">
        <f t="shared" si="157"/>
        <v>0</v>
      </c>
      <c r="BG213" s="735">
        <f t="shared" si="158"/>
        <v>0</v>
      </c>
      <c r="BH213" s="735">
        <f t="shared" si="159"/>
        <v>0</v>
      </c>
      <c r="BI213" s="735">
        <f t="shared" si="160"/>
        <v>0</v>
      </c>
      <c r="BJ213" s="473">
        <f t="shared" si="161"/>
        <v>22</v>
      </c>
      <c r="BK213" s="491">
        <f t="shared" si="162"/>
        <v>0.17144393785659801</v>
      </c>
      <c r="BL213" s="475">
        <f>AbsFeuchte(BJ213,BK213,$N$19)</f>
        <v>2.9859387272805162</v>
      </c>
      <c r="BM213" s="735">
        <f t="shared" si="163"/>
        <v>29.723808932885259</v>
      </c>
      <c r="BN213" s="473">
        <f t="shared" si="207"/>
        <v>22</v>
      </c>
      <c r="BO213" s="491">
        <f t="shared" si="164"/>
        <v>0.17144393785659803</v>
      </c>
      <c r="BP213" s="475">
        <f t="shared" si="208"/>
        <v>2.9859387272805167</v>
      </c>
      <c r="BQ213" s="735">
        <f t="shared" si="165"/>
        <v>29.723808932885262</v>
      </c>
      <c r="BR213" s="473">
        <f t="shared" si="166"/>
        <v>24</v>
      </c>
      <c r="BS213" s="491">
        <f t="shared" si="167"/>
        <v>0.15189611860944838</v>
      </c>
      <c r="BT213" s="475">
        <f>AbsFeuchte(BR213,BS213,$N$19)</f>
        <v>2.9859387272805162</v>
      </c>
      <c r="BU213" s="576">
        <f>IF($J$21=0,IF(E$13=$S$10,BR213+$N$18,BR213),IF(E$13=$S$10,BR213+$N$18+#REF!,BR213+$J$21))</f>
        <v>24</v>
      </c>
      <c r="BV213" s="491">
        <f t="shared" si="168"/>
        <v>0.15189611860944835</v>
      </c>
      <c r="BW213" s="726">
        <f t="shared" si="169"/>
        <v>2.9859387272805162</v>
      </c>
      <c r="BX213" s="475">
        <f t="shared" si="215"/>
        <v>0</v>
      </c>
      <c r="BY213" s="475">
        <f t="shared" si="216"/>
        <v>6.8279884607210093</v>
      </c>
      <c r="BZ213" s="475">
        <f t="shared" si="170"/>
        <v>0</v>
      </c>
      <c r="CA213" s="475">
        <f t="shared" si="171"/>
        <v>0</v>
      </c>
      <c r="CB213" s="475">
        <f t="shared" si="172"/>
        <v>0</v>
      </c>
      <c r="CC213" s="475">
        <f t="shared" si="173"/>
        <v>6.8279884607210093</v>
      </c>
      <c r="CD213" s="475">
        <f t="shared" si="174"/>
        <v>0</v>
      </c>
      <c r="CE213" s="621">
        <f t="shared" si="175"/>
        <v>0</v>
      </c>
      <c r="CF213" s="621">
        <f t="shared" si="176"/>
        <v>0</v>
      </c>
      <c r="CG213" s="621">
        <f t="shared" si="177"/>
        <v>0</v>
      </c>
      <c r="CH213" s="573">
        <f t="shared" si="178"/>
        <v>0</v>
      </c>
      <c r="CI213" s="621">
        <f t="shared" si="179"/>
        <v>0</v>
      </c>
      <c r="CJ213" s="621">
        <f t="shared" si="180"/>
        <v>0</v>
      </c>
      <c r="CK213" s="621">
        <f t="shared" si="181"/>
        <v>0</v>
      </c>
      <c r="CL213" s="737">
        <f t="shared" si="182"/>
        <v>0</v>
      </c>
      <c r="CM213" s="738">
        <f t="shared" si="183"/>
        <v>0</v>
      </c>
      <c r="CN213" s="475">
        <f t="shared" si="184"/>
        <v>0.17144393785659801</v>
      </c>
      <c r="CO213" s="475">
        <f t="shared" si="185"/>
        <v>0.17144393785659803</v>
      </c>
      <c r="CP213" s="475">
        <f t="shared" si="186"/>
        <v>15.25</v>
      </c>
      <c r="CQ213" s="475">
        <f t="shared" si="187"/>
        <v>15.25</v>
      </c>
      <c r="CR213" s="475">
        <f t="shared" si="188"/>
        <v>6.8279884607210093</v>
      </c>
      <c r="CS213" s="475">
        <f t="shared" si="189"/>
        <v>0</v>
      </c>
      <c r="CT213" s="475">
        <f t="shared" si="190"/>
        <v>0</v>
      </c>
      <c r="CU213" s="475">
        <f t="shared" si="191"/>
        <v>22</v>
      </c>
      <c r="CV213" s="475">
        <f t="shared" si="192"/>
        <v>22</v>
      </c>
      <c r="CW213" s="475">
        <f t="shared" si="209"/>
        <v>0</v>
      </c>
      <c r="CX213" s="573">
        <f t="shared" si="217"/>
        <v>0</v>
      </c>
      <c r="CY213" s="475">
        <f t="shared" si="219"/>
        <v>22</v>
      </c>
      <c r="CZ213" s="475">
        <f t="shared" si="218"/>
        <v>22</v>
      </c>
      <c r="DA213" s="475">
        <v>-1</v>
      </c>
      <c r="DB213" s="475"/>
      <c r="DC213" s="410"/>
    </row>
    <row r="214" spans="1:107" s="619" customFormat="1" ht="12" hidden="1" customHeight="1" outlineLevel="1">
      <c r="A214" s="752">
        <v>0</v>
      </c>
      <c r="B214" s="573">
        <v>69.642857142857139</v>
      </c>
      <c r="C214" s="475">
        <v>3.1923725821974682</v>
      </c>
      <c r="D214" s="741">
        <v>0.82760683760683762</v>
      </c>
      <c r="E214" s="491">
        <f t="shared" si="132"/>
        <v>0.16234388422922438</v>
      </c>
      <c r="F214" s="438">
        <f t="shared" si="133"/>
        <v>0</v>
      </c>
      <c r="G214" s="438"/>
      <c r="H214" s="475">
        <f t="shared" si="134"/>
        <v>22</v>
      </c>
      <c r="I214" s="473">
        <f t="shared" si="135"/>
        <v>15.600000000000001</v>
      </c>
      <c r="J214" s="473">
        <f t="shared" si="136"/>
        <v>15.600000000000001</v>
      </c>
      <c r="K214" s="491">
        <f t="shared" si="137"/>
        <v>0.65</v>
      </c>
      <c r="L214" s="473">
        <f t="shared" si="193"/>
        <v>15.600000000000001</v>
      </c>
      <c r="M214" s="473">
        <f t="shared" si="138"/>
        <v>3.1923725821974682</v>
      </c>
      <c r="N214" s="473">
        <f>(EnthalpieA(L214,M214,#REF!)*$F$35)+((1-$F$35)*EnthalpieA(BU214,BW214,#REF!))</f>
        <v>23.772269134470228</v>
      </c>
      <c r="O214" s="473">
        <f>(EnthalpieA(L214,M214,#REF!)*$F$34)+((1-$F$34)*EnthalpieA(BU214,BW214,#REF!))</f>
        <v>23.772269134470228</v>
      </c>
      <c r="P214" s="734">
        <f>1-IF(EnthalpieA(L214,M214,#REF!)=S214,$F$35,(S214-EnthalpieA(BU214,BW214,#REF!))/((EnthalpieA(L214,M214,#REF!)-EnthalpieA(BU214,BW214,#REF!))))</f>
        <v>0</v>
      </c>
      <c r="Q214" s="473">
        <f t="shared" si="211"/>
        <v>15.600000000000001</v>
      </c>
      <c r="R214" s="475">
        <f t="shared" si="212"/>
        <v>3.1923725821974682</v>
      </c>
      <c r="S214" s="473">
        <f t="shared" si="213"/>
        <v>23.772269134470228</v>
      </c>
      <c r="T214" s="473">
        <f t="shared" si="139"/>
        <v>15.600000000000001</v>
      </c>
      <c r="U214" s="473">
        <f t="shared" si="140"/>
        <v>15.600000000000001</v>
      </c>
      <c r="V214" s="491">
        <f t="shared" si="141"/>
        <v>0</v>
      </c>
      <c r="W214" s="475">
        <f t="shared" si="194"/>
        <v>15.600000000000001</v>
      </c>
      <c r="X214" s="475">
        <f t="shared" si="195"/>
        <v>3.1923725821974682</v>
      </c>
      <c r="Y214" s="735">
        <f t="shared" si="142"/>
        <v>23.772269134470228</v>
      </c>
      <c r="Z214" s="475">
        <f t="shared" si="196"/>
        <v>9</v>
      </c>
      <c r="AA214" s="475">
        <f>IF($F$36=$D$36,MIN(AbsFeuchte(Z214,100%,$N$19),R214),MIN(AbsFeuchte(Z214,100%,$N$19),X214))</f>
        <v>3.1923725821974682</v>
      </c>
      <c r="AB214" s="735">
        <f t="shared" si="143"/>
        <v>17.093479568651169</v>
      </c>
      <c r="AC214" s="475">
        <f t="shared" si="197"/>
        <v>9</v>
      </c>
      <c r="AD214" s="475">
        <v>0</v>
      </c>
      <c r="AE214" s="735">
        <f t="shared" si="144"/>
        <v>9.0540000000000003</v>
      </c>
      <c r="AF214" s="735">
        <f t="shared" si="198"/>
        <v>9</v>
      </c>
      <c r="AG214" s="735">
        <f t="shared" si="145"/>
        <v>9.9999999999999992E+22</v>
      </c>
      <c r="AH214" s="475">
        <f t="shared" si="146"/>
        <v>15.600000000000001</v>
      </c>
      <c r="AI214" s="475">
        <f t="shared" si="199"/>
        <v>3.1923725821974673</v>
      </c>
      <c r="AJ214" s="735">
        <f t="shared" si="147"/>
        <v>23.772269134470228</v>
      </c>
      <c r="AK214" s="475">
        <f t="shared" si="148"/>
        <v>15.600000000000001</v>
      </c>
      <c r="AL214" s="475">
        <f t="shared" si="200"/>
        <v>3.1923725821974682</v>
      </c>
      <c r="AM214" s="735">
        <f t="shared" si="149"/>
        <v>23.772269134470228</v>
      </c>
      <c r="AN214" s="475">
        <f t="shared" si="214"/>
        <v>22</v>
      </c>
      <c r="AO214" s="475">
        <f t="shared" si="150"/>
        <v>3.1923725821974682</v>
      </c>
      <c r="AP214" s="735">
        <f t="shared" si="201"/>
        <v>30.248671137688707</v>
      </c>
      <c r="AQ214" s="475" t="e">
        <f t="shared" ca="1" si="151"/>
        <v>#NAME?</v>
      </c>
      <c r="AR214" s="475">
        <f t="shared" si="202"/>
        <v>3.1923725821974673</v>
      </c>
      <c r="AS214" s="735" t="e">
        <f t="shared" ca="1" si="152"/>
        <v>#VALUE!</v>
      </c>
      <c r="AT214" s="475">
        <f t="shared" si="203"/>
        <v>22</v>
      </c>
      <c r="AU214" s="475">
        <f t="shared" si="153"/>
        <v>3.1923725821974682</v>
      </c>
      <c r="AV214" s="735">
        <f t="shared" si="154"/>
        <v>30.24867113768871</v>
      </c>
      <c r="AW214" s="529">
        <f t="shared" si="155"/>
        <v>1</v>
      </c>
      <c r="AX214" s="735">
        <f t="shared" si="204"/>
        <v>1</v>
      </c>
      <c r="AY214" s="735">
        <f t="shared" si="156"/>
        <v>0</v>
      </c>
      <c r="AZ214" s="735">
        <f t="shared" si="205"/>
        <v>1</v>
      </c>
      <c r="BA214" s="735">
        <f t="shared" si="206"/>
        <v>0</v>
      </c>
      <c r="BB214" s="735">
        <f>IF($F$36=$D$36,IF(AW214=1,Fall1Tzul(AX214,AY214,BJ214,Q214),0),IF(AW214=1,Fall1Tzul(AX214,AY214,BJ214,W214),0))</f>
        <v>22</v>
      </c>
      <c r="BC214" s="735">
        <f>IF($F$36=$D$36,IF(AW214=1,Fall1xzul(AX214,AY214,BL214,R214),0),IF(AW214=1,Fall1xzul(AX214,AY214,BL214,X214),0))</f>
        <v>3.1923725821974682</v>
      </c>
      <c r="BD214" s="735">
        <f>IF($F$36=$D$36,IF(AW214=2,Fall2Tzul(AX214, AZ214, BJ214,Q214, Z214),0),IF(AW214=2,Fall2Tzul(AX214, AZ214, BJ214,W214, Z214),0))</f>
        <v>0</v>
      </c>
      <c r="BE214" s="735">
        <f>IF($F$36=$D$36,IF(AW214=2,Fall2xzul(AX214,AZ214,BL214,R214,AA214),0),IF(AW214=2,Fall2xzul(AX214,AZ214,BL214,X214,AA214),0))</f>
        <v>0</v>
      </c>
      <c r="BF214" s="735">
        <f t="shared" si="157"/>
        <v>0</v>
      </c>
      <c r="BG214" s="735">
        <f t="shared" si="158"/>
        <v>0</v>
      </c>
      <c r="BH214" s="735">
        <f t="shared" si="159"/>
        <v>0</v>
      </c>
      <c r="BI214" s="735">
        <f t="shared" si="160"/>
        <v>0</v>
      </c>
      <c r="BJ214" s="473">
        <f t="shared" si="161"/>
        <v>22</v>
      </c>
      <c r="BK214" s="491">
        <f t="shared" si="162"/>
        <v>0.18323624760127738</v>
      </c>
      <c r="BL214" s="475">
        <f>AbsFeuchte(BJ214,BK214,$N$19)</f>
        <v>3.1923725821974673</v>
      </c>
      <c r="BM214" s="735">
        <f t="shared" si="163"/>
        <v>30.248671137688707</v>
      </c>
      <c r="BN214" s="473">
        <f t="shared" si="207"/>
        <v>22</v>
      </c>
      <c r="BO214" s="491">
        <f t="shared" si="164"/>
        <v>0.18323624760127741</v>
      </c>
      <c r="BP214" s="475">
        <f t="shared" si="208"/>
        <v>3.1923725821974682</v>
      </c>
      <c r="BQ214" s="735">
        <f t="shared" si="165"/>
        <v>30.24867113768871</v>
      </c>
      <c r="BR214" s="473">
        <f t="shared" si="166"/>
        <v>24</v>
      </c>
      <c r="BS214" s="491">
        <f t="shared" si="167"/>
        <v>0.16234388422922438</v>
      </c>
      <c r="BT214" s="475">
        <f>AbsFeuchte(BR214,BS214,$N$19)</f>
        <v>3.1923725821974678</v>
      </c>
      <c r="BU214" s="576">
        <f>IF($J$21=0,IF(E$13=$S$10,BR214+$N$18,BR214),IF(E$13=$S$10,BR214+$N$18+#REF!,BR214+$J$21))</f>
        <v>24</v>
      </c>
      <c r="BV214" s="491">
        <f t="shared" si="168"/>
        <v>0.16234388422922436</v>
      </c>
      <c r="BW214" s="726">
        <f t="shared" si="169"/>
        <v>3.1923725821974678</v>
      </c>
      <c r="BX214" s="475">
        <f t="shared" si="215"/>
        <v>0</v>
      </c>
      <c r="BY214" s="475">
        <f t="shared" si="216"/>
        <v>6.4764020032184817</v>
      </c>
      <c r="BZ214" s="475">
        <f t="shared" si="170"/>
        <v>0</v>
      </c>
      <c r="CA214" s="475">
        <f t="shared" si="171"/>
        <v>0</v>
      </c>
      <c r="CB214" s="475">
        <f t="shared" si="172"/>
        <v>0</v>
      </c>
      <c r="CC214" s="475">
        <f t="shared" si="173"/>
        <v>6.4764020032184817</v>
      </c>
      <c r="CD214" s="475">
        <f t="shared" si="174"/>
        <v>0</v>
      </c>
      <c r="CE214" s="621">
        <f t="shared" si="175"/>
        <v>0</v>
      </c>
      <c r="CF214" s="621">
        <f t="shared" si="176"/>
        <v>0</v>
      </c>
      <c r="CG214" s="621">
        <f t="shared" si="177"/>
        <v>0</v>
      </c>
      <c r="CH214" s="573">
        <f t="shared" si="178"/>
        <v>0</v>
      </c>
      <c r="CI214" s="621">
        <f t="shared" si="179"/>
        <v>0</v>
      </c>
      <c r="CJ214" s="621">
        <f t="shared" si="180"/>
        <v>0</v>
      </c>
      <c r="CK214" s="621">
        <f t="shared" si="181"/>
        <v>0</v>
      </c>
      <c r="CL214" s="737">
        <f t="shared" si="182"/>
        <v>0</v>
      </c>
      <c r="CM214" s="738">
        <f t="shared" si="183"/>
        <v>0</v>
      </c>
      <c r="CN214" s="475">
        <f t="shared" si="184"/>
        <v>0.18323624760127738</v>
      </c>
      <c r="CO214" s="475">
        <f t="shared" si="185"/>
        <v>0.18323624760127741</v>
      </c>
      <c r="CP214" s="475">
        <f t="shared" si="186"/>
        <v>15.600000000000001</v>
      </c>
      <c r="CQ214" s="475">
        <f t="shared" si="187"/>
        <v>15.600000000000001</v>
      </c>
      <c r="CR214" s="475">
        <f t="shared" si="188"/>
        <v>6.4764020032184817</v>
      </c>
      <c r="CS214" s="475">
        <f t="shared" si="189"/>
        <v>0</v>
      </c>
      <c r="CT214" s="475">
        <f t="shared" si="190"/>
        <v>0</v>
      </c>
      <c r="CU214" s="475">
        <f t="shared" si="191"/>
        <v>22</v>
      </c>
      <c r="CV214" s="475">
        <f t="shared" si="192"/>
        <v>22</v>
      </c>
      <c r="CW214" s="475">
        <f t="shared" si="209"/>
        <v>0</v>
      </c>
      <c r="CX214" s="573">
        <f t="shared" si="217"/>
        <v>0</v>
      </c>
      <c r="CY214" s="475">
        <f t="shared" si="219"/>
        <v>22</v>
      </c>
      <c r="CZ214" s="475">
        <f t="shared" si="218"/>
        <v>22</v>
      </c>
      <c r="DA214" s="475">
        <v>0</v>
      </c>
      <c r="DB214" s="475"/>
      <c r="DC214" s="410"/>
    </row>
    <row r="215" spans="1:107" s="619" customFormat="1" ht="12" hidden="1" customHeight="1" outlineLevel="1">
      <c r="A215" s="752">
        <v>1</v>
      </c>
      <c r="B215" s="573">
        <v>89.583333333333343</v>
      </c>
      <c r="C215" s="475">
        <v>3.4806233085415106</v>
      </c>
      <c r="D215" s="741">
        <v>0.83877076411960128</v>
      </c>
      <c r="E215" s="491">
        <f t="shared" si="132"/>
        <v>0.17692092254026773</v>
      </c>
      <c r="F215" s="438">
        <f t="shared" si="133"/>
        <v>0</v>
      </c>
      <c r="G215" s="438"/>
      <c r="H215" s="475">
        <f t="shared" si="134"/>
        <v>21</v>
      </c>
      <c r="I215" s="473">
        <f t="shared" si="135"/>
        <v>15.950000000000001</v>
      </c>
      <c r="J215" s="473">
        <f t="shared" si="136"/>
        <v>15.950000000000001</v>
      </c>
      <c r="K215" s="491">
        <f t="shared" si="137"/>
        <v>0.65</v>
      </c>
      <c r="L215" s="473">
        <f t="shared" si="193"/>
        <v>15.950000000000001</v>
      </c>
      <c r="M215" s="473">
        <f t="shared" si="138"/>
        <v>3.4806233085415106</v>
      </c>
      <c r="N215" s="473">
        <f>(EnthalpieA(L215,M215,#REF!)*$F$35)+((1-$F$35)*EnthalpieA(BU215,BW215,#REF!))</f>
        <v>24.856086920341944</v>
      </c>
      <c r="O215" s="473">
        <f>(EnthalpieA(L215,M215,#REF!)*$F$34)+((1-$F$34)*EnthalpieA(BU215,BW215,#REF!))</f>
        <v>24.856086920341944</v>
      </c>
      <c r="P215" s="734">
        <f>1-IF(EnthalpieA(L215,M215,#REF!)=S215,$F$35,(S215-EnthalpieA(BU215,BW215,#REF!))/((EnthalpieA(L215,M215,#REF!)-EnthalpieA(BU215,BW215,#REF!))))</f>
        <v>0</v>
      </c>
      <c r="Q215" s="473">
        <f t="shared" si="211"/>
        <v>15.950000000000001</v>
      </c>
      <c r="R215" s="475">
        <f t="shared" si="212"/>
        <v>3.4806233085415106</v>
      </c>
      <c r="S215" s="473">
        <f t="shared" si="213"/>
        <v>24.856086920341944</v>
      </c>
      <c r="T215" s="473">
        <f t="shared" si="139"/>
        <v>15.950000000000001</v>
      </c>
      <c r="U215" s="473">
        <f t="shared" si="140"/>
        <v>15.950000000000001</v>
      </c>
      <c r="V215" s="491">
        <f t="shared" si="141"/>
        <v>0</v>
      </c>
      <c r="W215" s="475">
        <f t="shared" si="194"/>
        <v>15.950000000000001</v>
      </c>
      <c r="X215" s="475">
        <f t="shared" si="195"/>
        <v>3.4806233085415106</v>
      </c>
      <c r="Y215" s="735">
        <f t="shared" si="142"/>
        <v>24.856086920341944</v>
      </c>
      <c r="Z215" s="475">
        <f t="shared" si="196"/>
        <v>9</v>
      </c>
      <c r="AA215" s="475">
        <f>IF($F$36=$D$36,MIN(AbsFeuchte(Z215,100%,$N$19),R215),MIN(AbsFeuchte(Z215,100%,$N$19),X215))</f>
        <v>3.4806233085415106</v>
      </c>
      <c r="AB215" s="735">
        <f t="shared" si="143"/>
        <v>17.819392902832426</v>
      </c>
      <c r="AC215" s="475">
        <f t="shared" si="197"/>
        <v>9</v>
      </c>
      <c r="AD215" s="475">
        <v>0</v>
      </c>
      <c r="AE215" s="735">
        <f t="shared" si="144"/>
        <v>9.0540000000000003</v>
      </c>
      <c r="AF215" s="735">
        <f t="shared" si="198"/>
        <v>9</v>
      </c>
      <c r="AG215" s="735">
        <f t="shared" si="145"/>
        <v>9.9999999999999992E+22</v>
      </c>
      <c r="AH215" s="475">
        <f t="shared" si="146"/>
        <v>15.950000000000001</v>
      </c>
      <c r="AI215" s="475">
        <f t="shared" si="199"/>
        <v>3.4806233085415101</v>
      </c>
      <c r="AJ215" s="735">
        <f t="shared" si="147"/>
        <v>24.856086920341944</v>
      </c>
      <c r="AK215" s="475">
        <f t="shared" si="148"/>
        <v>15.950000000000001</v>
      </c>
      <c r="AL215" s="475">
        <f t="shared" si="200"/>
        <v>3.4806233085415106</v>
      </c>
      <c r="AM215" s="735">
        <f t="shared" si="149"/>
        <v>24.856086920341944</v>
      </c>
      <c r="AN215" s="475">
        <f t="shared" si="214"/>
        <v>22.000000000000004</v>
      </c>
      <c r="AO215" s="475">
        <f t="shared" si="150"/>
        <v>3.4806233085415106</v>
      </c>
      <c r="AP215" s="735">
        <f t="shared" si="201"/>
        <v>30.98155437443296</v>
      </c>
      <c r="AQ215" s="475" t="e">
        <f t="shared" ca="1" si="151"/>
        <v>#NAME?</v>
      </c>
      <c r="AR215" s="475">
        <f t="shared" si="202"/>
        <v>3.4806233085415101</v>
      </c>
      <c r="AS215" s="735" t="e">
        <f t="shared" ca="1" si="152"/>
        <v>#VALUE!</v>
      </c>
      <c r="AT215" s="475">
        <f t="shared" si="203"/>
        <v>22</v>
      </c>
      <c r="AU215" s="475">
        <f t="shared" si="153"/>
        <v>3.4806233085415106</v>
      </c>
      <c r="AV215" s="735">
        <f t="shared" si="154"/>
        <v>30.98155437443296</v>
      </c>
      <c r="AW215" s="529">
        <f t="shared" si="155"/>
        <v>1</v>
      </c>
      <c r="AX215" s="735">
        <f t="shared" si="204"/>
        <v>1</v>
      </c>
      <c r="AY215" s="735">
        <f t="shared" si="156"/>
        <v>0</v>
      </c>
      <c r="AZ215" s="735">
        <f t="shared" si="205"/>
        <v>1</v>
      </c>
      <c r="BA215" s="735">
        <f t="shared" si="206"/>
        <v>0</v>
      </c>
      <c r="BB215" s="735">
        <f>IF($F$36=$D$36,IF(AW215=1,Fall1Tzul(AX215,AY215,BJ215,Q215),0),IF(AW215=1,Fall1Tzul(AX215,AY215,BJ215,W215),0))</f>
        <v>22</v>
      </c>
      <c r="BC215" s="735">
        <f>IF($F$36=$D$36,IF(AW215=1,Fall1xzul(AX215,AY215,BL215,R215),0),IF(AW215=1,Fall1xzul(AX215,AY215,BL215,X215),0))</f>
        <v>3.4806233085415106</v>
      </c>
      <c r="BD215" s="735">
        <f>IF($F$36=$D$36,IF(AW215=2,Fall2Tzul(AX215, AZ215, BJ215,Q215, Z215),0),IF(AW215=2,Fall2Tzul(AX215, AZ215, BJ215,W215, Z215),0))</f>
        <v>0</v>
      </c>
      <c r="BE215" s="735">
        <f>IF($F$36=$D$36,IF(AW215=2,Fall2xzul(AX215,AZ215,BL215,R215,AA215),0),IF(AW215=2,Fall2xzul(AX215,AZ215,BL215,X215,AA215),0))</f>
        <v>0</v>
      </c>
      <c r="BF215" s="735">
        <f t="shared" si="157"/>
        <v>0</v>
      </c>
      <c r="BG215" s="735">
        <f t="shared" si="158"/>
        <v>0</v>
      </c>
      <c r="BH215" s="735">
        <f t="shared" si="159"/>
        <v>0</v>
      </c>
      <c r="BI215" s="735">
        <f t="shared" si="160"/>
        <v>0</v>
      </c>
      <c r="BJ215" s="473">
        <f t="shared" si="161"/>
        <v>22</v>
      </c>
      <c r="BK215" s="491">
        <f t="shared" si="162"/>
        <v>0.1996892345058178</v>
      </c>
      <c r="BL215" s="475">
        <f>AbsFeuchte(BJ215,BK215,$N$19)</f>
        <v>3.4806233085415101</v>
      </c>
      <c r="BM215" s="735">
        <f t="shared" si="163"/>
        <v>30.98155437443296</v>
      </c>
      <c r="BN215" s="473">
        <f t="shared" si="207"/>
        <v>22</v>
      </c>
      <c r="BO215" s="491">
        <f t="shared" si="164"/>
        <v>0.19968923450581783</v>
      </c>
      <c r="BP215" s="475">
        <f t="shared" si="208"/>
        <v>3.4806233085415106</v>
      </c>
      <c r="BQ215" s="735">
        <f t="shared" si="165"/>
        <v>30.98155437443296</v>
      </c>
      <c r="BR215" s="473">
        <f t="shared" si="166"/>
        <v>24</v>
      </c>
      <c r="BS215" s="491">
        <f t="shared" si="167"/>
        <v>0.17692092254026773</v>
      </c>
      <c r="BT215" s="475">
        <f>AbsFeuchte(BR215,BS215,$N$19)</f>
        <v>3.4806233085415097</v>
      </c>
      <c r="BU215" s="576">
        <f>IF($J$21=0,IF(E$13=$S$10,BR215+$N$18,BR215),IF(E$13=$S$10,BR215+$N$18+#REF!,BR215+$J$21))</f>
        <v>24</v>
      </c>
      <c r="BV215" s="491">
        <f t="shared" si="168"/>
        <v>0.17692092254026773</v>
      </c>
      <c r="BW215" s="726">
        <f t="shared" si="169"/>
        <v>3.4806233085415097</v>
      </c>
      <c r="BX215" s="475">
        <f t="shared" si="215"/>
        <v>0</v>
      </c>
      <c r="BY215" s="475">
        <f t="shared" si="216"/>
        <v>6.1254674540910159</v>
      </c>
      <c r="BZ215" s="475">
        <f t="shared" si="170"/>
        <v>0</v>
      </c>
      <c r="CA215" s="475">
        <f t="shared" si="171"/>
        <v>0</v>
      </c>
      <c r="CB215" s="475">
        <f t="shared" si="172"/>
        <v>0</v>
      </c>
      <c r="CC215" s="475">
        <f t="shared" si="173"/>
        <v>6.1254674540910159</v>
      </c>
      <c r="CD215" s="475">
        <f t="shared" si="174"/>
        <v>0</v>
      </c>
      <c r="CE215" s="621">
        <f t="shared" si="175"/>
        <v>0</v>
      </c>
      <c r="CF215" s="621">
        <f t="shared" si="176"/>
        <v>0</v>
      </c>
      <c r="CG215" s="621">
        <f t="shared" si="177"/>
        <v>0</v>
      </c>
      <c r="CH215" s="573">
        <f t="shared" si="178"/>
        <v>0</v>
      </c>
      <c r="CI215" s="621">
        <f t="shared" si="179"/>
        <v>0</v>
      </c>
      <c r="CJ215" s="621">
        <f t="shared" si="180"/>
        <v>0</v>
      </c>
      <c r="CK215" s="621">
        <f t="shared" si="181"/>
        <v>0</v>
      </c>
      <c r="CL215" s="737">
        <f t="shared" si="182"/>
        <v>0</v>
      </c>
      <c r="CM215" s="738">
        <f t="shared" si="183"/>
        <v>0</v>
      </c>
      <c r="CN215" s="475">
        <f t="shared" si="184"/>
        <v>0.1996892345058178</v>
      </c>
      <c r="CO215" s="475">
        <f t="shared" si="185"/>
        <v>0.19968923450581783</v>
      </c>
      <c r="CP215" s="475">
        <f t="shared" si="186"/>
        <v>15.950000000000001</v>
      </c>
      <c r="CQ215" s="475">
        <f t="shared" si="187"/>
        <v>15.950000000000001</v>
      </c>
      <c r="CR215" s="475">
        <f t="shared" si="188"/>
        <v>6.1254674540910159</v>
      </c>
      <c r="CS215" s="475">
        <f t="shared" si="189"/>
        <v>0</v>
      </c>
      <c r="CT215" s="475">
        <f t="shared" si="190"/>
        <v>0</v>
      </c>
      <c r="CU215" s="475">
        <f t="shared" si="191"/>
        <v>22</v>
      </c>
      <c r="CV215" s="475">
        <f t="shared" si="192"/>
        <v>22</v>
      </c>
      <c r="CW215" s="475">
        <f t="shared" si="209"/>
        <v>0</v>
      </c>
      <c r="CX215" s="573">
        <f t="shared" si="217"/>
        <v>0</v>
      </c>
      <c r="CY215" s="475">
        <f t="shared" si="219"/>
        <v>22</v>
      </c>
      <c r="CZ215" s="475">
        <f t="shared" si="218"/>
        <v>22</v>
      </c>
      <c r="DA215" s="475">
        <v>1</v>
      </c>
      <c r="DB215" s="475"/>
      <c r="DC215" s="410"/>
    </row>
    <row r="216" spans="1:107" s="619" customFormat="1" ht="12" hidden="1" customHeight="1" outlineLevel="1">
      <c r="A216" s="752">
        <v>2</v>
      </c>
      <c r="B216" s="573">
        <v>96.13095238095238</v>
      </c>
      <c r="C216" s="475">
        <v>3.5187039006816812</v>
      </c>
      <c r="D216" s="741">
        <v>0.78922600619195049</v>
      </c>
      <c r="E216" s="491">
        <f t="shared" si="132"/>
        <v>0.17884567972064028</v>
      </c>
      <c r="F216" s="438">
        <f t="shared" si="133"/>
        <v>0</v>
      </c>
      <c r="G216" s="438"/>
      <c r="H216" s="475">
        <f t="shared" si="134"/>
        <v>20</v>
      </c>
      <c r="I216" s="473">
        <f t="shared" si="135"/>
        <v>16.3</v>
      </c>
      <c r="J216" s="473">
        <f t="shared" si="136"/>
        <v>16.3</v>
      </c>
      <c r="K216" s="491">
        <f t="shared" si="137"/>
        <v>0.65</v>
      </c>
      <c r="L216" s="473">
        <f t="shared" si="193"/>
        <v>16.3</v>
      </c>
      <c r="M216" s="473">
        <f t="shared" si="138"/>
        <v>3.5187039006816812</v>
      </c>
      <c r="N216" s="473">
        <f>(EnthalpieA(L216,M216,#REF!)*$F$35)+((1-$F$35)*EnthalpieA(BU216,BW216,#REF!))</f>
        <v>25.306869742806164</v>
      </c>
      <c r="O216" s="473">
        <f>(EnthalpieA(L216,M216,#REF!)*$F$34)+((1-$F$34)*EnthalpieA(BU216,BW216,#REF!))</f>
        <v>25.306869742806164</v>
      </c>
      <c r="P216" s="734">
        <f>1-IF(EnthalpieA(L216,M216,#REF!)=S216,$F$35,(S216-EnthalpieA(BU216,BW216,#REF!))/((EnthalpieA(L216,M216,#REF!)-EnthalpieA(BU216,BW216,#REF!))))</f>
        <v>0</v>
      </c>
      <c r="Q216" s="473">
        <f t="shared" si="211"/>
        <v>16.3</v>
      </c>
      <c r="R216" s="475">
        <f t="shared" si="212"/>
        <v>3.5187039006816812</v>
      </c>
      <c r="S216" s="473">
        <f t="shared" si="213"/>
        <v>25.306869742806164</v>
      </c>
      <c r="T216" s="473">
        <f t="shared" si="139"/>
        <v>16.3</v>
      </c>
      <c r="U216" s="473">
        <f t="shared" si="140"/>
        <v>16.3</v>
      </c>
      <c r="V216" s="491">
        <f t="shared" si="141"/>
        <v>0</v>
      </c>
      <c r="W216" s="475">
        <f t="shared" si="194"/>
        <v>16.3</v>
      </c>
      <c r="X216" s="475">
        <f t="shared" si="195"/>
        <v>3.5187039006816812</v>
      </c>
      <c r="Y216" s="735">
        <f t="shared" si="142"/>
        <v>25.306869742806164</v>
      </c>
      <c r="Z216" s="475">
        <f t="shared" si="196"/>
        <v>9</v>
      </c>
      <c r="AA216" s="475">
        <f>IF($F$36=$D$36,MIN(AbsFeuchte(Z216,100%,$N$19),R216),MIN(AbsFeuchte(Z216,100%,$N$19),X216))</f>
        <v>3.5187039006816812</v>
      </c>
      <c r="AB216" s="735">
        <f t="shared" si="143"/>
        <v>17.915292781242705</v>
      </c>
      <c r="AC216" s="475">
        <f t="shared" si="197"/>
        <v>9</v>
      </c>
      <c r="AD216" s="475">
        <v>0</v>
      </c>
      <c r="AE216" s="735">
        <f t="shared" si="144"/>
        <v>9.0540000000000003</v>
      </c>
      <c r="AF216" s="735">
        <f t="shared" si="198"/>
        <v>9</v>
      </c>
      <c r="AG216" s="735">
        <f t="shared" si="145"/>
        <v>9.9999999999999992E+22</v>
      </c>
      <c r="AH216" s="475">
        <f t="shared" si="146"/>
        <v>16.3</v>
      </c>
      <c r="AI216" s="475">
        <f t="shared" si="199"/>
        <v>3.5187039006816816</v>
      </c>
      <c r="AJ216" s="735">
        <f t="shared" si="147"/>
        <v>25.306869742806164</v>
      </c>
      <c r="AK216" s="475">
        <f t="shared" si="148"/>
        <v>16.3</v>
      </c>
      <c r="AL216" s="475">
        <f t="shared" si="200"/>
        <v>3.5187039006816812</v>
      </c>
      <c r="AM216" s="735">
        <f t="shared" si="149"/>
        <v>25.306869742806164</v>
      </c>
      <c r="AN216" s="475">
        <f t="shared" si="214"/>
        <v>22</v>
      </c>
      <c r="AO216" s="475">
        <f t="shared" si="150"/>
        <v>3.5187039006816812</v>
      </c>
      <c r="AP216" s="735">
        <f t="shared" si="201"/>
        <v>31.078375041561191</v>
      </c>
      <c r="AQ216" s="475" t="e">
        <f t="shared" ca="1" si="151"/>
        <v>#NAME?</v>
      </c>
      <c r="AR216" s="475">
        <f t="shared" si="202"/>
        <v>3.5187039006816816</v>
      </c>
      <c r="AS216" s="735" t="e">
        <f t="shared" ca="1" si="152"/>
        <v>#VALUE!</v>
      </c>
      <c r="AT216" s="475">
        <f t="shared" si="203"/>
        <v>22</v>
      </c>
      <c r="AU216" s="475">
        <f t="shared" si="153"/>
        <v>3.5187039006816812</v>
      </c>
      <c r="AV216" s="735">
        <f t="shared" si="154"/>
        <v>31.078375041561188</v>
      </c>
      <c r="AW216" s="529">
        <f t="shared" si="155"/>
        <v>1</v>
      </c>
      <c r="AX216" s="735">
        <f t="shared" si="204"/>
        <v>1</v>
      </c>
      <c r="AY216" s="735">
        <f t="shared" si="156"/>
        <v>0</v>
      </c>
      <c r="AZ216" s="735">
        <f t="shared" si="205"/>
        <v>1</v>
      </c>
      <c r="BA216" s="735">
        <f t="shared" si="206"/>
        <v>0</v>
      </c>
      <c r="BB216" s="735">
        <f>IF($F$36=$D$36,IF(AW216=1,Fall1Tzul(AX216,AY216,BJ216,Q216),0),IF(AW216=1,Fall1Tzul(AX216,AY216,BJ216,W216),0))</f>
        <v>22</v>
      </c>
      <c r="BC216" s="735">
        <f>IF($F$36=$D$36,IF(AW216=1,Fall1xzul(AX216,AY216,BL216,R216),0),IF(AW216=1,Fall1xzul(AX216,AY216,BL216,X216),0))</f>
        <v>3.5187039006816812</v>
      </c>
      <c r="BD216" s="735">
        <f>IF($F$36=$D$36,IF(AW216=2,Fall2Tzul(AX216, AZ216, BJ216,Q216, Z216),0),IF(AW216=2,Fall2Tzul(AX216, AZ216, BJ216,W216, Z216),0))</f>
        <v>0</v>
      </c>
      <c r="BE216" s="735">
        <f>IF($F$36=$D$36,IF(AW216=2,Fall2xzul(AX216,AZ216,BL216,R216,AA216),0),IF(AW216=2,Fall2xzul(AX216,AZ216,BL216,X216,AA216),0))</f>
        <v>0</v>
      </c>
      <c r="BF216" s="735">
        <f t="shared" si="157"/>
        <v>0</v>
      </c>
      <c r="BG216" s="735">
        <f t="shared" si="158"/>
        <v>0</v>
      </c>
      <c r="BH216" s="735">
        <f t="shared" si="159"/>
        <v>0</v>
      </c>
      <c r="BI216" s="735">
        <f t="shared" si="160"/>
        <v>0</v>
      </c>
      <c r="BJ216" s="473">
        <f t="shared" si="161"/>
        <v>22</v>
      </c>
      <c r="BK216" s="491">
        <f t="shared" si="162"/>
        <v>0.2018616925873129</v>
      </c>
      <c r="BL216" s="475">
        <f>AbsFeuchte(BJ216,BK216,$N$19)</f>
        <v>3.5187039006816816</v>
      </c>
      <c r="BM216" s="735">
        <f t="shared" si="163"/>
        <v>31.078375041561191</v>
      </c>
      <c r="BN216" s="473">
        <f t="shared" si="207"/>
        <v>22</v>
      </c>
      <c r="BO216" s="491">
        <f t="shared" si="164"/>
        <v>0.2018616925873129</v>
      </c>
      <c r="BP216" s="475">
        <f t="shared" si="208"/>
        <v>3.5187039006816812</v>
      </c>
      <c r="BQ216" s="735">
        <f t="shared" si="165"/>
        <v>31.078375041561188</v>
      </c>
      <c r="BR216" s="473">
        <f t="shared" si="166"/>
        <v>24</v>
      </c>
      <c r="BS216" s="491">
        <f t="shared" si="167"/>
        <v>0.17884567972064028</v>
      </c>
      <c r="BT216" s="475">
        <f>AbsFeuchte(BR216,BS216,$N$19)</f>
        <v>3.5187039006816812</v>
      </c>
      <c r="BU216" s="576">
        <f>IF($J$21=0,IF(E$13=$S$10,BR216+$N$18,BR216),IF(E$13=$S$10,BR216+$N$18+#REF!,BR216+$J$21))</f>
        <v>24</v>
      </c>
      <c r="BV216" s="491">
        <f t="shared" si="168"/>
        <v>0.17884567972064028</v>
      </c>
      <c r="BW216" s="726">
        <f t="shared" si="169"/>
        <v>3.5187039006816812</v>
      </c>
      <c r="BX216" s="475">
        <f t="shared" si="215"/>
        <v>0</v>
      </c>
      <c r="BY216" s="475">
        <f t="shared" si="216"/>
        <v>5.7715052987550237</v>
      </c>
      <c r="BZ216" s="475">
        <f t="shared" si="170"/>
        <v>0</v>
      </c>
      <c r="CA216" s="475">
        <f t="shared" si="171"/>
        <v>0</v>
      </c>
      <c r="CB216" s="475">
        <f t="shared" si="172"/>
        <v>0</v>
      </c>
      <c r="CC216" s="475">
        <f t="shared" si="173"/>
        <v>5.7715052987550237</v>
      </c>
      <c r="CD216" s="475">
        <f t="shared" si="174"/>
        <v>0</v>
      </c>
      <c r="CE216" s="621">
        <f t="shared" si="175"/>
        <v>0</v>
      </c>
      <c r="CF216" s="621">
        <f t="shared" si="176"/>
        <v>0</v>
      </c>
      <c r="CG216" s="621">
        <f t="shared" si="177"/>
        <v>0</v>
      </c>
      <c r="CH216" s="573">
        <f t="shared" si="178"/>
        <v>0</v>
      </c>
      <c r="CI216" s="621">
        <f t="shared" si="179"/>
        <v>0</v>
      </c>
      <c r="CJ216" s="621">
        <f t="shared" si="180"/>
        <v>0</v>
      </c>
      <c r="CK216" s="621">
        <f t="shared" si="181"/>
        <v>0</v>
      </c>
      <c r="CL216" s="737">
        <f t="shared" si="182"/>
        <v>0</v>
      </c>
      <c r="CM216" s="738">
        <f t="shared" si="183"/>
        <v>0</v>
      </c>
      <c r="CN216" s="475">
        <f t="shared" si="184"/>
        <v>0.2018616925873129</v>
      </c>
      <c r="CO216" s="475">
        <f t="shared" si="185"/>
        <v>0.2018616925873129</v>
      </c>
      <c r="CP216" s="475">
        <f t="shared" si="186"/>
        <v>16.3</v>
      </c>
      <c r="CQ216" s="475">
        <f t="shared" si="187"/>
        <v>16.3</v>
      </c>
      <c r="CR216" s="475">
        <f t="shared" si="188"/>
        <v>5.7715052987550237</v>
      </c>
      <c r="CS216" s="475">
        <f t="shared" si="189"/>
        <v>0</v>
      </c>
      <c r="CT216" s="475">
        <f t="shared" si="190"/>
        <v>0</v>
      </c>
      <c r="CU216" s="475">
        <f t="shared" si="191"/>
        <v>22</v>
      </c>
      <c r="CV216" s="475">
        <f t="shared" si="192"/>
        <v>22</v>
      </c>
      <c r="CW216" s="475">
        <f t="shared" si="209"/>
        <v>0</v>
      </c>
      <c r="CX216" s="573">
        <f t="shared" si="217"/>
        <v>0</v>
      </c>
      <c r="CY216" s="475">
        <f t="shared" si="219"/>
        <v>22</v>
      </c>
      <c r="CZ216" s="475">
        <f t="shared" si="218"/>
        <v>22</v>
      </c>
      <c r="DA216" s="475">
        <v>2</v>
      </c>
      <c r="DB216" s="475"/>
      <c r="DC216" s="410"/>
    </row>
    <row r="217" spans="1:107" s="619" customFormat="1" ht="12" hidden="1" customHeight="1" outlineLevel="1">
      <c r="A217" s="752">
        <v>3</v>
      </c>
      <c r="B217" s="573">
        <v>85.416666666666657</v>
      </c>
      <c r="C217" s="475">
        <v>3.5754691781692332</v>
      </c>
      <c r="D217" s="741">
        <v>0.74682926829268292</v>
      </c>
      <c r="E217" s="491">
        <f t="shared" si="132"/>
        <v>0.18171440638879641</v>
      </c>
      <c r="F217" s="438">
        <f t="shared" si="133"/>
        <v>0</v>
      </c>
      <c r="G217" s="438"/>
      <c r="H217" s="475">
        <f t="shared" si="134"/>
        <v>19</v>
      </c>
      <c r="I217" s="473">
        <f t="shared" si="135"/>
        <v>16.649999999999999</v>
      </c>
      <c r="J217" s="473">
        <f t="shared" si="136"/>
        <v>16.649999999999999</v>
      </c>
      <c r="K217" s="491">
        <f t="shared" si="137"/>
        <v>0.64999999999999991</v>
      </c>
      <c r="L217" s="473">
        <f t="shared" si="193"/>
        <v>16.649999999999999</v>
      </c>
      <c r="M217" s="473">
        <f t="shared" si="138"/>
        <v>3.5754691781692332</v>
      </c>
      <c r="N217" s="473">
        <f>(EnthalpieA(L217,M217,#REF!)*$F$35)+((1-$F$35)*EnthalpieA(BU217,BW217,#REF!))</f>
        <v>25.805022401086877</v>
      </c>
      <c r="O217" s="473">
        <f>(EnthalpieA(L217,M217,#REF!)*$F$34)+((1-$F$34)*EnthalpieA(BU217,BW217,#REF!))</f>
        <v>25.805022401086877</v>
      </c>
      <c r="P217" s="734">
        <f>1-IF(EnthalpieA(L217,M217,#REF!)=S217,$F$35,(S217-EnthalpieA(BU217,BW217,#REF!))/((EnthalpieA(L217,M217,#REF!)-EnthalpieA(BU217,BW217,#REF!))))</f>
        <v>0</v>
      </c>
      <c r="Q217" s="473">
        <f t="shared" si="211"/>
        <v>16.649999999999999</v>
      </c>
      <c r="R217" s="475">
        <f t="shared" si="212"/>
        <v>3.5754691781692332</v>
      </c>
      <c r="S217" s="473">
        <f t="shared" si="213"/>
        <v>25.805022401086877</v>
      </c>
      <c r="T217" s="473">
        <f t="shared" si="139"/>
        <v>16.649999999999999</v>
      </c>
      <c r="U217" s="473">
        <f t="shared" si="140"/>
        <v>16.649999999999999</v>
      </c>
      <c r="V217" s="491">
        <f t="shared" si="141"/>
        <v>0</v>
      </c>
      <c r="W217" s="475">
        <f t="shared" si="194"/>
        <v>16.649999999999999</v>
      </c>
      <c r="X217" s="475">
        <f t="shared" si="195"/>
        <v>3.5754691781692332</v>
      </c>
      <c r="Y217" s="735">
        <f t="shared" si="142"/>
        <v>25.805022401086877</v>
      </c>
      <c r="Z217" s="475">
        <f t="shared" si="196"/>
        <v>9</v>
      </c>
      <c r="AA217" s="475">
        <f>IF($F$36=$D$36,MIN(AbsFeuchte(Z217,100%,$N$19),R217),MIN(AbsFeuchte(Z217,100%,$N$19),X217))</f>
        <v>3.5754691781692332</v>
      </c>
      <c r="AB217" s="735">
        <f t="shared" si="143"/>
        <v>18.058247050150705</v>
      </c>
      <c r="AC217" s="475">
        <f t="shared" si="197"/>
        <v>9</v>
      </c>
      <c r="AD217" s="475">
        <v>0</v>
      </c>
      <c r="AE217" s="735">
        <f t="shared" si="144"/>
        <v>9.0540000000000003</v>
      </c>
      <c r="AF217" s="735">
        <f t="shared" si="198"/>
        <v>9</v>
      </c>
      <c r="AG217" s="735">
        <f t="shared" si="145"/>
        <v>9.9999999999999992E+22</v>
      </c>
      <c r="AH217" s="475">
        <f t="shared" si="146"/>
        <v>16.649999999999999</v>
      </c>
      <c r="AI217" s="475">
        <f t="shared" si="199"/>
        <v>3.5754691781692336</v>
      </c>
      <c r="AJ217" s="735">
        <f t="shared" si="147"/>
        <v>25.80502240108688</v>
      </c>
      <c r="AK217" s="475">
        <f t="shared" si="148"/>
        <v>16.649999999999999</v>
      </c>
      <c r="AL217" s="475">
        <f t="shared" si="200"/>
        <v>3.5754691781692332</v>
      </c>
      <c r="AM217" s="735">
        <f t="shared" si="149"/>
        <v>25.805022401086877</v>
      </c>
      <c r="AN217" s="475">
        <f t="shared" si="214"/>
        <v>22.000000000000004</v>
      </c>
      <c r="AO217" s="475">
        <f t="shared" si="150"/>
        <v>3.5754691781692332</v>
      </c>
      <c r="AP217" s="735">
        <f t="shared" si="201"/>
        <v>31.222701894878842</v>
      </c>
      <c r="AQ217" s="475" t="e">
        <f t="shared" ca="1" si="151"/>
        <v>#NAME?</v>
      </c>
      <c r="AR217" s="475">
        <f t="shared" si="202"/>
        <v>3.5754691781692336</v>
      </c>
      <c r="AS217" s="735" t="e">
        <f t="shared" ca="1" si="152"/>
        <v>#VALUE!</v>
      </c>
      <c r="AT217" s="475">
        <f t="shared" si="203"/>
        <v>22</v>
      </c>
      <c r="AU217" s="475">
        <f t="shared" si="153"/>
        <v>3.5754691781692332</v>
      </c>
      <c r="AV217" s="735">
        <f t="shared" si="154"/>
        <v>31.222701894878838</v>
      </c>
      <c r="AW217" s="529">
        <f t="shared" si="155"/>
        <v>1</v>
      </c>
      <c r="AX217" s="735">
        <f t="shared" si="204"/>
        <v>1</v>
      </c>
      <c r="AY217" s="735">
        <f t="shared" si="156"/>
        <v>0</v>
      </c>
      <c r="AZ217" s="735">
        <f t="shared" si="205"/>
        <v>1</v>
      </c>
      <c r="BA217" s="735">
        <f t="shared" si="206"/>
        <v>0</v>
      </c>
      <c r="BB217" s="735">
        <f>IF($F$36=$D$36,IF(AW217=1,Fall1Tzul(AX217,AY217,BJ217,Q217),0),IF(AW217=1,Fall1Tzul(AX217,AY217,BJ217,W217),0))</f>
        <v>22</v>
      </c>
      <c r="BC217" s="735">
        <f>IF($F$36=$D$36,IF(AW217=1,Fall1xzul(AX217,AY217,BL217,R217),0),IF(AW217=1,Fall1xzul(AX217,AY217,BL217,X217),0))</f>
        <v>3.5754691781692332</v>
      </c>
      <c r="BD217" s="735">
        <f>IF($F$36=$D$36,IF(AW217=2,Fall2Tzul(AX217, AZ217, BJ217,Q217, Z217),0),IF(AW217=2,Fall2Tzul(AX217, AZ217, BJ217,W217, Z217),0))</f>
        <v>0</v>
      </c>
      <c r="BE217" s="735">
        <f>IF($F$36=$D$36,IF(AW217=2,Fall2xzul(AX217,AZ217,BL217,R217,AA217),0),IF(AW217=2,Fall2xzul(AX217,AZ217,BL217,X217,AA217),0))</f>
        <v>0</v>
      </c>
      <c r="BF217" s="735">
        <f t="shared" si="157"/>
        <v>0</v>
      </c>
      <c r="BG217" s="735">
        <f t="shared" si="158"/>
        <v>0</v>
      </c>
      <c r="BH217" s="735">
        <f t="shared" si="159"/>
        <v>0</v>
      </c>
      <c r="BI217" s="735">
        <f t="shared" si="160"/>
        <v>0</v>
      </c>
      <c r="BJ217" s="473">
        <f t="shared" si="161"/>
        <v>22</v>
      </c>
      <c r="BK217" s="491">
        <f t="shared" si="162"/>
        <v>0.20509960150246756</v>
      </c>
      <c r="BL217" s="475">
        <f>AbsFeuchte(BJ217,BK217,$N$19)</f>
        <v>3.5754691781692336</v>
      </c>
      <c r="BM217" s="735">
        <f t="shared" si="163"/>
        <v>31.222701894878842</v>
      </c>
      <c r="BN217" s="473">
        <f t="shared" si="207"/>
        <v>22</v>
      </c>
      <c r="BO217" s="491">
        <f t="shared" si="164"/>
        <v>0.20509960150246756</v>
      </c>
      <c r="BP217" s="475">
        <f t="shared" si="208"/>
        <v>3.5754691781692332</v>
      </c>
      <c r="BQ217" s="735">
        <f t="shared" si="165"/>
        <v>31.222701894878838</v>
      </c>
      <c r="BR217" s="473">
        <f t="shared" si="166"/>
        <v>24</v>
      </c>
      <c r="BS217" s="491">
        <f t="shared" si="167"/>
        <v>0.18171440638879641</v>
      </c>
      <c r="BT217" s="475">
        <f>AbsFeuchte(BR217,BS217,$N$19)</f>
        <v>3.5754691781692332</v>
      </c>
      <c r="BU217" s="576">
        <f>IF($J$21=0,IF(E$13=$S$10,BR217+$N$18,BR217),IF(E$13=$S$10,BR217+$N$18+#REF!,BR217+$J$21))</f>
        <v>24</v>
      </c>
      <c r="BV217" s="491">
        <f t="shared" si="168"/>
        <v>0.18171440638879641</v>
      </c>
      <c r="BW217" s="726">
        <f t="shared" si="169"/>
        <v>3.5754691781692332</v>
      </c>
      <c r="BX217" s="475">
        <f t="shared" si="215"/>
        <v>0</v>
      </c>
      <c r="BY217" s="475">
        <f t="shared" si="216"/>
        <v>5.4176794937919617</v>
      </c>
      <c r="BZ217" s="475">
        <f t="shared" si="170"/>
        <v>0</v>
      </c>
      <c r="CA217" s="475">
        <f t="shared" si="171"/>
        <v>0</v>
      </c>
      <c r="CB217" s="475">
        <f t="shared" si="172"/>
        <v>0</v>
      </c>
      <c r="CC217" s="475">
        <f t="shared" si="173"/>
        <v>5.4176794937919617</v>
      </c>
      <c r="CD217" s="475">
        <f t="shared" si="174"/>
        <v>0</v>
      </c>
      <c r="CE217" s="621">
        <f t="shared" si="175"/>
        <v>0</v>
      </c>
      <c r="CF217" s="621">
        <f t="shared" si="176"/>
        <v>0</v>
      </c>
      <c r="CG217" s="621">
        <f t="shared" si="177"/>
        <v>0</v>
      </c>
      <c r="CH217" s="573">
        <f t="shared" si="178"/>
        <v>0</v>
      </c>
      <c r="CI217" s="621">
        <f t="shared" si="179"/>
        <v>0</v>
      </c>
      <c r="CJ217" s="621">
        <f t="shared" si="180"/>
        <v>0</v>
      </c>
      <c r="CK217" s="621">
        <f t="shared" si="181"/>
        <v>0</v>
      </c>
      <c r="CL217" s="737">
        <f t="shared" si="182"/>
        <v>0</v>
      </c>
      <c r="CM217" s="738">
        <f t="shared" si="183"/>
        <v>0</v>
      </c>
      <c r="CN217" s="475">
        <f t="shared" si="184"/>
        <v>0.20509960150246756</v>
      </c>
      <c r="CO217" s="475">
        <f t="shared" si="185"/>
        <v>0.20509960150246756</v>
      </c>
      <c r="CP217" s="475">
        <f t="shared" si="186"/>
        <v>16.649999999999999</v>
      </c>
      <c r="CQ217" s="475">
        <f t="shared" si="187"/>
        <v>16.649999999999999</v>
      </c>
      <c r="CR217" s="475">
        <f t="shared" si="188"/>
        <v>5.4176794937919617</v>
      </c>
      <c r="CS217" s="475">
        <f t="shared" si="189"/>
        <v>0</v>
      </c>
      <c r="CT217" s="475">
        <f t="shared" si="190"/>
        <v>0</v>
      </c>
      <c r="CU217" s="475">
        <f t="shared" si="191"/>
        <v>22</v>
      </c>
      <c r="CV217" s="475">
        <f t="shared" si="192"/>
        <v>22</v>
      </c>
      <c r="CW217" s="475">
        <f t="shared" si="209"/>
        <v>0</v>
      </c>
      <c r="CX217" s="573">
        <f t="shared" si="217"/>
        <v>0</v>
      </c>
      <c r="CY217" s="475">
        <f t="shared" si="219"/>
        <v>22</v>
      </c>
      <c r="CZ217" s="475">
        <f t="shared" si="218"/>
        <v>22</v>
      </c>
      <c r="DA217" s="475">
        <v>3</v>
      </c>
      <c r="DB217" s="475"/>
      <c r="DC217" s="410"/>
    </row>
    <row r="218" spans="1:107" s="619" customFormat="1" ht="12" hidden="1" customHeight="1" outlineLevel="1">
      <c r="A218" s="752">
        <v>4</v>
      </c>
      <c r="B218" s="573">
        <v>81.845238095238088</v>
      </c>
      <c r="C218" s="475">
        <v>3.672695628195263</v>
      </c>
      <c r="D218" s="741">
        <v>0.71476363636363627</v>
      </c>
      <c r="E218" s="491">
        <f t="shared" si="132"/>
        <v>0.18662669564430512</v>
      </c>
      <c r="F218" s="438">
        <f t="shared" si="133"/>
        <v>0</v>
      </c>
      <c r="G218" s="438"/>
      <c r="H218" s="475">
        <f t="shared" si="134"/>
        <v>18</v>
      </c>
      <c r="I218" s="473">
        <f t="shared" si="135"/>
        <v>17</v>
      </c>
      <c r="J218" s="473">
        <f t="shared" si="136"/>
        <v>17</v>
      </c>
      <c r="K218" s="491">
        <f t="shared" si="137"/>
        <v>0.65</v>
      </c>
      <c r="L218" s="473">
        <f t="shared" si="193"/>
        <v>17</v>
      </c>
      <c r="M218" s="473">
        <f t="shared" si="138"/>
        <v>3.672695628195263</v>
      </c>
      <c r="N218" s="473">
        <f>(EnthalpieA(L218,M218,E260)*$F$35)+((1-$F$35)*EnthalpieA(BU218,BW218,E260))</f>
        <v>26.405746019256803</v>
      </c>
      <c r="O218" s="473">
        <f>(EnthalpieA(L218,M218,E260)*$F$34)+((1-$F$34)*EnthalpieA(BU218,BW218,E260))</f>
        <v>26.405746019256803</v>
      </c>
      <c r="P218" s="734">
        <f>1-IF(EnthalpieA(L218,M218,E260)=S218,$F$35,(S218-EnthalpieA(BU218,BW218,E260))/((EnthalpieA(L218,M218,E260)-EnthalpieA(BU218,BW218,E260))))</f>
        <v>0</v>
      </c>
      <c r="Q218" s="473">
        <f t="shared" si="211"/>
        <v>17</v>
      </c>
      <c r="R218" s="475">
        <f t="shared" si="212"/>
        <v>3.672695628195263</v>
      </c>
      <c r="S218" s="473">
        <f t="shared" si="213"/>
        <v>26.405746019256803</v>
      </c>
      <c r="T218" s="473">
        <f t="shared" si="139"/>
        <v>17</v>
      </c>
      <c r="U218" s="473">
        <f t="shared" si="140"/>
        <v>17</v>
      </c>
      <c r="V218" s="491">
        <f t="shared" si="141"/>
        <v>0</v>
      </c>
      <c r="W218" s="475">
        <f t="shared" si="194"/>
        <v>17</v>
      </c>
      <c r="X218" s="475">
        <f t="shared" si="195"/>
        <v>3.672695628195263</v>
      </c>
      <c r="Y218" s="735">
        <f t="shared" si="142"/>
        <v>26.405746019256803</v>
      </c>
      <c r="Z218" s="475">
        <f t="shared" si="196"/>
        <v>9</v>
      </c>
      <c r="AA218" s="475">
        <f>IF($F$36=$D$36,MIN(AbsFeuchte(Z218,100%,$N$19),R218),MIN(AbsFeuchte(Z218,100%,$N$19),X218))</f>
        <v>3.672695628195263</v>
      </c>
      <c r="AB218" s="735">
        <f t="shared" si="143"/>
        <v>18.303096308309257</v>
      </c>
      <c r="AC218" s="475">
        <f t="shared" si="197"/>
        <v>9</v>
      </c>
      <c r="AD218" s="475">
        <v>0</v>
      </c>
      <c r="AE218" s="735">
        <f t="shared" si="144"/>
        <v>9.0540000000000003</v>
      </c>
      <c r="AF218" s="735">
        <f t="shared" si="198"/>
        <v>9</v>
      </c>
      <c r="AG218" s="735">
        <f t="shared" si="145"/>
        <v>9.9999999999999992E+22</v>
      </c>
      <c r="AH218" s="475">
        <f t="shared" si="146"/>
        <v>17</v>
      </c>
      <c r="AI218" s="475">
        <f t="shared" si="199"/>
        <v>3.672695628195263</v>
      </c>
      <c r="AJ218" s="735">
        <f t="shared" si="147"/>
        <v>26.405746019256803</v>
      </c>
      <c r="AK218" s="475">
        <f t="shared" si="148"/>
        <v>17</v>
      </c>
      <c r="AL218" s="475">
        <f t="shared" si="200"/>
        <v>3.672695628195263</v>
      </c>
      <c r="AM218" s="735">
        <f t="shared" si="149"/>
        <v>26.405746019256803</v>
      </c>
      <c r="AN218" s="475">
        <f t="shared" si="214"/>
        <v>22</v>
      </c>
      <c r="AO218" s="475">
        <f t="shared" si="150"/>
        <v>3.672695628195263</v>
      </c>
      <c r="AP218" s="735">
        <f t="shared" si="201"/>
        <v>31.469902088599021</v>
      </c>
      <c r="AQ218" s="475" t="e">
        <f t="shared" ca="1" si="151"/>
        <v>#NAME?</v>
      </c>
      <c r="AR218" s="475">
        <f t="shared" si="202"/>
        <v>3.672695628195263</v>
      </c>
      <c r="AS218" s="735" t="e">
        <f t="shared" ca="1" si="152"/>
        <v>#VALUE!</v>
      </c>
      <c r="AT218" s="475">
        <f t="shared" si="203"/>
        <v>22</v>
      </c>
      <c r="AU218" s="475">
        <f t="shared" si="153"/>
        <v>3.672695628195263</v>
      </c>
      <c r="AV218" s="735">
        <f t="shared" si="154"/>
        <v>31.469902088599021</v>
      </c>
      <c r="AW218" s="529">
        <f t="shared" si="155"/>
        <v>1</v>
      </c>
      <c r="AX218" s="735">
        <f t="shared" si="204"/>
        <v>1</v>
      </c>
      <c r="AY218" s="735">
        <f t="shared" si="156"/>
        <v>0</v>
      </c>
      <c r="AZ218" s="735">
        <f t="shared" si="205"/>
        <v>1</v>
      </c>
      <c r="BA218" s="735">
        <f t="shared" si="206"/>
        <v>0</v>
      </c>
      <c r="BB218" s="735">
        <f>IF($F$36=$D$36,IF(AW218=1,Fall1Tzul(AX218,AY218,BJ218,Q218),0),IF(AW218=1,Fall1Tzul(AX218,AY218,BJ218,W218),0))</f>
        <v>22</v>
      </c>
      <c r="BC218" s="735">
        <f>IF($F$36=$D$36,IF(AW218=1,Fall1xzul(AX218,AY218,BL218,R218),0),IF(AW218=1,Fall1xzul(AX218,AY218,BL218,X218),0))</f>
        <v>3.672695628195263</v>
      </c>
      <c r="BD218" s="735">
        <f>IF($F$36=$D$36,IF(AW218=2,Fall2Tzul(AX218, AZ218, BJ218,Q218, Z218),0),IF(AW218=2,Fall2Tzul(AX218, AZ218, BJ218,W218, Z218),0))</f>
        <v>0</v>
      </c>
      <c r="BE218" s="735">
        <f>IF($F$36=$D$36,IF(AW218=2,Fall2xzul(AX218,AZ218,BL218,R218,AA218),0),IF(AW218=2,Fall2xzul(AX218,AZ218,BL218,X218,AA218),0))</f>
        <v>0</v>
      </c>
      <c r="BF218" s="735">
        <f t="shared" si="157"/>
        <v>0</v>
      </c>
      <c r="BG218" s="735">
        <f t="shared" si="158"/>
        <v>0</v>
      </c>
      <c r="BH218" s="735">
        <f t="shared" si="159"/>
        <v>0</v>
      </c>
      <c r="BI218" s="735">
        <f t="shared" si="160"/>
        <v>0</v>
      </c>
      <c r="BJ218" s="473">
        <f t="shared" si="161"/>
        <v>22</v>
      </c>
      <c r="BK218" s="491">
        <f t="shared" si="162"/>
        <v>0.2106440632146227</v>
      </c>
      <c r="BL218" s="475">
        <f>AbsFeuchte(BJ218,BK218,$N$19)</f>
        <v>3.672695628195263</v>
      </c>
      <c r="BM218" s="735">
        <f t="shared" si="163"/>
        <v>31.469902088599021</v>
      </c>
      <c r="BN218" s="473">
        <f t="shared" si="207"/>
        <v>22</v>
      </c>
      <c r="BO218" s="491">
        <f t="shared" si="164"/>
        <v>0.2106440632146227</v>
      </c>
      <c r="BP218" s="475">
        <f t="shared" si="208"/>
        <v>3.672695628195263</v>
      </c>
      <c r="BQ218" s="735">
        <f t="shared" si="165"/>
        <v>31.469902088599021</v>
      </c>
      <c r="BR218" s="473">
        <f t="shared" si="166"/>
        <v>24</v>
      </c>
      <c r="BS218" s="491">
        <f t="shared" si="167"/>
        <v>0.18662669564430512</v>
      </c>
      <c r="BT218" s="475">
        <f>AbsFeuchte(BR218,BS218,$N$19)</f>
        <v>3.672695628195263</v>
      </c>
      <c r="BU218" s="576">
        <f>IF($J$21=0,IF(E$13=$S$10,BR218+$N$18,BR218),IF(E$13=$S$10,BR218+$N$18+#REF!,BR218+$J$21))</f>
        <v>24</v>
      </c>
      <c r="BV218" s="491">
        <f t="shared" si="168"/>
        <v>0.18662669564430512</v>
      </c>
      <c r="BW218" s="726">
        <f t="shared" si="169"/>
        <v>3.672695628195263</v>
      </c>
      <c r="BX218" s="475">
        <f t="shared" si="215"/>
        <v>0</v>
      </c>
      <c r="BY218" s="475">
        <f t="shared" si="216"/>
        <v>5.0641560693422178</v>
      </c>
      <c r="BZ218" s="475">
        <f t="shared" si="170"/>
        <v>0</v>
      </c>
      <c r="CA218" s="475">
        <f t="shared" si="171"/>
        <v>0</v>
      </c>
      <c r="CB218" s="475">
        <f t="shared" si="172"/>
        <v>0</v>
      </c>
      <c r="CC218" s="475">
        <f t="shared" si="173"/>
        <v>5.0641560693422178</v>
      </c>
      <c r="CD218" s="475">
        <f t="shared" si="174"/>
        <v>0</v>
      </c>
      <c r="CE218" s="621">
        <f t="shared" si="175"/>
        <v>0</v>
      </c>
      <c r="CF218" s="621">
        <f t="shared" si="176"/>
        <v>0</v>
      </c>
      <c r="CG218" s="621">
        <f t="shared" si="177"/>
        <v>0</v>
      </c>
      <c r="CH218" s="573">
        <f t="shared" si="178"/>
        <v>0</v>
      </c>
      <c r="CI218" s="621">
        <f t="shared" si="179"/>
        <v>0</v>
      </c>
      <c r="CJ218" s="621">
        <f t="shared" si="180"/>
        <v>0</v>
      </c>
      <c r="CK218" s="621">
        <f t="shared" si="181"/>
        <v>0</v>
      </c>
      <c r="CL218" s="737">
        <f t="shared" si="182"/>
        <v>0</v>
      </c>
      <c r="CM218" s="738">
        <f t="shared" si="183"/>
        <v>0</v>
      </c>
      <c r="CN218" s="475">
        <f t="shared" si="184"/>
        <v>0.2106440632146227</v>
      </c>
      <c r="CO218" s="475">
        <f t="shared" si="185"/>
        <v>0.2106440632146227</v>
      </c>
      <c r="CP218" s="475">
        <f t="shared" si="186"/>
        <v>17</v>
      </c>
      <c r="CQ218" s="475">
        <f t="shared" si="187"/>
        <v>17</v>
      </c>
      <c r="CR218" s="475">
        <f t="shared" si="188"/>
        <v>5.0641560693422178</v>
      </c>
      <c r="CS218" s="475">
        <f t="shared" si="189"/>
        <v>0</v>
      </c>
      <c r="CT218" s="475">
        <f t="shared" si="190"/>
        <v>0</v>
      </c>
      <c r="CU218" s="475">
        <f t="shared" si="191"/>
        <v>22</v>
      </c>
      <c r="CV218" s="475">
        <f t="shared" si="192"/>
        <v>22</v>
      </c>
      <c r="CW218" s="475">
        <f t="shared" si="209"/>
        <v>0</v>
      </c>
      <c r="CX218" s="573">
        <f t="shared" si="217"/>
        <v>0</v>
      </c>
      <c r="CY218" s="475">
        <f t="shared" si="219"/>
        <v>22</v>
      </c>
      <c r="CZ218" s="475">
        <f t="shared" si="218"/>
        <v>22</v>
      </c>
      <c r="DA218" s="475">
        <v>4</v>
      </c>
      <c r="DB218" s="475"/>
      <c r="DC218" s="410"/>
    </row>
    <row r="219" spans="1:107" s="619" customFormat="1" ht="12" hidden="1" customHeight="1" outlineLevel="1">
      <c r="A219" s="752">
        <v>5</v>
      </c>
      <c r="B219" s="573">
        <v>77.976190476190482</v>
      </c>
      <c r="C219" s="475">
        <v>3.8090128799501879</v>
      </c>
      <c r="D219" s="741">
        <v>0.69103053435114503</v>
      </c>
      <c r="E219" s="491">
        <f t="shared" si="132"/>
        <v>0.19351144638779041</v>
      </c>
      <c r="F219" s="438">
        <f t="shared" si="133"/>
        <v>0</v>
      </c>
      <c r="G219" s="438"/>
      <c r="H219" s="475">
        <f t="shared" si="134"/>
        <v>17</v>
      </c>
      <c r="I219" s="473">
        <f t="shared" si="135"/>
        <v>17.350000000000001</v>
      </c>
      <c r="J219" s="473">
        <f t="shared" si="136"/>
        <v>17.350000000000001</v>
      </c>
      <c r="K219" s="491">
        <f t="shared" si="137"/>
        <v>0.65</v>
      </c>
      <c r="L219" s="473">
        <f t="shared" si="193"/>
        <v>17.350000000000001</v>
      </c>
      <c r="M219" s="473">
        <f t="shared" si="138"/>
        <v>3.8090128799501879</v>
      </c>
      <c r="N219" s="473">
        <f>(EnthalpieA(L219,M219,#REF!)*$F$35)+((1-$F$35)*EnthalpieA(BU219,BW219,#REF!))</f>
        <v>27.105647275132263</v>
      </c>
      <c r="O219" s="473">
        <f>(EnthalpieA(L219,M219,#REF!)*$F$34)+((1-$F$34)*EnthalpieA(BU219,BW219,#REF!))</f>
        <v>27.105647275132263</v>
      </c>
      <c r="P219" s="734">
        <f>1-IF(EnthalpieA(L219,M219,#REF!)=S219,$F$35,(S219-EnthalpieA(BU219,BW219,#REF!))/((EnthalpieA(L219,M219,#REF!)-EnthalpieA(BU219,BW219,#REF!))))</f>
        <v>0</v>
      </c>
      <c r="Q219" s="473">
        <f t="shared" si="211"/>
        <v>17.350000000000001</v>
      </c>
      <c r="R219" s="475">
        <f t="shared" si="212"/>
        <v>3.8090128799501879</v>
      </c>
      <c r="S219" s="473">
        <f t="shared" si="213"/>
        <v>27.105647275132263</v>
      </c>
      <c r="T219" s="473">
        <f t="shared" si="139"/>
        <v>17.350000000000001</v>
      </c>
      <c r="U219" s="473">
        <f t="shared" si="140"/>
        <v>17.350000000000001</v>
      </c>
      <c r="V219" s="491">
        <f t="shared" si="141"/>
        <v>0</v>
      </c>
      <c r="W219" s="475">
        <f t="shared" si="194"/>
        <v>17.350000000000001</v>
      </c>
      <c r="X219" s="475">
        <f t="shared" si="195"/>
        <v>3.8090128799501879</v>
      </c>
      <c r="Y219" s="735">
        <f t="shared" si="142"/>
        <v>27.105647275132263</v>
      </c>
      <c r="Z219" s="475">
        <f t="shared" si="196"/>
        <v>9</v>
      </c>
      <c r="AA219" s="475">
        <f>IF($F$36=$D$36,MIN(AbsFeuchte(Z219,100%,$N$19),R219),MIN(AbsFeuchte(Z219,100%,$N$19),X219))</f>
        <v>3.8090128799501879</v>
      </c>
      <c r="AB219" s="735">
        <f t="shared" si="143"/>
        <v>18.646389496093754</v>
      </c>
      <c r="AC219" s="475">
        <f t="shared" si="197"/>
        <v>9</v>
      </c>
      <c r="AD219" s="475">
        <v>0</v>
      </c>
      <c r="AE219" s="735">
        <f t="shared" si="144"/>
        <v>9.0540000000000003</v>
      </c>
      <c r="AF219" s="735">
        <f t="shared" si="198"/>
        <v>9</v>
      </c>
      <c r="AG219" s="735">
        <f t="shared" si="145"/>
        <v>9.9999999999999992E+22</v>
      </c>
      <c r="AH219" s="475">
        <f t="shared" si="146"/>
        <v>17.350000000000001</v>
      </c>
      <c r="AI219" s="475">
        <f t="shared" si="199"/>
        <v>3.8090128799501883</v>
      </c>
      <c r="AJ219" s="735">
        <f t="shared" si="147"/>
        <v>27.105647275132263</v>
      </c>
      <c r="AK219" s="475">
        <f t="shared" si="148"/>
        <v>17.350000000000001</v>
      </c>
      <c r="AL219" s="475">
        <f t="shared" si="200"/>
        <v>3.8090128799501879</v>
      </c>
      <c r="AM219" s="735">
        <f t="shared" si="149"/>
        <v>27.105647275132263</v>
      </c>
      <c r="AN219" s="475">
        <f t="shared" si="214"/>
        <v>22.000000000000004</v>
      </c>
      <c r="AO219" s="475">
        <f t="shared" si="150"/>
        <v>3.8090128799501879</v>
      </c>
      <c r="AP219" s="735">
        <f t="shared" si="201"/>
        <v>31.816491427530956</v>
      </c>
      <c r="AQ219" s="475" t="e">
        <f t="shared" ca="1" si="151"/>
        <v>#NAME?</v>
      </c>
      <c r="AR219" s="475">
        <f t="shared" si="202"/>
        <v>3.8090128799501883</v>
      </c>
      <c r="AS219" s="735" t="e">
        <f t="shared" ca="1" si="152"/>
        <v>#VALUE!</v>
      </c>
      <c r="AT219" s="475">
        <f t="shared" si="203"/>
        <v>22</v>
      </c>
      <c r="AU219" s="475">
        <f t="shared" si="153"/>
        <v>3.8090128799501879</v>
      </c>
      <c r="AV219" s="735">
        <f t="shared" si="154"/>
        <v>31.816491427530956</v>
      </c>
      <c r="AW219" s="529">
        <f t="shared" si="155"/>
        <v>1</v>
      </c>
      <c r="AX219" s="735">
        <f t="shared" si="204"/>
        <v>1</v>
      </c>
      <c r="AY219" s="735">
        <f t="shared" si="156"/>
        <v>0</v>
      </c>
      <c r="AZ219" s="735">
        <f t="shared" si="205"/>
        <v>1</v>
      </c>
      <c r="BA219" s="735">
        <f t="shared" si="206"/>
        <v>0</v>
      </c>
      <c r="BB219" s="735">
        <f>IF($F$36=$D$36,IF(AW219=1,Fall1Tzul(AX219,AY219,BJ219,Q219),0),IF(AW219=1,Fall1Tzul(AX219,AY219,BJ219,W219),0))</f>
        <v>22</v>
      </c>
      <c r="BC219" s="735">
        <f>IF($F$36=$D$36,IF(AW219=1,Fall1xzul(AX219,AY219,BL219,R219),0),IF(AW219=1,Fall1xzul(AX219,AY219,BL219,X219),0))</f>
        <v>3.8090128799501879</v>
      </c>
      <c r="BD219" s="735">
        <f>IF($F$36=$D$36,IF(AW219=2,Fall2Tzul(AX219, AZ219, BJ219,Q219, Z219),0),IF(AW219=2,Fall2Tzul(AX219, AZ219, BJ219,W219, Z219),0))</f>
        <v>0</v>
      </c>
      <c r="BE219" s="735">
        <f>IF($F$36=$D$36,IF(AW219=2,Fall2xzul(AX219,AZ219,BL219,R219,AA219),0),IF(AW219=2,Fall2xzul(AX219,AZ219,BL219,X219,AA219),0))</f>
        <v>0</v>
      </c>
      <c r="BF219" s="735">
        <f t="shared" si="157"/>
        <v>0</v>
      </c>
      <c r="BG219" s="735">
        <f t="shared" si="158"/>
        <v>0</v>
      </c>
      <c r="BH219" s="735">
        <f t="shared" si="159"/>
        <v>0</v>
      </c>
      <c r="BI219" s="735">
        <f t="shared" si="160"/>
        <v>0</v>
      </c>
      <c r="BJ219" s="473">
        <f t="shared" si="161"/>
        <v>22</v>
      </c>
      <c r="BK219" s="491">
        <f t="shared" si="162"/>
        <v>0.21841482647987207</v>
      </c>
      <c r="BL219" s="475">
        <f>AbsFeuchte(BJ219,BK219,$N$19)</f>
        <v>3.8090128799501883</v>
      </c>
      <c r="BM219" s="735">
        <f t="shared" si="163"/>
        <v>31.816491427530956</v>
      </c>
      <c r="BN219" s="473">
        <f t="shared" si="207"/>
        <v>22</v>
      </c>
      <c r="BO219" s="491">
        <f t="shared" si="164"/>
        <v>0.21841482647987204</v>
      </c>
      <c r="BP219" s="475">
        <f t="shared" si="208"/>
        <v>3.8090128799501879</v>
      </c>
      <c r="BQ219" s="735">
        <f t="shared" si="165"/>
        <v>31.816491427530956</v>
      </c>
      <c r="BR219" s="473">
        <f t="shared" si="166"/>
        <v>24</v>
      </c>
      <c r="BS219" s="491">
        <f t="shared" si="167"/>
        <v>0.19351144638779041</v>
      </c>
      <c r="BT219" s="475">
        <f>AbsFeuchte(BR219,BS219,$N$19)</f>
        <v>3.8090128799501883</v>
      </c>
      <c r="BU219" s="576">
        <f>IF($J$21=0,IF(E$13=$S$10,BR219+$N$18,BR219),IF(E$13=$S$10,BR219+$N$18+#REF!,BR219+$J$21))</f>
        <v>24</v>
      </c>
      <c r="BV219" s="491">
        <f t="shared" si="168"/>
        <v>0.19351144638779044</v>
      </c>
      <c r="BW219" s="726">
        <f t="shared" si="169"/>
        <v>3.8090128799501883</v>
      </c>
      <c r="BX219" s="475">
        <f t="shared" si="215"/>
        <v>0</v>
      </c>
      <c r="BY219" s="475">
        <f t="shared" si="216"/>
        <v>4.7108441523986926</v>
      </c>
      <c r="BZ219" s="475">
        <f t="shared" si="170"/>
        <v>0</v>
      </c>
      <c r="CA219" s="475">
        <f t="shared" si="171"/>
        <v>0</v>
      </c>
      <c r="CB219" s="475">
        <f t="shared" si="172"/>
        <v>0</v>
      </c>
      <c r="CC219" s="475">
        <f t="shared" si="173"/>
        <v>4.7108441523986926</v>
      </c>
      <c r="CD219" s="475">
        <f t="shared" si="174"/>
        <v>0</v>
      </c>
      <c r="CE219" s="621">
        <f t="shared" si="175"/>
        <v>0</v>
      </c>
      <c r="CF219" s="621">
        <f t="shared" si="176"/>
        <v>0</v>
      </c>
      <c r="CG219" s="621">
        <f t="shared" si="177"/>
        <v>0</v>
      </c>
      <c r="CH219" s="573">
        <f t="shared" si="178"/>
        <v>0</v>
      </c>
      <c r="CI219" s="621">
        <f t="shared" si="179"/>
        <v>0</v>
      </c>
      <c r="CJ219" s="621">
        <f t="shared" si="180"/>
        <v>0</v>
      </c>
      <c r="CK219" s="621">
        <f t="shared" si="181"/>
        <v>0</v>
      </c>
      <c r="CL219" s="737">
        <f t="shared" si="182"/>
        <v>0</v>
      </c>
      <c r="CM219" s="738">
        <f t="shared" si="183"/>
        <v>0</v>
      </c>
      <c r="CN219" s="475">
        <f t="shared" si="184"/>
        <v>0.21841482647987207</v>
      </c>
      <c r="CO219" s="475">
        <f t="shared" si="185"/>
        <v>0.21841482647987204</v>
      </c>
      <c r="CP219" s="475">
        <f t="shared" si="186"/>
        <v>17.350000000000001</v>
      </c>
      <c r="CQ219" s="475">
        <f t="shared" si="187"/>
        <v>17.350000000000001</v>
      </c>
      <c r="CR219" s="475">
        <f t="shared" si="188"/>
        <v>4.7108441523986926</v>
      </c>
      <c r="CS219" s="475">
        <f t="shared" si="189"/>
        <v>0</v>
      </c>
      <c r="CT219" s="475">
        <f t="shared" si="190"/>
        <v>0</v>
      </c>
      <c r="CU219" s="475">
        <f t="shared" si="191"/>
        <v>22</v>
      </c>
      <c r="CV219" s="475">
        <f t="shared" si="192"/>
        <v>22</v>
      </c>
      <c r="CW219" s="475">
        <f t="shared" si="209"/>
        <v>0</v>
      </c>
      <c r="CX219" s="573">
        <f t="shared" si="217"/>
        <v>0</v>
      </c>
      <c r="CY219" s="475">
        <f t="shared" si="219"/>
        <v>22</v>
      </c>
      <c r="CZ219" s="475">
        <f t="shared" si="218"/>
        <v>22</v>
      </c>
      <c r="DA219" s="475">
        <v>5</v>
      </c>
      <c r="DB219" s="475"/>
      <c r="DC219" s="410"/>
    </row>
    <row r="220" spans="1:107" s="619" customFormat="1" ht="12" hidden="1" customHeight="1" outlineLevel="1">
      <c r="A220" s="752">
        <v>6</v>
      </c>
      <c r="B220" s="573">
        <v>92.55952380952381</v>
      </c>
      <c r="C220" s="475">
        <v>4.2123122477826094</v>
      </c>
      <c r="D220" s="741">
        <v>0.71247588424437291</v>
      </c>
      <c r="E220" s="491">
        <f t="shared" si="132"/>
        <v>0.21386267072032514</v>
      </c>
      <c r="F220" s="438">
        <f t="shared" si="133"/>
        <v>0</v>
      </c>
      <c r="G220" s="438"/>
      <c r="H220" s="475">
        <f t="shared" si="134"/>
        <v>16</v>
      </c>
      <c r="I220" s="473">
        <f t="shared" si="135"/>
        <v>17.700000000000003</v>
      </c>
      <c r="J220" s="473">
        <f t="shared" si="136"/>
        <v>17.700000000000003</v>
      </c>
      <c r="K220" s="491">
        <f t="shared" si="137"/>
        <v>0.65000000000000013</v>
      </c>
      <c r="L220" s="473">
        <f t="shared" si="193"/>
        <v>17.700000000000003</v>
      </c>
      <c r="M220" s="473">
        <f t="shared" si="138"/>
        <v>4.2123122477826094</v>
      </c>
      <c r="N220" s="473">
        <f>(EnthalpieA(L220,M220,E261)*$F$35)+((1-$F$35)*EnthalpieA(BU220,BW220,E261))</f>
        <v>28.482398062874481</v>
      </c>
      <c r="O220" s="473">
        <f>(EnthalpieA(L220,M220,E261)*$F$34)+((1-$F$34)*EnthalpieA(BU220,BW220,E261))</f>
        <v>28.482398062874481</v>
      </c>
      <c r="P220" s="734">
        <f>1-IF(EnthalpieA(L220,M220,E261)=S220,$F$35,(S220-EnthalpieA(BU220,BW220,E261))/((EnthalpieA(L220,M220,E261)-EnthalpieA(BU220,BW220,E261))))</f>
        <v>0</v>
      </c>
      <c r="Q220" s="473">
        <f t="shared" si="211"/>
        <v>17.700000000000003</v>
      </c>
      <c r="R220" s="475">
        <f t="shared" si="212"/>
        <v>4.2123122477826094</v>
      </c>
      <c r="S220" s="473">
        <f t="shared" si="213"/>
        <v>28.482398062874481</v>
      </c>
      <c r="T220" s="473">
        <f t="shared" si="139"/>
        <v>17.700000000000003</v>
      </c>
      <c r="U220" s="473">
        <f t="shared" si="140"/>
        <v>17.700000000000003</v>
      </c>
      <c r="V220" s="491">
        <f t="shared" si="141"/>
        <v>0</v>
      </c>
      <c r="W220" s="475">
        <f t="shared" si="194"/>
        <v>17.700000000000003</v>
      </c>
      <c r="X220" s="475">
        <f t="shared" si="195"/>
        <v>4.2123122477826094</v>
      </c>
      <c r="Y220" s="735">
        <f t="shared" si="142"/>
        <v>28.482398062874481</v>
      </c>
      <c r="Z220" s="475">
        <f t="shared" si="196"/>
        <v>9</v>
      </c>
      <c r="AA220" s="475">
        <f>IF($F$36=$D$36,MIN(AbsFeuchte(Z220,100%,$N$19),R220),MIN(AbsFeuchte(Z220,100%,$N$19),X220))</f>
        <v>4.2123122477826094</v>
      </c>
      <c r="AB220" s="735">
        <f t="shared" si="143"/>
        <v>19.662034426080858</v>
      </c>
      <c r="AC220" s="475">
        <f t="shared" si="197"/>
        <v>9</v>
      </c>
      <c r="AD220" s="475">
        <v>0</v>
      </c>
      <c r="AE220" s="735">
        <f t="shared" si="144"/>
        <v>9.0540000000000003</v>
      </c>
      <c r="AF220" s="735">
        <f t="shared" si="198"/>
        <v>9</v>
      </c>
      <c r="AG220" s="735">
        <f t="shared" si="145"/>
        <v>9.9999999999999992E+22</v>
      </c>
      <c r="AH220" s="475">
        <f t="shared" si="146"/>
        <v>17.700000000000003</v>
      </c>
      <c r="AI220" s="475">
        <f t="shared" si="199"/>
        <v>4.2123122477826112</v>
      </c>
      <c r="AJ220" s="735">
        <f t="shared" si="147"/>
        <v>28.482398062874484</v>
      </c>
      <c r="AK220" s="475">
        <f t="shared" si="148"/>
        <v>17.700000000000003</v>
      </c>
      <c r="AL220" s="475">
        <f t="shared" si="200"/>
        <v>4.2123122477826094</v>
      </c>
      <c r="AM220" s="735">
        <f t="shared" si="149"/>
        <v>28.482398062874481</v>
      </c>
      <c r="AN220" s="475">
        <f t="shared" si="214"/>
        <v>22.000000000000004</v>
      </c>
      <c r="AO220" s="475">
        <f t="shared" si="150"/>
        <v>4.2123122477826094</v>
      </c>
      <c r="AP220" s="735">
        <f t="shared" si="201"/>
        <v>32.841888136232242</v>
      </c>
      <c r="AQ220" s="475" t="e">
        <f t="shared" ca="1" si="151"/>
        <v>#NAME?</v>
      </c>
      <c r="AR220" s="475">
        <f t="shared" si="202"/>
        <v>4.2123122477826112</v>
      </c>
      <c r="AS220" s="735" t="e">
        <f t="shared" ca="1" si="152"/>
        <v>#VALUE!</v>
      </c>
      <c r="AT220" s="475">
        <f t="shared" si="203"/>
        <v>22</v>
      </c>
      <c r="AU220" s="475">
        <f t="shared" si="153"/>
        <v>4.2123122477826094</v>
      </c>
      <c r="AV220" s="735">
        <f t="shared" si="154"/>
        <v>32.841888136232242</v>
      </c>
      <c r="AW220" s="529">
        <f t="shared" si="155"/>
        <v>1</v>
      </c>
      <c r="AX220" s="735">
        <f t="shared" si="204"/>
        <v>1</v>
      </c>
      <c r="AY220" s="735">
        <f t="shared" si="156"/>
        <v>0</v>
      </c>
      <c r="AZ220" s="735">
        <f t="shared" si="205"/>
        <v>1</v>
      </c>
      <c r="BA220" s="735">
        <f t="shared" si="206"/>
        <v>0</v>
      </c>
      <c r="BB220" s="735">
        <f>IF($F$36=$D$36,IF(AW220=1,Fall1Tzul(AX220,AY220,BJ220,Q220),0),IF(AW220=1,Fall1Tzul(AX220,AY220,BJ220,W220),0))</f>
        <v>22</v>
      </c>
      <c r="BC220" s="735">
        <f>IF($F$36=$D$36,IF(AW220=1,Fall1xzul(AX220,AY220,BL220,R220),0),IF(AW220=1,Fall1xzul(AX220,AY220,BL220,X220),0))</f>
        <v>4.2123122477826094</v>
      </c>
      <c r="BD220" s="735">
        <f>IF($F$36=$D$36,IF(AW220=2,Fall2Tzul(AX220, AZ220, BJ220,Q220, Z220),0),IF(AW220=2,Fall2Tzul(AX220, AZ220, BJ220,W220, Z220),0))</f>
        <v>0</v>
      </c>
      <c r="BE220" s="735">
        <f>IF($F$36=$D$36,IF(AW220=2,Fall2xzul(AX220,AZ220,BL220,R220,AA220),0),IF(AW220=2,Fall2xzul(AX220,AZ220,BL220,X220,AA220),0))</f>
        <v>0</v>
      </c>
      <c r="BF220" s="735">
        <f t="shared" si="157"/>
        <v>0</v>
      </c>
      <c r="BG220" s="735">
        <f t="shared" si="158"/>
        <v>0</v>
      </c>
      <c r="BH220" s="735">
        <f t="shared" si="159"/>
        <v>0</v>
      </c>
      <c r="BI220" s="735">
        <f t="shared" si="160"/>
        <v>0</v>
      </c>
      <c r="BJ220" s="473">
        <f t="shared" si="161"/>
        <v>22</v>
      </c>
      <c r="BK220" s="491">
        <f t="shared" si="162"/>
        <v>0.24138509110357753</v>
      </c>
      <c r="BL220" s="475">
        <f>AbsFeuchte(BJ220,BK220,$N$19)</f>
        <v>4.2123122477826112</v>
      </c>
      <c r="BM220" s="735">
        <f t="shared" si="163"/>
        <v>32.841888136232242</v>
      </c>
      <c r="BN220" s="473">
        <f t="shared" si="207"/>
        <v>22</v>
      </c>
      <c r="BO220" s="491">
        <f t="shared" si="164"/>
        <v>0.24138509110357748</v>
      </c>
      <c r="BP220" s="475">
        <f t="shared" si="208"/>
        <v>4.2123122477826094</v>
      </c>
      <c r="BQ220" s="735">
        <f t="shared" si="165"/>
        <v>32.841888136232242</v>
      </c>
      <c r="BR220" s="473">
        <f t="shared" si="166"/>
        <v>24</v>
      </c>
      <c r="BS220" s="491">
        <f t="shared" si="167"/>
        <v>0.21386267072032514</v>
      </c>
      <c r="BT220" s="475">
        <f>AbsFeuchte(BR220,BS220,$N$19)</f>
        <v>4.2123122477826103</v>
      </c>
      <c r="BU220" s="576">
        <f>IF($J$21=0,IF(E$13=$S$10,BR220+$N$18,BR220),IF(E$13=$S$10,BR220+$N$18+#REF!,BR220+$J$21))</f>
        <v>24</v>
      </c>
      <c r="BV220" s="491">
        <f t="shared" si="168"/>
        <v>0.21386267072032519</v>
      </c>
      <c r="BW220" s="726">
        <f t="shared" si="169"/>
        <v>4.2123122477826103</v>
      </c>
      <c r="BX220" s="475">
        <f t="shared" si="215"/>
        <v>0</v>
      </c>
      <c r="BY220" s="475">
        <f t="shared" si="216"/>
        <v>4.3594900733577617</v>
      </c>
      <c r="BZ220" s="475">
        <f t="shared" si="170"/>
        <v>0</v>
      </c>
      <c r="CA220" s="475">
        <f t="shared" si="171"/>
        <v>0</v>
      </c>
      <c r="CB220" s="475">
        <f t="shared" si="172"/>
        <v>0</v>
      </c>
      <c r="CC220" s="475">
        <f t="shared" si="173"/>
        <v>4.3594900733577617</v>
      </c>
      <c r="CD220" s="475">
        <f t="shared" si="174"/>
        <v>0</v>
      </c>
      <c r="CE220" s="621">
        <f t="shared" si="175"/>
        <v>0</v>
      </c>
      <c r="CF220" s="621">
        <f t="shared" si="176"/>
        <v>0</v>
      </c>
      <c r="CG220" s="621">
        <f t="shared" si="177"/>
        <v>0</v>
      </c>
      <c r="CH220" s="573">
        <f t="shared" si="178"/>
        <v>0</v>
      </c>
      <c r="CI220" s="621">
        <f t="shared" si="179"/>
        <v>0</v>
      </c>
      <c r="CJ220" s="621">
        <f t="shared" si="180"/>
        <v>0</v>
      </c>
      <c r="CK220" s="621">
        <f t="shared" si="181"/>
        <v>0</v>
      </c>
      <c r="CL220" s="737">
        <f t="shared" si="182"/>
        <v>0</v>
      </c>
      <c r="CM220" s="738">
        <f t="shared" si="183"/>
        <v>0</v>
      </c>
      <c r="CN220" s="475">
        <f t="shared" si="184"/>
        <v>0.24138509110357753</v>
      </c>
      <c r="CO220" s="475">
        <f t="shared" si="185"/>
        <v>0.24138509110357748</v>
      </c>
      <c r="CP220" s="475">
        <f t="shared" si="186"/>
        <v>17.700000000000003</v>
      </c>
      <c r="CQ220" s="475">
        <f t="shared" si="187"/>
        <v>17.700000000000003</v>
      </c>
      <c r="CR220" s="475">
        <f t="shared" si="188"/>
        <v>4.3594900733577617</v>
      </c>
      <c r="CS220" s="475">
        <f t="shared" si="189"/>
        <v>0</v>
      </c>
      <c r="CT220" s="475">
        <f t="shared" si="190"/>
        <v>0</v>
      </c>
      <c r="CU220" s="475">
        <f t="shared" si="191"/>
        <v>22</v>
      </c>
      <c r="CV220" s="475">
        <f t="shared" si="192"/>
        <v>22</v>
      </c>
      <c r="CW220" s="475">
        <f t="shared" si="209"/>
        <v>0</v>
      </c>
      <c r="CX220" s="573">
        <f t="shared" si="217"/>
        <v>0</v>
      </c>
      <c r="CY220" s="475">
        <f t="shared" si="219"/>
        <v>22</v>
      </c>
      <c r="CZ220" s="475">
        <f t="shared" si="218"/>
        <v>22</v>
      </c>
      <c r="DA220" s="475">
        <v>6</v>
      </c>
      <c r="DB220" s="475"/>
      <c r="DC220" s="410"/>
    </row>
    <row r="221" spans="1:107" s="619" customFormat="1" ht="12" hidden="1" customHeight="1" outlineLevel="1">
      <c r="A221" s="752">
        <v>7</v>
      </c>
      <c r="B221" s="573">
        <v>100.29761904761905</v>
      </c>
      <c r="C221" s="475">
        <v>4.7586458046364495</v>
      </c>
      <c r="D221" s="741">
        <v>0.75065281899109793</v>
      </c>
      <c r="E221" s="491">
        <f t="shared" ref="E221:E249" si="220">MIN(100%,RelFeuchte(BR221,C221,$N$19))</f>
        <v>0.24138989091423152</v>
      </c>
      <c r="F221" s="438">
        <f t="shared" si="133"/>
        <v>0</v>
      </c>
      <c r="G221" s="438"/>
      <c r="H221" s="475">
        <f t="shared" si="134"/>
        <v>15</v>
      </c>
      <c r="I221" s="473">
        <f t="shared" si="135"/>
        <v>18.05</v>
      </c>
      <c r="J221" s="473">
        <f t="shared" si="136"/>
        <v>18.05</v>
      </c>
      <c r="K221" s="491">
        <f t="shared" si="137"/>
        <v>0.65</v>
      </c>
      <c r="L221" s="473">
        <f t="shared" si="193"/>
        <v>18.05</v>
      </c>
      <c r="M221" s="473">
        <f t="shared" si="138"/>
        <v>4.7586458046364495</v>
      </c>
      <c r="N221" s="473">
        <f>(EnthalpieA(L221,M221,E262)*$F$35)+((1-$F$35)*EnthalpieA(BU221,BW221,E262))</f>
        <v>30.222290360477601</v>
      </c>
      <c r="O221" s="473">
        <f>(EnthalpieA(L221,M221,E262)*$F$34)+((1-$F$34)*EnthalpieA(BU221,BW221,E262))</f>
        <v>30.222290360477601</v>
      </c>
      <c r="P221" s="734">
        <f>1-IF(EnthalpieA(L221,M221,E262)=S221,$F$35,(S221-EnthalpieA(BU221,BW221,E262))/((EnthalpieA(L221,M221,E262)-EnthalpieA(BU221,BW221,E262))))</f>
        <v>0</v>
      </c>
      <c r="Q221" s="473">
        <f t="shared" si="211"/>
        <v>18.05</v>
      </c>
      <c r="R221" s="475">
        <f t="shared" si="212"/>
        <v>4.7586458046364495</v>
      </c>
      <c r="S221" s="473">
        <f t="shared" si="213"/>
        <v>30.222290360477601</v>
      </c>
      <c r="T221" s="473">
        <f t="shared" si="139"/>
        <v>18.05</v>
      </c>
      <c r="U221" s="473">
        <f t="shared" si="140"/>
        <v>18.05</v>
      </c>
      <c r="V221" s="491">
        <f t="shared" si="141"/>
        <v>0</v>
      </c>
      <c r="W221" s="475">
        <f t="shared" si="194"/>
        <v>18.05</v>
      </c>
      <c r="X221" s="475">
        <f t="shared" si="195"/>
        <v>4.7586458046364495</v>
      </c>
      <c r="Y221" s="735">
        <f t="shared" ref="Y221:Y249" si="221">EnthalpieA(W221,X221,$N$19)</f>
        <v>30.222290360477601</v>
      </c>
      <c r="Z221" s="475">
        <f t="shared" si="196"/>
        <v>9</v>
      </c>
      <c r="AA221" s="475">
        <f>IF($F$36=$D$36,MIN(AbsFeuchte(Z221,100%,$N$19),R221),MIN(AbsFeuchte(Z221,100%,$N$19),X221))</f>
        <v>4.7586458046364495</v>
      </c>
      <c r="AB221" s="735">
        <f t="shared" ref="AB221:AB249" si="222">EnthalpieA(Z221,AA221,$N$19)</f>
        <v>21.037888075648155</v>
      </c>
      <c r="AC221" s="475">
        <f t="shared" si="197"/>
        <v>9</v>
      </c>
      <c r="AD221" s="475">
        <v>0</v>
      </c>
      <c r="AE221" s="735">
        <f t="shared" ref="AE221:AE249" si="223">EnthalpieA(AC221,AD221,$N$19)</f>
        <v>9.0540000000000003</v>
      </c>
      <c r="AF221" s="735">
        <f t="shared" si="198"/>
        <v>9</v>
      </c>
      <c r="AG221" s="735">
        <f t="shared" si="145"/>
        <v>9.9999999999999992E+22</v>
      </c>
      <c r="AH221" s="475">
        <f t="shared" si="146"/>
        <v>18.05</v>
      </c>
      <c r="AI221" s="475">
        <f t="shared" si="199"/>
        <v>4.7586458046364486</v>
      </c>
      <c r="AJ221" s="735">
        <f t="shared" ref="AJ221:AJ249" si="224">EnthalpieA(AH221,AI221,$N$19)</f>
        <v>30.222290360477601</v>
      </c>
      <c r="AK221" s="475">
        <f t="shared" si="148"/>
        <v>18.05</v>
      </c>
      <c r="AL221" s="475">
        <f t="shared" si="200"/>
        <v>4.7586458046364495</v>
      </c>
      <c r="AM221" s="735">
        <f t="shared" ref="AM221:AM249" si="225">EnthalpieA(AK221,AL221,$N$19)</f>
        <v>30.222290360477601</v>
      </c>
      <c r="AN221" s="475">
        <f t="shared" si="214"/>
        <v>22</v>
      </c>
      <c r="AO221" s="475">
        <f t="shared" si="150"/>
        <v>4.7586458046364495</v>
      </c>
      <c r="AP221" s="735">
        <f t="shared" si="201"/>
        <v>34.230952131204262</v>
      </c>
      <c r="AQ221" s="475" t="e">
        <f t="shared" ref="AQ221:AQ249" ca="1" si="226">TaupunktA(AR221,$N$19)</f>
        <v>#NAME?</v>
      </c>
      <c r="AR221" s="475">
        <f t="shared" si="202"/>
        <v>4.7586458046364486</v>
      </c>
      <c r="AS221" s="735" t="e">
        <f t="shared" ref="AS221:AS249" ca="1" si="227">EnthalpieA(AQ221,AR221,$N$19)</f>
        <v>#VALUE!</v>
      </c>
      <c r="AT221" s="475">
        <f t="shared" si="203"/>
        <v>22</v>
      </c>
      <c r="AU221" s="475">
        <f t="shared" si="153"/>
        <v>4.7586458046364495</v>
      </c>
      <c r="AV221" s="735">
        <f t="shared" ref="AV221:AV249" si="228">EnthalpieA(AT221,AU221,$N$19)</f>
        <v>34.230952131204262</v>
      </c>
      <c r="AW221" s="529">
        <f t="shared" si="155"/>
        <v>1</v>
      </c>
      <c r="AX221" s="735">
        <f t="shared" si="204"/>
        <v>1</v>
      </c>
      <c r="AY221" s="735">
        <f t="shared" si="156"/>
        <v>0</v>
      </c>
      <c r="AZ221" s="735">
        <f t="shared" si="205"/>
        <v>1</v>
      </c>
      <c r="BA221" s="735">
        <f t="shared" si="206"/>
        <v>0</v>
      </c>
      <c r="BB221" s="735">
        <f>IF($F$36=$D$36,IF(AW221=1,Fall1Tzul(AX221,AY221,BJ221,Q221),0),IF(AW221=1,Fall1Tzul(AX221,AY221,BJ221,W221),0))</f>
        <v>22</v>
      </c>
      <c r="BC221" s="735">
        <f>IF($F$36=$D$36,IF(AW221=1,Fall1xzul(AX221,AY221,BL221,R221),0),IF(AW221=1,Fall1xzul(AX221,AY221,BL221,X221),0))</f>
        <v>4.7586458046364495</v>
      </c>
      <c r="BD221" s="735">
        <f>IF($F$36=$D$36,IF(AW221=2,Fall2Tzul(AX221, AZ221, BJ221,Q221, Z221),0),IF(AW221=2,Fall2Tzul(AX221, AZ221, BJ221,W221, Z221),0))</f>
        <v>0</v>
      </c>
      <c r="BE221" s="735">
        <f>IF($F$36=$D$36,IF(AW221=2,Fall2xzul(AX221,AZ221,BL221,R221,AA221),0),IF(AW221=2,Fall2xzul(AX221,AZ221,BL221,X221,AA221),0))</f>
        <v>0</v>
      </c>
      <c r="BF221" s="735">
        <f t="shared" si="157"/>
        <v>0</v>
      </c>
      <c r="BG221" s="735">
        <f t="shared" si="158"/>
        <v>0</v>
      </c>
      <c r="BH221" s="735">
        <f t="shared" si="159"/>
        <v>0</v>
      </c>
      <c r="BI221" s="735">
        <f t="shared" si="160"/>
        <v>0</v>
      </c>
      <c r="BJ221" s="473">
        <f t="shared" si="161"/>
        <v>22</v>
      </c>
      <c r="BK221" s="491">
        <f t="shared" ref="BK221:BK249" si="229">MIN(1,RelFeuchte(BJ221,BT221,$N$19))</f>
        <v>0.27245484503470535</v>
      </c>
      <c r="BL221" s="475">
        <f>AbsFeuchte(BJ221,BK221,$N$19)</f>
        <v>4.7586458046364486</v>
      </c>
      <c r="BM221" s="735">
        <f t="shared" ref="BM221:BM249" si="230">EnthalpieA(BJ221,BL221,$N$19)</f>
        <v>34.230952131204262</v>
      </c>
      <c r="BN221" s="473">
        <f t="shared" si="207"/>
        <v>22</v>
      </c>
      <c r="BO221" s="491">
        <f t="shared" ref="BO221:BO249" si="231">MIN(1,RelFeuchte(BN221,BP221,$N$19))</f>
        <v>0.27245484503470541</v>
      </c>
      <c r="BP221" s="475">
        <f t="shared" si="208"/>
        <v>4.7586458046364495</v>
      </c>
      <c r="BQ221" s="735">
        <f t="shared" ref="BQ221:BQ249" si="232">EnthalpieA(BN221,BP221,$N$19)</f>
        <v>34.230952131204262</v>
      </c>
      <c r="BR221" s="473">
        <f t="shared" si="166"/>
        <v>24</v>
      </c>
      <c r="BS221" s="491">
        <f t="shared" si="167"/>
        <v>0.24138989091423152</v>
      </c>
      <c r="BT221" s="475">
        <f>AbsFeuchte(BR221,BS221,$N$19)</f>
        <v>4.7586458046364486</v>
      </c>
      <c r="BU221" s="576">
        <f>IF($J$21=0,IF(E$13=$S$10,BR221+$N$18,BR221),IF(E$13=$S$10,BR221+$N$18+#REF!,BR221+$J$21))</f>
        <v>24</v>
      </c>
      <c r="BV221" s="491">
        <f t="shared" ref="BV221:BV249" si="233">RelFeuchte(BU221,BW221,$N$19)</f>
        <v>0.24138989091423146</v>
      </c>
      <c r="BW221" s="726">
        <f t="shared" si="169"/>
        <v>4.7586458046364486</v>
      </c>
      <c r="BX221" s="475">
        <f t="shared" si="215"/>
        <v>0</v>
      </c>
      <c r="BY221" s="475">
        <f t="shared" si="216"/>
        <v>4.0086617707266612</v>
      </c>
      <c r="BZ221" s="475">
        <f t="shared" si="170"/>
        <v>0</v>
      </c>
      <c r="CA221" s="475">
        <f t="shared" si="171"/>
        <v>0</v>
      </c>
      <c r="CB221" s="475">
        <f t="shared" si="172"/>
        <v>0</v>
      </c>
      <c r="CC221" s="475">
        <f t="shared" si="173"/>
        <v>4.0086617707266612</v>
      </c>
      <c r="CD221" s="475">
        <f t="shared" si="174"/>
        <v>0</v>
      </c>
      <c r="CE221" s="621">
        <f t="shared" si="175"/>
        <v>0</v>
      </c>
      <c r="CF221" s="621">
        <f t="shared" si="176"/>
        <v>0</v>
      </c>
      <c r="CG221" s="621">
        <f t="shared" si="177"/>
        <v>0</v>
      </c>
      <c r="CH221" s="573">
        <f t="shared" si="178"/>
        <v>0</v>
      </c>
      <c r="CI221" s="621">
        <f t="shared" si="179"/>
        <v>0</v>
      </c>
      <c r="CJ221" s="621">
        <f t="shared" si="180"/>
        <v>0</v>
      </c>
      <c r="CK221" s="621">
        <f t="shared" si="181"/>
        <v>0</v>
      </c>
      <c r="CL221" s="737">
        <f t="shared" si="182"/>
        <v>0</v>
      </c>
      <c r="CM221" s="738">
        <f t="shared" si="183"/>
        <v>0</v>
      </c>
      <c r="CN221" s="475">
        <f t="shared" si="184"/>
        <v>0.27245484503470535</v>
      </c>
      <c r="CO221" s="475">
        <f t="shared" si="185"/>
        <v>0.27245484503470541</v>
      </c>
      <c r="CP221" s="475">
        <f t="shared" si="186"/>
        <v>18.05</v>
      </c>
      <c r="CQ221" s="475">
        <f t="shared" si="187"/>
        <v>18.05</v>
      </c>
      <c r="CR221" s="475">
        <f t="shared" si="188"/>
        <v>4.0086617707266612</v>
      </c>
      <c r="CS221" s="475">
        <f t="shared" si="189"/>
        <v>0</v>
      </c>
      <c r="CT221" s="475">
        <f t="shared" si="190"/>
        <v>0</v>
      </c>
      <c r="CU221" s="475">
        <f t="shared" si="191"/>
        <v>22</v>
      </c>
      <c r="CV221" s="475">
        <f t="shared" si="192"/>
        <v>22</v>
      </c>
      <c r="CW221" s="475">
        <f t="shared" si="209"/>
        <v>0</v>
      </c>
      <c r="CX221" s="573">
        <f t="shared" si="217"/>
        <v>0</v>
      </c>
      <c r="CY221" s="475">
        <f t="shared" si="219"/>
        <v>22</v>
      </c>
      <c r="CZ221" s="475">
        <f t="shared" si="218"/>
        <v>22</v>
      </c>
      <c r="DA221" s="475">
        <v>7</v>
      </c>
      <c r="DB221" s="475"/>
      <c r="DC221" s="410"/>
    </row>
    <row r="222" spans="1:107" s="619" customFormat="1" ht="12" hidden="1" customHeight="1" outlineLevel="1">
      <c r="A222" s="752">
        <v>8</v>
      </c>
      <c r="B222" s="573">
        <v>103.27380952380953</v>
      </c>
      <c r="C222" s="475">
        <v>4.9173270993533746</v>
      </c>
      <c r="D222" s="741">
        <v>0.72426512968299717</v>
      </c>
      <c r="E222" s="491">
        <f t="shared" si="220"/>
        <v>0.24937611596867709</v>
      </c>
      <c r="F222" s="438">
        <f t="shared" si="133"/>
        <v>0</v>
      </c>
      <c r="G222" s="438"/>
      <c r="H222" s="475">
        <f t="shared" si="134"/>
        <v>14</v>
      </c>
      <c r="I222" s="473">
        <f t="shared" si="135"/>
        <v>18.399999999999999</v>
      </c>
      <c r="J222" s="473">
        <f t="shared" si="136"/>
        <v>18.399999999999999</v>
      </c>
      <c r="K222" s="491">
        <f t="shared" si="137"/>
        <v>0.64999999999999991</v>
      </c>
      <c r="L222" s="473">
        <f t="shared" si="193"/>
        <v>18.399999999999999</v>
      </c>
      <c r="M222" s="473">
        <f t="shared" si="138"/>
        <v>4.9173270993533746</v>
      </c>
      <c r="N222" s="473">
        <f>(EnthalpieA(L222,M222,E263)*$F$35)+((1-$F$35)*EnthalpieA(BU222,BW222,E263))</f>
        <v>30.979876074390667</v>
      </c>
      <c r="O222" s="473">
        <f>(EnthalpieA(L222,M222,E263)*$F$34)+((1-$F$34)*EnthalpieA(BU222,BW222,E263))</f>
        <v>30.979876074390667</v>
      </c>
      <c r="P222" s="734">
        <f>1-IF(EnthalpieA(L222,M222,E263)=S222,$F$35,(S222-EnthalpieA(BU222,BW222,E263))/((EnthalpieA(L222,M222,E263)-EnthalpieA(BU222,BW222,E263))))</f>
        <v>0</v>
      </c>
      <c r="Q222" s="473">
        <f t="shared" si="211"/>
        <v>18.399999999999999</v>
      </c>
      <c r="R222" s="475">
        <f t="shared" si="212"/>
        <v>4.9173270993533746</v>
      </c>
      <c r="S222" s="473">
        <f t="shared" si="213"/>
        <v>30.979876074390667</v>
      </c>
      <c r="T222" s="473">
        <f t="shared" si="139"/>
        <v>18.399999999999999</v>
      </c>
      <c r="U222" s="473">
        <f t="shared" si="140"/>
        <v>18.399999999999999</v>
      </c>
      <c r="V222" s="491">
        <f t="shared" si="141"/>
        <v>0</v>
      </c>
      <c r="W222" s="475">
        <f t="shared" si="194"/>
        <v>18.399999999999999</v>
      </c>
      <c r="X222" s="475">
        <f t="shared" si="195"/>
        <v>4.9173270993533746</v>
      </c>
      <c r="Y222" s="735">
        <f t="shared" si="221"/>
        <v>30.979876074390667</v>
      </c>
      <c r="Z222" s="475">
        <f t="shared" si="196"/>
        <v>9</v>
      </c>
      <c r="AA222" s="475">
        <f>IF($F$36=$D$36,MIN(AbsFeuchte(Z222,100%,$N$19),R222),MIN(AbsFeuchte(Z222,100%,$N$19),X222))</f>
        <v>4.9173270993533746</v>
      </c>
      <c r="AB222" s="735">
        <f t="shared" si="222"/>
        <v>21.437501527385578</v>
      </c>
      <c r="AC222" s="475">
        <f t="shared" si="197"/>
        <v>9</v>
      </c>
      <c r="AD222" s="475">
        <v>0</v>
      </c>
      <c r="AE222" s="735">
        <f t="shared" si="223"/>
        <v>9.0540000000000003</v>
      </c>
      <c r="AF222" s="735">
        <f t="shared" si="198"/>
        <v>9</v>
      </c>
      <c r="AG222" s="735">
        <f t="shared" si="145"/>
        <v>9.9999999999999992E+22</v>
      </c>
      <c r="AH222" s="475">
        <f t="shared" si="146"/>
        <v>18.399999999999999</v>
      </c>
      <c r="AI222" s="475">
        <f t="shared" si="199"/>
        <v>4.9173270993533738</v>
      </c>
      <c r="AJ222" s="735">
        <f t="shared" si="224"/>
        <v>30.979876074390667</v>
      </c>
      <c r="AK222" s="475">
        <f t="shared" si="148"/>
        <v>18.399999999999999</v>
      </c>
      <c r="AL222" s="475">
        <f t="shared" si="200"/>
        <v>4.9173270993533746</v>
      </c>
      <c r="AM222" s="735">
        <f t="shared" si="225"/>
        <v>30.979876074390667</v>
      </c>
      <c r="AN222" s="475">
        <f t="shared" si="214"/>
        <v>22</v>
      </c>
      <c r="AO222" s="475">
        <f t="shared" si="150"/>
        <v>4.9173270993533746</v>
      </c>
      <c r="AP222" s="735">
        <f t="shared" si="201"/>
        <v>34.634402496647937</v>
      </c>
      <c r="AQ222" s="475" t="e">
        <f t="shared" ca="1" si="226"/>
        <v>#NAME?</v>
      </c>
      <c r="AR222" s="475">
        <f t="shared" si="202"/>
        <v>4.9173270993533738</v>
      </c>
      <c r="AS222" s="735" t="e">
        <f t="shared" ca="1" si="227"/>
        <v>#VALUE!</v>
      </c>
      <c r="AT222" s="475">
        <f t="shared" si="203"/>
        <v>22</v>
      </c>
      <c r="AU222" s="475">
        <f t="shared" si="153"/>
        <v>4.9173270993533746</v>
      </c>
      <c r="AV222" s="735">
        <f t="shared" si="228"/>
        <v>34.634402496647944</v>
      </c>
      <c r="AW222" s="529">
        <f t="shared" si="155"/>
        <v>1</v>
      </c>
      <c r="AX222" s="735">
        <f t="shared" si="204"/>
        <v>1</v>
      </c>
      <c r="AY222" s="735">
        <f t="shared" si="156"/>
        <v>0</v>
      </c>
      <c r="AZ222" s="735">
        <f t="shared" si="205"/>
        <v>1</v>
      </c>
      <c r="BA222" s="735">
        <f t="shared" si="206"/>
        <v>0</v>
      </c>
      <c r="BB222" s="735">
        <f>IF($F$36=$D$36,IF(AW222=1,Fall1Tzul(AX222,AY222,BJ222,Q222),0),IF(AW222=1,Fall1Tzul(AX222,AY222,BJ222,W222),0))</f>
        <v>22</v>
      </c>
      <c r="BC222" s="735">
        <f>IF($F$36=$D$36,IF(AW222=1,Fall1xzul(AX222,AY222,BL222,R222),0),IF(AW222=1,Fall1xzul(AX222,AY222,BL222,X222),0))</f>
        <v>4.9173270993533746</v>
      </c>
      <c r="BD222" s="735">
        <f>IF($F$36=$D$36,IF(AW222=2,Fall2Tzul(AX222, AZ222, BJ222,Q222, Z222),0),IF(AW222=2,Fall2Tzul(AX222, AZ222, BJ222,W222, Z222),0))</f>
        <v>0</v>
      </c>
      <c r="BE222" s="735">
        <f>IF($F$36=$D$36,IF(AW222=2,Fall2xzul(AX222,AZ222,BL222,R222,AA222),0),IF(AW222=2,Fall2xzul(AX222,AZ222,BL222,X222,AA222),0))</f>
        <v>0</v>
      </c>
      <c r="BF222" s="735">
        <f t="shared" si="157"/>
        <v>0</v>
      </c>
      <c r="BG222" s="735">
        <f t="shared" si="158"/>
        <v>0</v>
      </c>
      <c r="BH222" s="735">
        <f t="shared" si="159"/>
        <v>0</v>
      </c>
      <c r="BI222" s="735">
        <f t="shared" si="160"/>
        <v>0</v>
      </c>
      <c r="BJ222" s="473">
        <f t="shared" si="161"/>
        <v>22</v>
      </c>
      <c r="BK222" s="491">
        <f t="shared" si="229"/>
        <v>0.28146883357159219</v>
      </c>
      <c r="BL222" s="475">
        <f>AbsFeuchte(BJ222,BK222,$N$19)</f>
        <v>4.9173270993533738</v>
      </c>
      <c r="BM222" s="735">
        <f t="shared" si="230"/>
        <v>34.634402496647937</v>
      </c>
      <c r="BN222" s="473">
        <f t="shared" si="207"/>
        <v>22</v>
      </c>
      <c r="BO222" s="491">
        <f t="shared" si="231"/>
        <v>0.28146883357159219</v>
      </c>
      <c r="BP222" s="475">
        <f t="shared" si="208"/>
        <v>4.9173270993533746</v>
      </c>
      <c r="BQ222" s="735">
        <f t="shared" si="232"/>
        <v>34.634402496647944</v>
      </c>
      <c r="BR222" s="473">
        <f t="shared" si="166"/>
        <v>24</v>
      </c>
      <c r="BS222" s="491">
        <f t="shared" si="167"/>
        <v>0.24937611596867709</v>
      </c>
      <c r="BT222" s="475">
        <f>AbsFeuchte(BR222,BS222,$N$19)</f>
        <v>4.9173270993533746</v>
      </c>
      <c r="BU222" s="576">
        <f>IF($J$21=0,IF(E$13=$S$10,BR222+$N$18,BR222),IF(E$13=$S$10,BR222+$N$18+#REF!,BR222+$J$21))</f>
        <v>24</v>
      </c>
      <c r="BV222" s="491">
        <f t="shared" si="233"/>
        <v>0.24937611596867709</v>
      </c>
      <c r="BW222" s="726">
        <f t="shared" si="169"/>
        <v>4.9173270993533746</v>
      </c>
      <c r="BX222" s="475">
        <f t="shared" si="215"/>
        <v>0</v>
      </c>
      <c r="BY222" s="475">
        <f t="shared" si="216"/>
        <v>3.6545264222572769</v>
      </c>
      <c r="BZ222" s="475">
        <f t="shared" si="170"/>
        <v>0</v>
      </c>
      <c r="CA222" s="475">
        <f t="shared" si="171"/>
        <v>0</v>
      </c>
      <c r="CB222" s="475">
        <f t="shared" si="172"/>
        <v>0</v>
      </c>
      <c r="CC222" s="475">
        <f t="shared" si="173"/>
        <v>3.6545264222572769</v>
      </c>
      <c r="CD222" s="475">
        <f t="shared" si="174"/>
        <v>0</v>
      </c>
      <c r="CE222" s="621">
        <f t="shared" si="175"/>
        <v>0</v>
      </c>
      <c r="CF222" s="621">
        <f t="shared" si="176"/>
        <v>0</v>
      </c>
      <c r="CG222" s="621">
        <f t="shared" si="177"/>
        <v>0</v>
      </c>
      <c r="CH222" s="573">
        <f t="shared" si="178"/>
        <v>0</v>
      </c>
      <c r="CI222" s="621">
        <f t="shared" si="179"/>
        <v>0</v>
      </c>
      <c r="CJ222" s="621">
        <f t="shared" si="180"/>
        <v>0</v>
      </c>
      <c r="CK222" s="621">
        <f t="shared" si="181"/>
        <v>0</v>
      </c>
      <c r="CL222" s="737">
        <f t="shared" si="182"/>
        <v>0</v>
      </c>
      <c r="CM222" s="738">
        <f t="shared" si="183"/>
        <v>0</v>
      </c>
      <c r="CN222" s="475">
        <f t="shared" si="184"/>
        <v>0.28146883357159219</v>
      </c>
      <c r="CO222" s="475">
        <f t="shared" si="185"/>
        <v>0.28146883357159219</v>
      </c>
      <c r="CP222" s="475">
        <f t="shared" si="186"/>
        <v>18.399999999999999</v>
      </c>
      <c r="CQ222" s="475">
        <f t="shared" si="187"/>
        <v>18.399999999999999</v>
      </c>
      <c r="CR222" s="475">
        <f t="shared" si="188"/>
        <v>3.6545264222572769</v>
      </c>
      <c r="CS222" s="475">
        <f t="shared" si="189"/>
        <v>0</v>
      </c>
      <c r="CT222" s="475">
        <f t="shared" si="190"/>
        <v>0</v>
      </c>
      <c r="CU222" s="475">
        <f t="shared" si="191"/>
        <v>22</v>
      </c>
      <c r="CV222" s="475">
        <f t="shared" si="192"/>
        <v>22</v>
      </c>
      <c r="CW222" s="475">
        <f t="shared" si="209"/>
        <v>0</v>
      </c>
      <c r="CX222" s="573">
        <f t="shared" si="217"/>
        <v>0</v>
      </c>
      <c r="CY222" s="475">
        <f t="shared" si="219"/>
        <v>22</v>
      </c>
      <c r="CZ222" s="475">
        <f t="shared" si="218"/>
        <v>22</v>
      </c>
      <c r="DA222" s="475">
        <v>8</v>
      </c>
      <c r="DB222" s="475"/>
      <c r="DC222" s="410"/>
    </row>
    <row r="223" spans="1:107" s="619" customFormat="1" ht="12" hidden="1" customHeight="1" outlineLevel="1">
      <c r="A223" s="752">
        <v>9</v>
      </c>
      <c r="B223" s="573">
        <v>118.75</v>
      </c>
      <c r="C223" s="475">
        <v>5.1973387635448116</v>
      </c>
      <c r="D223" s="741">
        <v>0.71501253132832077</v>
      </c>
      <c r="E223" s="491">
        <f t="shared" si="220"/>
        <v>0.26345888506559334</v>
      </c>
      <c r="F223" s="438">
        <f t="shared" si="133"/>
        <v>0</v>
      </c>
      <c r="G223" s="438"/>
      <c r="H223" s="475">
        <f t="shared" si="134"/>
        <v>13</v>
      </c>
      <c r="I223" s="473">
        <f t="shared" si="135"/>
        <v>18.75</v>
      </c>
      <c r="J223" s="473">
        <f t="shared" si="136"/>
        <v>18.75</v>
      </c>
      <c r="K223" s="491">
        <f t="shared" si="137"/>
        <v>0.65</v>
      </c>
      <c r="L223" s="473">
        <f t="shared" si="193"/>
        <v>18.75</v>
      </c>
      <c r="M223" s="473">
        <f t="shared" si="138"/>
        <v>5.1973387635448116</v>
      </c>
      <c r="N223" s="473">
        <f>(EnthalpieA(L223,M223,AB116)*$F$35)+((1-$F$35)*EnthalpieA(BU223,BW223,AB116))</f>
        <v>32.045419840262326</v>
      </c>
      <c r="O223" s="473">
        <f>(EnthalpieA(L223,M223,AB116)*$F$34)+((1-$F$34)*EnthalpieA(BU223,BW223,AB116))</f>
        <v>32.045419840262326</v>
      </c>
      <c r="P223" s="734">
        <f>1-IF(EnthalpieA(L223,M223,AB116)=S223,$F$35,(S223-EnthalpieA(BU223,BW223,AB116))/((EnthalpieA(L223,M223,AB116)-EnthalpieA(BU223,BW223,AB116))))</f>
        <v>0</v>
      </c>
      <c r="Q223" s="473">
        <f t="shared" si="211"/>
        <v>18.75</v>
      </c>
      <c r="R223" s="475">
        <f t="shared" si="212"/>
        <v>5.1973387635448116</v>
      </c>
      <c r="S223" s="473">
        <f t="shared" si="213"/>
        <v>32.045419840262326</v>
      </c>
      <c r="T223" s="473">
        <f t="shared" si="139"/>
        <v>18.75</v>
      </c>
      <c r="U223" s="473">
        <f t="shared" si="140"/>
        <v>18.75</v>
      </c>
      <c r="V223" s="491">
        <f t="shared" si="141"/>
        <v>0</v>
      </c>
      <c r="W223" s="475">
        <f t="shared" si="194"/>
        <v>18.75</v>
      </c>
      <c r="X223" s="475">
        <f t="shared" si="195"/>
        <v>5.1973387635448116</v>
      </c>
      <c r="Y223" s="735">
        <f t="shared" si="221"/>
        <v>32.045419840262326</v>
      </c>
      <c r="Z223" s="475">
        <f t="shared" si="196"/>
        <v>9</v>
      </c>
      <c r="AA223" s="475">
        <f>IF($F$36=$D$36,MIN(AbsFeuchte(Z223,100%,$N$19),R223),MIN(AbsFeuchte(Z223,100%,$N$19),X223))</f>
        <v>5.1973387635448116</v>
      </c>
      <c r="AB223" s="735">
        <f t="shared" si="222"/>
        <v>22.142666101785437</v>
      </c>
      <c r="AC223" s="475">
        <f t="shared" si="197"/>
        <v>9</v>
      </c>
      <c r="AD223" s="475">
        <v>0</v>
      </c>
      <c r="AE223" s="735">
        <f t="shared" si="223"/>
        <v>9.0540000000000003</v>
      </c>
      <c r="AF223" s="735">
        <f t="shared" si="198"/>
        <v>9</v>
      </c>
      <c r="AG223" s="735">
        <f t="shared" si="145"/>
        <v>9.9999999999999992E+22</v>
      </c>
      <c r="AH223" s="475">
        <f t="shared" si="146"/>
        <v>18.75</v>
      </c>
      <c r="AI223" s="475">
        <f t="shared" si="199"/>
        <v>5.1973387635448116</v>
      </c>
      <c r="AJ223" s="735">
        <f t="shared" si="224"/>
        <v>32.045419840262326</v>
      </c>
      <c r="AK223" s="475">
        <f t="shared" si="148"/>
        <v>18.75</v>
      </c>
      <c r="AL223" s="475">
        <f t="shared" si="200"/>
        <v>5.1973387635448116</v>
      </c>
      <c r="AM223" s="735">
        <f t="shared" si="225"/>
        <v>32.045419840262326</v>
      </c>
      <c r="AN223" s="475">
        <f t="shared" si="214"/>
        <v>22</v>
      </c>
      <c r="AO223" s="475">
        <f t="shared" si="150"/>
        <v>5.1973387635448116</v>
      </c>
      <c r="AP223" s="735">
        <f t="shared" si="201"/>
        <v>35.346337753087958</v>
      </c>
      <c r="AQ223" s="475" t="e">
        <f t="shared" ca="1" si="226"/>
        <v>#NAME?</v>
      </c>
      <c r="AR223" s="475">
        <f t="shared" si="202"/>
        <v>5.1973387635448116</v>
      </c>
      <c r="AS223" s="735" t="e">
        <f t="shared" ca="1" si="227"/>
        <v>#VALUE!</v>
      </c>
      <c r="AT223" s="475">
        <f t="shared" si="203"/>
        <v>22</v>
      </c>
      <c r="AU223" s="475">
        <f t="shared" si="153"/>
        <v>5.1973387635448116</v>
      </c>
      <c r="AV223" s="735">
        <f t="shared" si="228"/>
        <v>35.346337753087958</v>
      </c>
      <c r="AW223" s="529">
        <f t="shared" si="155"/>
        <v>1</v>
      </c>
      <c r="AX223" s="735">
        <f t="shared" si="204"/>
        <v>1</v>
      </c>
      <c r="AY223" s="735">
        <f t="shared" si="156"/>
        <v>0</v>
      </c>
      <c r="AZ223" s="735">
        <f t="shared" si="205"/>
        <v>1</v>
      </c>
      <c r="BA223" s="735">
        <f t="shared" si="206"/>
        <v>0</v>
      </c>
      <c r="BB223" s="735">
        <f>IF($F$36=$D$36,IF(AW223=1,Fall1Tzul(AX223,AY223,BJ223,Q223),0),IF(AW223=1,Fall1Tzul(AX223,AY223,BJ223,W223),0))</f>
        <v>22</v>
      </c>
      <c r="BC223" s="735">
        <f>IF($F$36=$D$36,IF(AW223=1,Fall1xzul(AX223,AY223,BL223,R223),0),IF(AW223=1,Fall1xzul(AX223,AY223,BL223,X223),0))</f>
        <v>5.1973387635448116</v>
      </c>
      <c r="BD223" s="735">
        <f>IF($F$36=$D$36,IF(AW223=2,Fall2Tzul(AX223, AZ223, BJ223,Q223, Z223),0),IF(AW223=2,Fall2Tzul(AX223, AZ223, BJ223,W223, Z223),0))</f>
        <v>0</v>
      </c>
      <c r="BE223" s="735">
        <f>IF($F$36=$D$36,IF(AW223=2,Fall2xzul(AX223,AZ223,BL223,R223,AA223),0),IF(AW223=2,Fall2xzul(AX223,AZ223,BL223,X223,AA223),0))</f>
        <v>0</v>
      </c>
      <c r="BF223" s="735">
        <f t="shared" si="157"/>
        <v>0</v>
      </c>
      <c r="BG223" s="735">
        <f t="shared" si="158"/>
        <v>0</v>
      </c>
      <c r="BH223" s="735">
        <f t="shared" si="159"/>
        <v>0</v>
      </c>
      <c r="BI223" s="735">
        <f t="shared" si="160"/>
        <v>0</v>
      </c>
      <c r="BJ223" s="473">
        <f t="shared" si="161"/>
        <v>22</v>
      </c>
      <c r="BK223" s="491">
        <f t="shared" si="229"/>
        <v>0.29736394275544425</v>
      </c>
      <c r="BL223" s="475">
        <f>AbsFeuchte(BJ223,BK223,$N$19)</f>
        <v>5.1973387635448116</v>
      </c>
      <c r="BM223" s="735">
        <f t="shared" si="230"/>
        <v>35.346337753087958</v>
      </c>
      <c r="BN223" s="473">
        <f t="shared" si="207"/>
        <v>22</v>
      </c>
      <c r="BO223" s="491">
        <f t="shared" si="231"/>
        <v>0.29736394275544425</v>
      </c>
      <c r="BP223" s="475">
        <f t="shared" si="208"/>
        <v>5.1973387635448116</v>
      </c>
      <c r="BQ223" s="735">
        <f t="shared" si="232"/>
        <v>35.346337753087958</v>
      </c>
      <c r="BR223" s="473">
        <f t="shared" si="166"/>
        <v>24</v>
      </c>
      <c r="BS223" s="491">
        <f t="shared" si="167"/>
        <v>0.26345888506559334</v>
      </c>
      <c r="BT223" s="475">
        <f>AbsFeuchte(BR223,BS223,$N$19)</f>
        <v>5.1973387635448116</v>
      </c>
      <c r="BU223" s="576">
        <f>IF($J$21=0,IF(E$13=$S$10,BR223+$N$18,BR223),IF(E$13=$S$10,BR223+$N$18+#REF!,BR223+$J$21))</f>
        <v>24</v>
      </c>
      <c r="BV223" s="491">
        <f t="shared" si="233"/>
        <v>0.26345888506559334</v>
      </c>
      <c r="BW223" s="726">
        <f t="shared" si="169"/>
        <v>5.1973387635448116</v>
      </c>
      <c r="BX223" s="475">
        <f t="shared" si="215"/>
        <v>0</v>
      </c>
      <c r="BY223" s="475">
        <f t="shared" si="216"/>
        <v>3.3009179128256321</v>
      </c>
      <c r="BZ223" s="475">
        <f t="shared" si="170"/>
        <v>0</v>
      </c>
      <c r="CA223" s="475">
        <f t="shared" si="171"/>
        <v>0</v>
      </c>
      <c r="CB223" s="475">
        <f t="shared" si="172"/>
        <v>0</v>
      </c>
      <c r="CC223" s="475">
        <f t="shared" si="173"/>
        <v>3.3009179128256321</v>
      </c>
      <c r="CD223" s="475">
        <f t="shared" si="174"/>
        <v>0</v>
      </c>
      <c r="CE223" s="621">
        <f t="shared" si="175"/>
        <v>0</v>
      </c>
      <c r="CF223" s="621">
        <f t="shared" si="176"/>
        <v>0</v>
      </c>
      <c r="CG223" s="621">
        <f t="shared" si="177"/>
        <v>0</v>
      </c>
      <c r="CH223" s="573">
        <f t="shared" si="178"/>
        <v>0</v>
      </c>
      <c r="CI223" s="621">
        <f t="shared" si="179"/>
        <v>0</v>
      </c>
      <c r="CJ223" s="621">
        <f t="shared" si="180"/>
        <v>0</v>
      </c>
      <c r="CK223" s="621">
        <f t="shared" si="181"/>
        <v>0</v>
      </c>
      <c r="CL223" s="737">
        <f t="shared" si="182"/>
        <v>0</v>
      </c>
      <c r="CM223" s="738">
        <f t="shared" si="183"/>
        <v>0</v>
      </c>
      <c r="CN223" s="475">
        <f t="shared" si="184"/>
        <v>0.29736394275544425</v>
      </c>
      <c r="CO223" s="475">
        <f t="shared" si="185"/>
        <v>0.29736394275544425</v>
      </c>
      <c r="CP223" s="475">
        <f t="shared" si="186"/>
        <v>18.75</v>
      </c>
      <c r="CQ223" s="475">
        <f t="shared" si="187"/>
        <v>18.75</v>
      </c>
      <c r="CR223" s="475">
        <f t="shared" si="188"/>
        <v>3.3009179128256321</v>
      </c>
      <c r="CS223" s="475">
        <f t="shared" si="189"/>
        <v>0</v>
      </c>
      <c r="CT223" s="475">
        <f t="shared" si="190"/>
        <v>0</v>
      </c>
      <c r="CU223" s="475">
        <f t="shared" si="191"/>
        <v>22</v>
      </c>
      <c r="CV223" s="475">
        <f t="shared" si="192"/>
        <v>22</v>
      </c>
      <c r="CW223" s="475">
        <f t="shared" si="209"/>
        <v>0</v>
      </c>
      <c r="CX223" s="573">
        <f t="shared" si="217"/>
        <v>0</v>
      </c>
      <c r="CY223" s="475">
        <f t="shared" si="219"/>
        <v>22</v>
      </c>
      <c r="CZ223" s="475">
        <f t="shared" si="218"/>
        <v>22</v>
      </c>
      <c r="DA223" s="475">
        <v>9</v>
      </c>
      <c r="DB223" s="475"/>
      <c r="DC223" s="410"/>
    </row>
    <row r="224" spans="1:107" s="619" customFormat="1" ht="12" hidden="1" customHeight="1" outlineLevel="1">
      <c r="A224" s="752">
        <v>10</v>
      </c>
      <c r="B224" s="573">
        <v>100.29761904761905</v>
      </c>
      <c r="C224" s="475">
        <v>5.4869481436361118</v>
      </c>
      <c r="D224" s="741">
        <v>0.7054302670623146</v>
      </c>
      <c r="E224" s="491">
        <f t="shared" si="220"/>
        <v>0.27801113470560801</v>
      </c>
      <c r="F224" s="438">
        <f t="shared" si="133"/>
        <v>0</v>
      </c>
      <c r="G224" s="438"/>
      <c r="H224" s="475">
        <f t="shared" si="134"/>
        <v>12</v>
      </c>
      <c r="I224" s="473">
        <f t="shared" si="135"/>
        <v>19.100000000000001</v>
      </c>
      <c r="J224" s="473">
        <f t="shared" si="136"/>
        <v>19.100000000000001</v>
      </c>
      <c r="K224" s="491">
        <f t="shared" si="137"/>
        <v>0.65000000000000013</v>
      </c>
      <c r="L224" s="473">
        <f t="shared" si="193"/>
        <v>19.100000000000001</v>
      </c>
      <c r="M224" s="473">
        <f t="shared" si="138"/>
        <v>5.4869481436361118</v>
      </c>
      <c r="N224" s="473">
        <f>(EnthalpieA(L224,M224,AB117)*$F$35)+((1-$F$35)*EnthalpieA(BU224,BW224,AB117))</f>
        <v>33.135678795870916</v>
      </c>
      <c r="O224" s="473">
        <f>(EnthalpieA(L224,M224,AB117)*$F$34)+((1-$F$34)*EnthalpieA(BU224,BW224,AB117))</f>
        <v>33.135678795870916</v>
      </c>
      <c r="P224" s="734">
        <f>1-IF(EnthalpieA(L224,M224,AB117)=S224,$F$35,(S224-EnthalpieA(BU224,BW224,AB117))/((EnthalpieA(L224,M224,AB117)-EnthalpieA(BU224,BW224,AB117))))</f>
        <v>0</v>
      </c>
      <c r="Q224" s="473">
        <f t="shared" si="211"/>
        <v>19.100000000000001</v>
      </c>
      <c r="R224" s="475">
        <f t="shared" si="212"/>
        <v>5.4869481436361118</v>
      </c>
      <c r="S224" s="473">
        <f t="shared" si="213"/>
        <v>33.135678795870916</v>
      </c>
      <c r="T224" s="473">
        <f t="shared" si="139"/>
        <v>19.100000000000001</v>
      </c>
      <c r="U224" s="473">
        <f t="shared" si="140"/>
        <v>19.100000000000001</v>
      </c>
      <c r="V224" s="491">
        <f t="shared" si="141"/>
        <v>0</v>
      </c>
      <c r="W224" s="475">
        <f t="shared" si="194"/>
        <v>19.100000000000001</v>
      </c>
      <c r="X224" s="475">
        <f t="shared" si="195"/>
        <v>5.4869481436361118</v>
      </c>
      <c r="Y224" s="735">
        <f t="shared" si="221"/>
        <v>33.135678795870916</v>
      </c>
      <c r="Z224" s="475">
        <f t="shared" si="196"/>
        <v>9</v>
      </c>
      <c r="AA224" s="475">
        <f>IF($F$36=$D$36,MIN(AbsFeuchte(Z224,100%,$N$19),R224),MIN(AbsFeuchte(Z224,100%,$N$19),X224))</f>
        <v>5.4869481436361118</v>
      </c>
      <c r="AB224" s="735">
        <f t="shared" si="222"/>
        <v>22.872000988044565</v>
      </c>
      <c r="AC224" s="475">
        <f t="shared" si="197"/>
        <v>9</v>
      </c>
      <c r="AD224" s="475">
        <v>0</v>
      </c>
      <c r="AE224" s="735">
        <f t="shared" si="223"/>
        <v>9.0540000000000003</v>
      </c>
      <c r="AF224" s="735">
        <f t="shared" si="198"/>
        <v>9</v>
      </c>
      <c r="AG224" s="735">
        <f t="shared" si="145"/>
        <v>9.9999999999999992E+22</v>
      </c>
      <c r="AH224" s="475">
        <f t="shared" si="146"/>
        <v>19.100000000000001</v>
      </c>
      <c r="AI224" s="475">
        <f t="shared" si="199"/>
        <v>5.4869481436361136</v>
      </c>
      <c r="AJ224" s="735">
        <f t="shared" si="224"/>
        <v>33.135678795870916</v>
      </c>
      <c r="AK224" s="475">
        <f t="shared" si="148"/>
        <v>19.100000000000001</v>
      </c>
      <c r="AL224" s="475">
        <f t="shared" si="200"/>
        <v>5.4869481436361118</v>
      </c>
      <c r="AM224" s="735">
        <f t="shared" si="225"/>
        <v>33.135678795870916</v>
      </c>
      <c r="AN224" s="475">
        <f t="shared" si="214"/>
        <v>22.000000000000004</v>
      </c>
      <c r="AO224" s="475">
        <f t="shared" si="150"/>
        <v>5.4869481436361118</v>
      </c>
      <c r="AP224" s="735">
        <f t="shared" si="201"/>
        <v>36.08267539415769</v>
      </c>
      <c r="AQ224" s="475" t="e">
        <f t="shared" ca="1" si="226"/>
        <v>#NAME?</v>
      </c>
      <c r="AR224" s="475">
        <f t="shared" si="202"/>
        <v>5.4869481436361136</v>
      </c>
      <c r="AS224" s="735" t="e">
        <f t="shared" ca="1" si="227"/>
        <v>#VALUE!</v>
      </c>
      <c r="AT224" s="475">
        <f t="shared" si="203"/>
        <v>22</v>
      </c>
      <c r="AU224" s="475">
        <f t="shared" si="153"/>
        <v>5.4869481436361118</v>
      </c>
      <c r="AV224" s="735">
        <f t="shared" si="228"/>
        <v>36.08267539415769</v>
      </c>
      <c r="AW224" s="529">
        <f t="shared" si="155"/>
        <v>1</v>
      </c>
      <c r="AX224" s="735">
        <f t="shared" si="204"/>
        <v>1</v>
      </c>
      <c r="AY224" s="735">
        <f t="shared" si="156"/>
        <v>0</v>
      </c>
      <c r="AZ224" s="735">
        <f t="shared" si="205"/>
        <v>1</v>
      </c>
      <c r="BA224" s="735">
        <f t="shared" si="206"/>
        <v>0</v>
      </c>
      <c r="BB224" s="735">
        <f>IF($F$36=$D$36,IF(AW224=1,Fall1Tzul(AX224,AY224,BJ224,Q224),0),IF(AW224=1,Fall1Tzul(AX224,AY224,BJ224,W224),0))</f>
        <v>22</v>
      </c>
      <c r="BC224" s="735">
        <f>IF($F$36=$D$36,IF(AW224=1,Fall1xzul(AX224,AY224,BL224,R224),0),IF(AW224=1,Fall1xzul(AX224,AY224,BL224,X224),0))</f>
        <v>5.4869481436361118</v>
      </c>
      <c r="BD224" s="735">
        <f>IF($F$36=$D$36,IF(AW224=2,Fall2Tzul(AX224, AZ224, BJ224,Q224, Z224),0),IF(AW224=2,Fall2Tzul(AX224, AZ224, BJ224,W224, Z224),0))</f>
        <v>0</v>
      </c>
      <c r="BE224" s="735">
        <f>IF($F$36=$D$36,IF(AW224=2,Fall2xzul(AX224,AZ224,BL224,R224,AA224),0),IF(AW224=2,Fall2xzul(AX224,AZ224,BL224,X224,AA224),0))</f>
        <v>0</v>
      </c>
      <c r="BF224" s="735">
        <f t="shared" si="157"/>
        <v>0</v>
      </c>
      <c r="BG224" s="735">
        <f t="shared" si="158"/>
        <v>0</v>
      </c>
      <c r="BH224" s="735">
        <f t="shared" si="159"/>
        <v>0</v>
      </c>
      <c r="BI224" s="735">
        <f t="shared" si="160"/>
        <v>0</v>
      </c>
      <c r="BJ224" s="473">
        <f t="shared" si="161"/>
        <v>22</v>
      </c>
      <c r="BK224" s="491">
        <f t="shared" si="229"/>
        <v>0.31378895088465919</v>
      </c>
      <c r="BL224" s="475">
        <f>AbsFeuchte(BJ224,BK224,$N$19)</f>
        <v>5.4869481436361136</v>
      </c>
      <c r="BM224" s="735">
        <f t="shared" si="230"/>
        <v>36.08267539415769</v>
      </c>
      <c r="BN224" s="473">
        <f t="shared" si="207"/>
        <v>22</v>
      </c>
      <c r="BO224" s="491">
        <f t="shared" si="231"/>
        <v>0.31378895088465919</v>
      </c>
      <c r="BP224" s="475">
        <f t="shared" si="208"/>
        <v>5.4869481436361118</v>
      </c>
      <c r="BQ224" s="735">
        <f t="shared" si="232"/>
        <v>36.08267539415769</v>
      </c>
      <c r="BR224" s="473">
        <f t="shared" si="166"/>
        <v>24</v>
      </c>
      <c r="BS224" s="491">
        <f t="shared" si="167"/>
        <v>0.27801113470560801</v>
      </c>
      <c r="BT224" s="475">
        <f>AbsFeuchte(BR224,BS224,$N$19)</f>
        <v>5.4869481436361118</v>
      </c>
      <c r="BU224" s="576">
        <f>IF($J$21=0,IF(E$13=$S$10,BR224+$N$18,BR224),IF(E$13=$S$10,BR224+$N$18+#REF!,BR224+$J$21))</f>
        <v>24</v>
      </c>
      <c r="BV224" s="491">
        <f t="shared" si="233"/>
        <v>0.27801113470560801</v>
      </c>
      <c r="BW224" s="726">
        <f t="shared" si="169"/>
        <v>5.4869481436361118</v>
      </c>
      <c r="BX224" s="475">
        <f t="shared" si="215"/>
        <v>0</v>
      </c>
      <c r="BY224" s="475">
        <f t="shared" si="216"/>
        <v>2.9469965982867734</v>
      </c>
      <c r="BZ224" s="475">
        <f t="shared" si="170"/>
        <v>0</v>
      </c>
      <c r="CA224" s="475">
        <f t="shared" si="171"/>
        <v>0</v>
      </c>
      <c r="CB224" s="475">
        <f t="shared" si="172"/>
        <v>0</v>
      </c>
      <c r="CC224" s="475">
        <f t="shared" si="173"/>
        <v>2.9469965982867734</v>
      </c>
      <c r="CD224" s="475">
        <f t="shared" si="174"/>
        <v>0</v>
      </c>
      <c r="CE224" s="621">
        <f t="shared" si="175"/>
        <v>0</v>
      </c>
      <c r="CF224" s="621">
        <f t="shared" si="176"/>
        <v>0</v>
      </c>
      <c r="CG224" s="621">
        <f t="shared" si="177"/>
        <v>0</v>
      </c>
      <c r="CH224" s="573">
        <f t="shared" si="178"/>
        <v>0</v>
      </c>
      <c r="CI224" s="621">
        <f t="shared" si="179"/>
        <v>0</v>
      </c>
      <c r="CJ224" s="621">
        <f t="shared" si="180"/>
        <v>0</v>
      </c>
      <c r="CK224" s="621">
        <f t="shared" si="181"/>
        <v>0</v>
      </c>
      <c r="CL224" s="737">
        <f t="shared" si="182"/>
        <v>0</v>
      </c>
      <c r="CM224" s="738">
        <f t="shared" si="183"/>
        <v>0</v>
      </c>
      <c r="CN224" s="475">
        <f t="shared" si="184"/>
        <v>0.31378895088465919</v>
      </c>
      <c r="CO224" s="475">
        <f t="shared" si="185"/>
        <v>0.31378895088465919</v>
      </c>
      <c r="CP224" s="475">
        <f t="shared" si="186"/>
        <v>19.100000000000001</v>
      </c>
      <c r="CQ224" s="475">
        <f t="shared" si="187"/>
        <v>19.100000000000001</v>
      </c>
      <c r="CR224" s="475">
        <f t="shared" si="188"/>
        <v>2.9469965982867734</v>
      </c>
      <c r="CS224" s="475">
        <f t="shared" si="189"/>
        <v>0</v>
      </c>
      <c r="CT224" s="475">
        <f t="shared" si="190"/>
        <v>0</v>
      </c>
      <c r="CU224" s="475">
        <f t="shared" si="191"/>
        <v>22</v>
      </c>
      <c r="CV224" s="475">
        <f t="shared" si="192"/>
        <v>22</v>
      </c>
      <c r="CW224" s="475">
        <f t="shared" si="209"/>
        <v>0</v>
      </c>
      <c r="CX224" s="573">
        <f t="shared" si="217"/>
        <v>0</v>
      </c>
      <c r="CY224" s="475">
        <f t="shared" si="219"/>
        <v>22</v>
      </c>
      <c r="CZ224" s="475">
        <f t="shared" si="218"/>
        <v>22</v>
      </c>
      <c r="DA224" s="475">
        <v>10</v>
      </c>
      <c r="DB224" s="475"/>
      <c r="DC224" s="410"/>
    </row>
    <row r="225" spans="1:107" s="619" customFormat="1" ht="12" hidden="1" customHeight="1" outlineLevel="1">
      <c r="A225" s="752">
        <v>11</v>
      </c>
      <c r="B225" s="573">
        <v>99.404761904761912</v>
      </c>
      <c r="C225" s="475">
        <v>5.6006006148425467</v>
      </c>
      <c r="D225" s="741">
        <v>0.67344311377245503</v>
      </c>
      <c r="E225" s="491">
        <f t="shared" si="220"/>
        <v>0.28371825796063643</v>
      </c>
      <c r="F225" s="438">
        <f t="shared" si="133"/>
        <v>0</v>
      </c>
      <c r="G225" s="438"/>
      <c r="H225" s="475">
        <f t="shared" si="134"/>
        <v>11</v>
      </c>
      <c r="I225" s="473">
        <f t="shared" si="135"/>
        <v>19.450000000000003</v>
      </c>
      <c r="J225" s="473">
        <f t="shared" si="136"/>
        <v>19.450000000000003</v>
      </c>
      <c r="K225" s="491">
        <f t="shared" si="137"/>
        <v>0.65000000000000024</v>
      </c>
      <c r="L225" s="473">
        <f t="shared" si="193"/>
        <v>19.450000000000003</v>
      </c>
      <c r="M225" s="473">
        <f t="shared" si="138"/>
        <v>5.6006006148425467</v>
      </c>
      <c r="N225" s="473">
        <f>(EnthalpieA(L225,M225,AB118)*$F$35)+((1-$F$35)*EnthalpieA(BU225,BW225,AB118))</f>
        <v>33.779775426533277</v>
      </c>
      <c r="O225" s="473">
        <f>(EnthalpieA(L225,M225,AB118)*$F$34)+((1-$F$34)*EnthalpieA(BU225,BW225,AB118))</f>
        <v>33.779775426533277</v>
      </c>
      <c r="P225" s="734">
        <f>1-IF(EnthalpieA(L225,M225,AB118)=S225,$F$35,(S225-EnthalpieA(BU225,BW225,AB118))/((EnthalpieA(L225,M225,AB118)-EnthalpieA(BU225,BW225,AB118))))</f>
        <v>0</v>
      </c>
      <c r="Q225" s="473">
        <f t="shared" si="211"/>
        <v>19.450000000000003</v>
      </c>
      <c r="R225" s="475">
        <f t="shared" si="212"/>
        <v>5.6006006148425467</v>
      </c>
      <c r="S225" s="473">
        <f t="shared" si="213"/>
        <v>33.779775426533277</v>
      </c>
      <c r="T225" s="473">
        <f t="shared" si="139"/>
        <v>19.450000000000003</v>
      </c>
      <c r="U225" s="473">
        <f t="shared" si="140"/>
        <v>19.450000000000003</v>
      </c>
      <c r="V225" s="491">
        <f t="shared" si="141"/>
        <v>0</v>
      </c>
      <c r="W225" s="475">
        <f t="shared" si="194"/>
        <v>19.450000000000003</v>
      </c>
      <c r="X225" s="475">
        <f t="shared" si="195"/>
        <v>5.6006006148425467</v>
      </c>
      <c r="Y225" s="735">
        <f t="shared" si="221"/>
        <v>33.779775426533277</v>
      </c>
      <c r="Z225" s="475">
        <f t="shared" si="196"/>
        <v>9</v>
      </c>
      <c r="AA225" s="475">
        <f>IF($F$36=$D$36,MIN(AbsFeuchte(Z225,100%,$N$19),R225),MIN(AbsFeuchte(Z225,100%,$N$19),X225))</f>
        <v>5.6006006148425467</v>
      </c>
      <c r="AB225" s="735">
        <f t="shared" si="222"/>
        <v>23.158216552382576</v>
      </c>
      <c r="AC225" s="475">
        <f t="shared" si="197"/>
        <v>9</v>
      </c>
      <c r="AD225" s="475">
        <v>0</v>
      </c>
      <c r="AE225" s="735">
        <f t="shared" si="223"/>
        <v>9.0540000000000003</v>
      </c>
      <c r="AF225" s="735">
        <f t="shared" si="198"/>
        <v>9</v>
      </c>
      <c r="AG225" s="735">
        <f t="shared" si="145"/>
        <v>9.9999999999999992E+22</v>
      </c>
      <c r="AH225" s="475">
        <f t="shared" si="146"/>
        <v>19.450000000000003</v>
      </c>
      <c r="AI225" s="475">
        <f t="shared" si="199"/>
        <v>5.6006006148425476</v>
      </c>
      <c r="AJ225" s="735">
        <f t="shared" si="224"/>
        <v>33.779775426533277</v>
      </c>
      <c r="AK225" s="475">
        <f t="shared" si="148"/>
        <v>19.450000000000003</v>
      </c>
      <c r="AL225" s="475">
        <f t="shared" si="200"/>
        <v>5.6006006148425467</v>
      </c>
      <c r="AM225" s="735">
        <f t="shared" si="225"/>
        <v>33.779775426533277</v>
      </c>
      <c r="AN225" s="475">
        <f t="shared" si="214"/>
        <v>22.000000000000004</v>
      </c>
      <c r="AO225" s="475">
        <f t="shared" si="150"/>
        <v>5.6006006148425467</v>
      </c>
      <c r="AP225" s="735">
        <f t="shared" si="201"/>
        <v>36.371639075249476</v>
      </c>
      <c r="AQ225" s="475" t="e">
        <f t="shared" ca="1" si="226"/>
        <v>#NAME?</v>
      </c>
      <c r="AR225" s="475">
        <f t="shared" si="202"/>
        <v>5.6006006148425476</v>
      </c>
      <c r="AS225" s="735" t="e">
        <f t="shared" ca="1" si="227"/>
        <v>#VALUE!</v>
      </c>
      <c r="AT225" s="475">
        <f t="shared" si="203"/>
        <v>22</v>
      </c>
      <c r="AU225" s="475">
        <f t="shared" si="153"/>
        <v>5.6006006148425467</v>
      </c>
      <c r="AV225" s="735">
        <f t="shared" si="228"/>
        <v>36.371639075249476</v>
      </c>
      <c r="AW225" s="529">
        <f t="shared" si="155"/>
        <v>1</v>
      </c>
      <c r="AX225" s="735">
        <f t="shared" si="204"/>
        <v>1</v>
      </c>
      <c r="AY225" s="735">
        <f t="shared" si="156"/>
        <v>0</v>
      </c>
      <c r="AZ225" s="735">
        <f t="shared" si="205"/>
        <v>1</v>
      </c>
      <c r="BA225" s="735">
        <f t="shared" si="206"/>
        <v>0</v>
      </c>
      <c r="BB225" s="735">
        <f>IF($F$36=$D$36,IF(AW225=1,Fall1Tzul(AX225,AY225,BJ225,Q225),0),IF(AW225=1,Fall1Tzul(AX225,AY225,BJ225,W225),0))</f>
        <v>22</v>
      </c>
      <c r="BC225" s="735">
        <f>IF($F$36=$D$36,IF(AW225=1,Fall1xzul(AX225,AY225,BL225,R225),0),IF(AW225=1,Fall1xzul(AX225,AY225,BL225,X225),0))</f>
        <v>5.6006006148425467</v>
      </c>
      <c r="BD225" s="735">
        <f>IF($F$36=$D$36,IF(AW225=2,Fall2Tzul(AX225, AZ225, BJ225,Q225, Z225),0),IF(AW225=2,Fall2Tzul(AX225, AZ225, BJ225,W225, Z225),0))</f>
        <v>0</v>
      </c>
      <c r="BE225" s="735">
        <f>IF($F$36=$D$36,IF(AW225=2,Fall2xzul(AX225,AZ225,BL225,R225,AA225),0),IF(AW225=2,Fall2xzul(AX225,AZ225,BL225,X225,AA225),0))</f>
        <v>0</v>
      </c>
      <c r="BF225" s="735">
        <f t="shared" si="157"/>
        <v>0</v>
      </c>
      <c r="BG225" s="735">
        <f t="shared" si="158"/>
        <v>0</v>
      </c>
      <c r="BH225" s="735">
        <f t="shared" si="159"/>
        <v>0</v>
      </c>
      <c r="BI225" s="735">
        <f t="shared" si="160"/>
        <v>0</v>
      </c>
      <c r="BJ225" s="473">
        <f t="shared" si="161"/>
        <v>22</v>
      </c>
      <c r="BK225" s="491">
        <f t="shared" si="229"/>
        <v>0.3202305353940752</v>
      </c>
      <c r="BL225" s="475">
        <f>AbsFeuchte(BJ225,BK225,$N$19)</f>
        <v>5.6006006148425476</v>
      </c>
      <c r="BM225" s="735">
        <f t="shared" si="230"/>
        <v>36.371639075249476</v>
      </c>
      <c r="BN225" s="473">
        <f t="shared" si="207"/>
        <v>22</v>
      </c>
      <c r="BO225" s="491">
        <f t="shared" si="231"/>
        <v>0.3202305353940752</v>
      </c>
      <c r="BP225" s="475">
        <f t="shared" si="208"/>
        <v>5.6006006148425467</v>
      </c>
      <c r="BQ225" s="735">
        <f t="shared" si="232"/>
        <v>36.371639075249476</v>
      </c>
      <c r="BR225" s="473">
        <f t="shared" si="166"/>
        <v>24</v>
      </c>
      <c r="BS225" s="491">
        <f t="shared" si="167"/>
        <v>0.28371825796063643</v>
      </c>
      <c r="BT225" s="475">
        <f>AbsFeuchte(BR225,BS225,$N$19)</f>
        <v>5.6006006148425467</v>
      </c>
      <c r="BU225" s="576">
        <f>IF($J$21=0,IF(E$13=$S$10,BR225+$N$18,BR225),IF(E$13=$S$10,BR225+$N$18+#REF!,BR225+$J$21))</f>
        <v>24</v>
      </c>
      <c r="BV225" s="491">
        <f t="shared" si="233"/>
        <v>0.28371825796063643</v>
      </c>
      <c r="BW225" s="726">
        <f t="shared" si="169"/>
        <v>5.6006006148425467</v>
      </c>
      <c r="BX225" s="475">
        <f t="shared" si="215"/>
        <v>0</v>
      </c>
      <c r="BY225" s="475">
        <f t="shared" si="216"/>
        <v>2.591863648716199</v>
      </c>
      <c r="BZ225" s="475">
        <f t="shared" si="170"/>
        <v>0</v>
      </c>
      <c r="CA225" s="475">
        <f t="shared" si="171"/>
        <v>0</v>
      </c>
      <c r="CB225" s="475">
        <f t="shared" si="172"/>
        <v>0</v>
      </c>
      <c r="CC225" s="475">
        <f t="shared" si="173"/>
        <v>2.591863648716199</v>
      </c>
      <c r="CD225" s="475">
        <f t="shared" si="174"/>
        <v>0</v>
      </c>
      <c r="CE225" s="621">
        <f t="shared" si="175"/>
        <v>0</v>
      </c>
      <c r="CF225" s="621">
        <f t="shared" si="176"/>
        <v>0</v>
      </c>
      <c r="CG225" s="621">
        <f t="shared" si="177"/>
        <v>0</v>
      </c>
      <c r="CH225" s="573">
        <f t="shared" si="178"/>
        <v>0</v>
      </c>
      <c r="CI225" s="621">
        <f t="shared" si="179"/>
        <v>0</v>
      </c>
      <c r="CJ225" s="621">
        <f t="shared" si="180"/>
        <v>0</v>
      </c>
      <c r="CK225" s="621">
        <f t="shared" si="181"/>
        <v>0</v>
      </c>
      <c r="CL225" s="737">
        <f t="shared" si="182"/>
        <v>0</v>
      </c>
      <c r="CM225" s="738">
        <f t="shared" si="183"/>
        <v>0</v>
      </c>
      <c r="CN225" s="475">
        <f t="shared" si="184"/>
        <v>0.3202305353940752</v>
      </c>
      <c r="CO225" s="475">
        <f t="shared" si="185"/>
        <v>0.3202305353940752</v>
      </c>
      <c r="CP225" s="475">
        <f t="shared" si="186"/>
        <v>19.450000000000003</v>
      </c>
      <c r="CQ225" s="475">
        <f t="shared" si="187"/>
        <v>19.450000000000003</v>
      </c>
      <c r="CR225" s="475">
        <f t="shared" si="188"/>
        <v>2.591863648716199</v>
      </c>
      <c r="CS225" s="475">
        <f t="shared" si="189"/>
        <v>0</v>
      </c>
      <c r="CT225" s="475">
        <f t="shared" si="190"/>
        <v>0</v>
      </c>
      <c r="CU225" s="475">
        <f t="shared" si="191"/>
        <v>22</v>
      </c>
      <c r="CV225" s="475">
        <f t="shared" si="192"/>
        <v>22</v>
      </c>
      <c r="CW225" s="475">
        <f t="shared" si="209"/>
        <v>0</v>
      </c>
      <c r="CX225" s="573">
        <f t="shared" si="217"/>
        <v>0</v>
      </c>
      <c r="CY225" s="475">
        <f t="shared" si="219"/>
        <v>22</v>
      </c>
      <c r="CZ225" s="475">
        <f t="shared" si="218"/>
        <v>22</v>
      </c>
      <c r="DA225" s="475">
        <v>11</v>
      </c>
      <c r="DB225" s="475"/>
      <c r="DC225" s="410"/>
    </row>
    <row r="226" spans="1:107" s="619" customFormat="1" ht="12" hidden="1" customHeight="1" outlineLevel="1">
      <c r="A226" s="752">
        <v>12</v>
      </c>
      <c r="B226" s="573">
        <v>97.023809523809518</v>
      </c>
      <c r="C226" s="475">
        <v>6.2585929524463664</v>
      </c>
      <c r="D226" s="741">
        <v>0.7036196319018404</v>
      </c>
      <c r="E226" s="491">
        <f t="shared" si="220"/>
        <v>0.31671913367075655</v>
      </c>
      <c r="F226" s="438">
        <f t="shared" si="133"/>
        <v>0</v>
      </c>
      <c r="G226" s="438"/>
      <c r="H226" s="475">
        <f t="shared" si="134"/>
        <v>10</v>
      </c>
      <c r="I226" s="473">
        <f t="shared" si="135"/>
        <v>19.8</v>
      </c>
      <c r="J226" s="473">
        <f t="shared" si="136"/>
        <v>19.8</v>
      </c>
      <c r="K226" s="491">
        <f t="shared" si="137"/>
        <v>0.65</v>
      </c>
      <c r="L226" s="473">
        <f t="shared" si="193"/>
        <v>19.8</v>
      </c>
      <c r="M226" s="473">
        <f t="shared" si="138"/>
        <v>6.2585929524463664</v>
      </c>
      <c r="N226" s="473">
        <f>(EnthalpieA(L226,M226,AB119)*$F$35)+((1-$F$35)*EnthalpieA(BU226,BW226,AB119))</f>
        <v>35.805787591092525</v>
      </c>
      <c r="O226" s="473">
        <f>(EnthalpieA(L226,M226,AB119)*$F$34)+((1-$F$34)*EnthalpieA(BU226,BW226,AB119))</f>
        <v>35.805787591092525</v>
      </c>
      <c r="P226" s="734">
        <f>1-IF(EnthalpieA(L226,M226,AB119)=S226,$F$35,(S226-EnthalpieA(BU226,BW226,AB119))/((EnthalpieA(L226,M226,AB119)-EnthalpieA(BU226,BW226,AB119))))</f>
        <v>0</v>
      </c>
      <c r="Q226" s="473">
        <f t="shared" si="211"/>
        <v>19.8</v>
      </c>
      <c r="R226" s="475">
        <f t="shared" si="212"/>
        <v>6.2585929524463664</v>
      </c>
      <c r="S226" s="473">
        <f t="shared" si="213"/>
        <v>35.805787591092525</v>
      </c>
      <c r="T226" s="473">
        <f t="shared" si="139"/>
        <v>19.8</v>
      </c>
      <c r="U226" s="473">
        <f t="shared" si="140"/>
        <v>19.8</v>
      </c>
      <c r="V226" s="491">
        <f t="shared" si="141"/>
        <v>0</v>
      </c>
      <c r="W226" s="475">
        <f t="shared" si="194"/>
        <v>19.8</v>
      </c>
      <c r="X226" s="475">
        <f t="shared" si="195"/>
        <v>6.2585929524463664</v>
      </c>
      <c r="Y226" s="735">
        <f t="shared" si="221"/>
        <v>35.805787591092525</v>
      </c>
      <c r="Z226" s="475">
        <f t="shared" si="196"/>
        <v>9</v>
      </c>
      <c r="AA226" s="475">
        <f>IF($F$36=$D$36,MIN(AbsFeuchte(Z226,100%,$N$19),R226),MIN(AbsFeuchte(Z226,100%,$N$19),X226))</f>
        <v>6.2585929524463664</v>
      </c>
      <c r="AB226" s="735">
        <f t="shared" si="222"/>
        <v>24.81526497586378</v>
      </c>
      <c r="AC226" s="475">
        <f t="shared" si="197"/>
        <v>9</v>
      </c>
      <c r="AD226" s="475">
        <v>0</v>
      </c>
      <c r="AE226" s="735">
        <f t="shared" si="223"/>
        <v>9.0540000000000003</v>
      </c>
      <c r="AF226" s="735">
        <f t="shared" si="198"/>
        <v>9</v>
      </c>
      <c r="AG226" s="735">
        <f t="shared" si="145"/>
        <v>9.9999999999999992E+22</v>
      </c>
      <c r="AH226" s="475">
        <f t="shared" si="146"/>
        <v>9</v>
      </c>
      <c r="AI226" s="475">
        <f t="shared" si="199"/>
        <v>6.2585929524463664</v>
      </c>
      <c r="AJ226" s="735">
        <f t="shared" si="224"/>
        <v>24.81526497586378</v>
      </c>
      <c r="AK226" s="475">
        <f t="shared" si="148"/>
        <v>19.8</v>
      </c>
      <c r="AL226" s="475">
        <f t="shared" si="200"/>
        <v>6.2585929524463664</v>
      </c>
      <c r="AM226" s="735">
        <f t="shared" si="225"/>
        <v>35.805787591092525</v>
      </c>
      <c r="AN226" s="475">
        <f t="shared" si="214"/>
        <v>21.999999999999993</v>
      </c>
      <c r="AO226" s="475">
        <f t="shared" si="150"/>
        <v>6.2585929524463664</v>
      </c>
      <c r="AP226" s="735">
        <f t="shared" si="201"/>
        <v>38.044597753453928</v>
      </c>
      <c r="AQ226" s="475" t="e">
        <f t="shared" ca="1" si="226"/>
        <v>#NAME?</v>
      </c>
      <c r="AR226" s="475">
        <f t="shared" si="202"/>
        <v>6.2585929524463646</v>
      </c>
      <c r="AS226" s="735" t="e">
        <f t="shared" ca="1" si="227"/>
        <v>#VALUE!</v>
      </c>
      <c r="AT226" s="475">
        <f t="shared" si="203"/>
        <v>22</v>
      </c>
      <c r="AU226" s="475">
        <f t="shared" si="153"/>
        <v>6.2585929524463664</v>
      </c>
      <c r="AV226" s="735">
        <f t="shared" si="228"/>
        <v>38.044597753453935</v>
      </c>
      <c r="AW226" s="529">
        <f t="shared" si="155"/>
        <v>1</v>
      </c>
      <c r="AX226" s="735">
        <f t="shared" si="204"/>
        <v>1</v>
      </c>
      <c r="AY226" s="735">
        <f t="shared" si="156"/>
        <v>0</v>
      </c>
      <c r="AZ226" s="735">
        <f t="shared" si="205"/>
        <v>1</v>
      </c>
      <c r="BA226" s="735">
        <f t="shared" si="206"/>
        <v>0</v>
      </c>
      <c r="BB226" s="735">
        <f>IF($F$36=$D$36,IF(AW226=1,Fall1Tzul(AX226,AY226,BJ226,Q226),0),IF(AW226=1,Fall1Tzul(AX226,AY226,BJ226,W226),0))</f>
        <v>22</v>
      </c>
      <c r="BC226" s="735">
        <f>IF($F$36=$D$36,IF(AW226=1,Fall1xzul(AX226,AY226,BL226,R226),0),IF(AW226=1,Fall1xzul(AX226,AY226,BL226,X226),0))</f>
        <v>6.2585929524463664</v>
      </c>
      <c r="BD226" s="735">
        <f>IF($F$36=$D$36,IF(AW226=2,Fall2Tzul(AX226, AZ226, BJ226,Q226, Z226),0),IF(AW226=2,Fall2Tzul(AX226, AZ226, BJ226,W226, Z226),0))</f>
        <v>0</v>
      </c>
      <c r="BE226" s="735">
        <f>IF($F$36=$D$36,IF(AW226=2,Fall2xzul(AX226,AZ226,BL226,R226,AA226),0),IF(AW226=2,Fall2xzul(AX226,AZ226,BL226,X226,AA226),0))</f>
        <v>0</v>
      </c>
      <c r="BF226" s="735">
        <f t="shared" si="157"/>
        <v>0</v>
      </c>
      <c r="BG226" s="735">
        <f t="shared" si="158"/>
        <v>0</v>
      </c>
      <c r="BH226" s="735">
        <f t="shared" si="159"/>
        <v>0</v>
      </c>
      <c r="BI226" s="735">
        <f t="shared" si="160"/>
        <v>0</v>
      </c>
      <c r="BJ226" s="473">
        <f t="shared" si="161"/>
        <v>22</v>
      </c>
      <c r="BK226" s="491">
        <f t="shared" si="229"/>
        <v>0.3574783606594879</v>
      </c>
      <c r="BL226" s="475">
        <f>AbsFeuchte(BJ226,BK226,$N$19)</f>
        <v>6.2585929524463646</v>
      </c>
      <c r="BM226" s="735">
        <f t="shared" si="230"/>
        <v>38.044597753453928</v>
      </c>
      <c r="BN226" s="473">
        <f t="shared" si="207"/>
        <v>22</v>
      </c>
      <c r="BO226" s="491">
        <f t="shared" si="231"/>
        <v>0.35747836065948801</v>
      </c>
      <c r="BP226" s="475">
        <f t="shared" si="208"/>
        <v>6.2585929524463664</v>
      </c>
      <c r="BQ226" s="735">
        <f t="shared" si="232"/>
        <v>38.044597753453935</v>
      </c>
      <c r="BR226" s="473">
        <f t="shared" si="166"/>
        <v>24</v>
      </c>
      <c r="BS226" s="491">
        <f t="shared" si="167"/>
        <v>0.31671913367075655</v>
      </c>
      <c r="BT226" s="475">
        <f>AbsFeuchte(BR226,BS226,$N$19)</f>
        <v>6.2585929524463646</v>
      </c>
      <c r="BU226" s="576">
        <f>IF($J$21=0,IF(E$13=$S$10,BR226+$N$18,BR226),IF(E$13=$S$10,BR226+$N$18+#REF!,BR226+$J$21))</f>
        <v>24</v>
      </c>
      <c r="BV226" s="491">
        <f t="shared" si="233"/>
        <v>0.31671913367075649</v>
      </c>
      <c r="BW226" s="726">
        <f t="shared" si="169"/>
        <v>6.2585929524463646</v>
      </c>
      <c r="BX226" s="475">
        <f t="shared" si="215"/>
        <v>0</v>
      </c>
      <c r="BY226" s="475">
        <f t="shared" si="216"/>
        <v>2.2388101623614105</v>
      </c>
      <c r="BZ226" s="475">
        <f t="shared" si="170"/>
        <v>0</v>
      </c>
      <c r="CA226" s="475">
        <f t="shared" si="171"/>
        <v>0</v>
      </c>
      <c r="CB226" s="475">
        <f t="shared" si="172"/>
        <v>0</v>
      </c>
      <c r="CC226" s="475">
        <f t="shared" si="173"/>
        <v>2.2388101623614105</v>
      </c>
      <c r="CD226" s="475">
        <f t="shared" si="174"/>
        <v>0</v>
      </c>
      <c r="CE226" s="621">
        <f t="shared" si="175"/>
        <v>0</v>
      </c>
      <c r="CF226" s="621">
        <f t="shared" si="176"/>
        <v>0</v>
      </c>
      <c r="CG226" s="621">
        <f t="shared" si="177"/>
        <v>0</v>
      </c>
      <c r="CH226" s="573">
        <f t="shared" si="178"/>
        <v>0</v>
      </c>
      <c r="CI226" s="621">
        <f t="shared" si="179"/>
        <v>0</v>
      </c>
      <c r="CJ226" s="621">
        <f t="shared" si="180"/>
        <v>0</v>
      </c>
      <c r="CK226" s="621">
        <f t="shared" si="181"/>
        <v>0</v>
      </c>
      <c r="CL226" s="737">
        <f t="shared" si="182"/>
        <v>0</v>
      </c>
      <c r="CM226" s="738">
        <f t="shared" si="183"/>
        <v>0</v>
      </c>
      <c r="CN226" s="475">
        <f t="shared" si="184"/>
        <v>0.3574783606594879</v>
      </c>
      <c r="CO226" s="475">
        <f t="shared" si="185"/>
        <v>0.35747836065948801</v>
      </c>
      <c r="CP226" s="475">
        <f t="shared" si="186"/>
        <v>19.8</v>
      </c>
      <c r="CQ226" s="475">
        <f t="shared" si="187"/>
        <v>19.8</v>
      </c>
      <c r="CR226" s="475">
        <f t="shared" si="188"/>
        <v>2.2388101623614105</v>
      </c>
      <c r="CS226" s="475">
        <f t="shared" si="189"/>
        <v>0</v>
      </c>
      <c r="CT226" s="475">
        <f t="shared" si="190"/>
        <v>0</v>
      </c>
      <c r="CU226" s="475">
        <f t="shared" si="191"/>
        <v>22</v>
      </c>
      <c r="CV226" s="475">
        <f t="shared" si="192"/>
        <v>22</v>
      </c>
      <c r="CW226" s="475">
        <f t="shared" si="209"/>
        <v>0</v>
      </c>
      <c r="CX226" s="573">
        <f t="shared" si="217"/>
        <v>0</v>
      </c>
      <c r="CY226" s="475">
        <f t="shared" si="219"/>
        <v>22</v>
      </c>
      <c r="CZ226" s="475">
        <f t="shared" si="218"/>
        <v>22</v>
      </c>
      <c r="DA226" s="475">
        <v>12</v>
      </c>
      <c r="DB226" s="475"/>
      <c r="DC226" s="410"/>
    </row>
    <row r="227" spans="1:107" s="619" customFormat="1" ht="12" hidden="1" customHeight="1" outlineLevel="1">
      <c r="A227" s="752">
        <v>13</v>
      </c>
      <c r="B227" s="573">
        <v>111.01190476190477</v>
      </c>
      <c r="C227" s="475">
        <v>6.7714794972076469</v>
      </c>
      <c r="D227" s="741">
        <v>0.71230563002680969</v>
      </c>
      <c r="E227" s="491">
        <f t="shared" si="220"/>
        <v>0.3423944882681087</v>
      </c>
      <c r="F227" s="438">
        <f t="shared" si="133"/>
        <v>0</v>
      </c>
      <c r="G227" s="438"/>
      <c r="H227" s="475">
        <f t="shared" si="134"/>
        <v>9</v>
      </c>
      <c r="I227" s="473">
        <f t="shared" si="135"/>
        <v>20.149999999999999</v>
      </c>
      <c r="J227" s="473">
        <f t="shared" si="136"/>
        <v>20.149999999999999</v>
      </c>
      <c r="K227" s="491">
        <f t="shared" si="137"/>
        <v>0.64999999999999991</v>
      </c>
      <c r="L227" s="473">
        <f t="shared" si="193"/>
        <v>20.149999999999999</v>
      </c>
      <c r="M227" s="473">
        <f t="shared" si="138"/>
        <v>6.7714794972076469</v>
      </c>
      <c r="N227" s="473">
        <f>(EnthalpieA(L227,M227,AB120)*$F$35)+((1-$F$35)*EnthalpieA(BU227,BW227,AB120))</f>
        <v>37.46422139029049</v>
      </c>
      <c r="O227" s="473">
        <f>(EnthalpieA(L227,M227,AB120)*$F$34)+((1-$F$34)*EnthalpieA(BU227,BW227,AB120))</f>
        <v>37.46422139029049</v>
      </c>
      <c r="P227" s="734">
        <f>1-IF(EnthalpieA(L227,M227,AB120)=S227,$F$35,(S227-EnthalpieA(BU227,BW227,AB120))/((EnthalpieA(L227,M227,AB120)-EnthalpieA(BU227,BW227,AB120))))</f>
        <v>0</v>
      </c>
      <c r="Q227" s="473">
        <f t="shared" si="211"/>
        <v>20.149999999999999</v>
      </c>
      <c r="R227" s="475">
        <f t="shared" si="212"/>
        <v>6.7714794972076469</v>
      </c>
      <c r="S227" s="473">
        <f t="shared" si="213"/>
        <v>37.46422139029049</v>
      </c>
      <c r="T227" s="473">
        <f t="shared" si="139"/>
        <v>20.149999999999999</v>
      </c>
      <c r="U227" s="473">
        <f t="shared" si="140"/>
        <v>20.149999999999999</v>
      </c>
      <c r="V227" s="491">
        <f t="shared" si="141"/>
        <v>0</v>
      </c>
      <c r="W227" s="475">
        <f t="shared" si="194"/>
        <v>20.149999999999999</v>
      </c>
      <c r="X227" s="475">
        <f t="shared" si="195"/>
        <v>6.7714794972076469</v>
      </c>
      <c r="Y227" s="735">
        <f t="shared" si="221"/>
        <v>37.46422139029049</v>
      </c>
      <c r="Z227" s="475">
        <f t="shared" si="196"/>
        <v>9</v>
      </c>
      <c r="AA227" s="475">
        <f>IF($F$36=$D$36,MIN(AbsFeuchte(Z227,100%,$N$19),R227),MIN(AbsFeuchte(Z227,100%,$N$19),X227))</f>
        <v>6.7714794972076469</v>
      </c>
      <c r="AB227" s="735">
        <f t="shared" si="222"/>
        <v>26.106887676997907</v>
      </c>
      <c r="AC227" s="475">
        <f t="shared" si="197"/>
        <v>9</v>
      </c>
      <c r="AD227" s="475">
        <v>0</v>
      </c>
      <c r="AE227" s="735">
        <f t="shared" si="223"/>
        <v>9.0540000000000003</v>
      </c>
      <c r="AF227" s="735">
        <f t="shared" si="198"/>
        <v>9</v>
      </c>
      <c r="AG227" s="735">
        <f t="shared" si="145"/>
        <v>9.9999999999999992E+22</v>
      </c>
      <c r="AH227" s="475">
        <f t="shared" si="146"/>
        <v>20.149999999999999</v>
      </c>
      <c r="AI227" s="475">
        <f t="shared" si="199"/>
        <v>6.771479497207646</v>
      </c>
      <c r="AJ227" s="735">
        <f t="shared" si="224"/>
        <v>37.46422139029049</v>
      </c>
      <c r="AK227" s="475">
        <f t="shared" si="148"/>
        <v>20.149999999999999</v>
      </c>
      <c r="AL227" s="475">
        <f t="shared" si="200"/>
        <v>6.7714794972076469</v>
      </c>
      <c r="AM227" s="735">
        <f t="shared" si="225"/>
        <v>37.46422139029049</v>
      </c>
      <c r="AN227" s="475">
        <f t="shared" si="214"/>
        <v>21.999999999999993</v>
      </c>
      <c r="AO227" s="475">
        <f t="shared" si="150"/>
        <v>6.7714794972076469</v>
      </c>
      <c r="AP227" s="735">
        <f t="shared" si="201"/>
        <v>39.348622051240383</v>
      </c>
      <c r="AQ227" s="475" t="e">
        <f t="shared" ca="1" si="226"/>
        <v>#NAME?</v>
      </c>
      <c r="AR227" s="475">
        <f t="shared" si="202"/>
        <v>6.771479497207646</v>
      </c>
      <c r="AS227" s="735" t="e">
        <f t="shared" ca="1" si="227"/>
        <v>#VALUE!</v>
      </c>
      <c r="AT227" s="475">
        <f t="shared" si="203"/>
        <v>22</v>
      </c>
      <c r="AU227" s="475">
        <f t="shared" si="153"/>
        <v>6.7714794972076469</v>
      </c>
      <c r="AV227" s="735">
        <f t="shared" si="228"/>
        <v>39.348622051240383</v>
      </c>
      <c r="AW227" s="529">
        <f t="shared" si="155"/>
        <v>1</v>
      </c>
      <c r="AX227" s="735">
        <f t="shared" si="204"/>
        <v>1</v>
      </c>
      <c r="AY227" s="735">
        <f t="shared" si="156"/>
        <v>0</v>
      </c>
      <c r="AZ227" s="735">
        <f t="shared" si="205"/>
        <v>1</v>
      </c>
      <c r="BA227" s="735">
        <f t="shared" si="206"/>
        <v>0</v>
      </c>
      <c r="BB227" s="735">
        <f>IF($F$36=$D$36,IF(AW227=1,Fall1Tzul(AX227,AY227,BJ227,Q227),0),IF(AW227=1,Fall1Tzul(AX227,AY227,BJ227,W227),0))</f>
        <v>22</v>
      </c>
      <c r="BC227" s="735">
        <f>IF($F$36=$D$36,IF(AW227=1,Fall1xzul(AX227,AY227,BL227,R227),0),IF(AW227=1,Fall1xzul(AX227,AY227,BL227,X227),0))</f>
        <v>6.7714794972076469</v>
      </c>
      <c r="BD227" s="735">
        <f>IF($F$36=$D$36,IF(AW227=2,Fall2Tzul(AX227, AZ227, BJ227,Q227, Z227),0),IF(AW227=2,Fall2Tzul(AX227, AZ227, BJ227,W227, Z227),0))</f>
        <v>0</v>
      </c>
      <c r="BE227" s="735">
        <f>IF($F$36=$D$36,IF(AW227=2,Fall2xzul(AX227,AZ227,BL227,R227,AA227),0),IF(AW227=2,Fall2xzul(AX227,AZ227,BL227,X227,AA227),0))</f>
        <v>0</v>
      </c>
      <c r="BF227" s="735">
        <f t="shared" si="157"/>
        <v>0</v>
      </c>
      <c r="BG227" s="735">
        <f t="shared" si="158"/>
        <v>0</v>
      </c>
      <c r="BH227" s="735">
        <f t="shared" si="159"/>
        <v>0</v>
      </c>
      <c r="BI227" s="735">
        <f t="shared" si="160"/>
        <v>0</v>
      </c>
      <c r="BJ227" s="473">
        <f t="shared" si="161"/>
        <v>22</v>
      </c>
      <c r="BK227" s="491">
        <f t="shared" si="229"/>
        <v>0.38645792865853984</v>
      </c>
      <c r="BL227" s="475">
        <f>AbsFeuchte(BJ227,BK227,$N$19)</f>
        <v>6.771479497207646</v>
      </c>
      <c r="BM227" s="735">
        <f t="shared" si="230"/>
        <v>39.348622051240383</v>
      </c>
      <c r="BN227" s="473">
        <f t="shared" si="207"/>
        <v>22</v>
      </c>
      <c r="BO227" s="491">
        <f t="shared" si="231"/>
        <v>0.38645792865853984</v>
      </c>
      <c r="BP227" s="475">
        <f t="shared" si="208"/>
        <v>6.7714794972076469</v>
      </c>
      <c r="BQ227" s="735">
        <f t="shared" si="232"/>
        <v>39.348622051240383</v>
      </c>
      <c r="BR227" s="473">
        <f t="shared" si="166"/>
        <v>24</v>
      </c>
      <c r="BS227" s="491">
        <f t="shared" si="167"/>
        <v>0.3423944882681087</v>
      </c>
      <c r="BT227" s="475">
        <f>AbsFeuchte(BR227,BS227,$N$19)</f>
        <v>6.771479497207646</v>
      </c>
      <c r="BU227" s="576">
        <f>IF($J$21=0,IF(E$13=$S$10,BR227+$N$18,BR227),IF(E$13=$S$10,BR227+$N$18+#REF!,BR227+$J$21))</f>
        <v>24</v>
      </c>
      <c r="BV227" s="491">
        <f t="shared" si="233"/>
        <v>0.3423944882681087</v>
      </c>
      <c r="BW227" s="726">
        <f t="shared" si="169"/>
        <v>6.771479497207646</v>
      </c>
      <c r="BX227" s="475">
        <f t="shared" si="215"/>
        <v>0</v>
      </c>
      <c r="BY227" s="475">
        <f t="shared" si="216"/>
        <v>1.8844006609498933</v>
      </c>
      <c r="BZ227" s="475">
        <f t="shared" si="170"/>
        <v>0</v>
      </c>
      <c r="CA227" s="475">
        <f t="shared" si="171"/>
        <v>0</v>
      </c>
      <c r="CB227" s="475">
        <f t="shared" si="172"/>
        <v>0</v>
      </c>
      <c r="CC227" s="475">
        <f t="shared" si="173"/>
        <v>1.8844006609498933</v>
      </c>
      <c r="CD227" s="475">
        <f t="shared" si="174"/>
        <v>0</v>
      </c>
      <c r="CE227" s="621">
        <f t="shared" si="175"/>
        <v>0</v>
      </c>
      <c r="CF227" s="621">
        <f t="shared" si="176"/>
        <v>0</v>
      </c>
      <c r="CG227" s="621">
        <f t="shared" si="177"/>
        <v>0</v>
      </c>
      <c r="CH227" s="573">
        <f t="shared" si="178"/>
        <v>0</v>
      </c>
      <c r="CI227" s="621">
        <f t="shared" si="179"/>
        <v>0</v>
      </c>
      <c r="CJ227" s="621">
        <f t="shared" si="180"/>
        <v>0</v>
      </c>
      <c r="CK227" s="621">
        <f t="shared" si="181"/>
        <v>0</v>
      </c>
      <c r="CL227" s="737">
        <f t="shared" si="182"/>
        <v>0</v>
      </c>
      <c r="CM227" s="738">
        <f t="shared" si="183"/>
        <v>0</v>
      </c>
      <c r="CN227" s="475">
        <f t="shared" si="184"/>
        <v>0.38645792865853984</v>
      </c>
      <c r="CO227" s="475">
        <f t="shared" si="185"/>
        <v>0.38645792865853984</v>
      </c>
      <c r="CP227" s="475">
        <f t="shared" si="186"/>
        <v>20.149999999999999</v>
      </c>
      <c r="CQ227" s="475">
        <f t="shared" si="187"/>
        <v>20.149999999999999</v>
      </c>
      <c r="CR227" s="475">
        <f t="shared" si="188"/>
        <v>1.8844006609498933</v>
      </c>
      <c r="CS227" s="475">
        <f t="shared" si="189"/>
        <v>0</v>
      </c>
      <c r="CT227" s="475">
        <f t="shared" si="190"/>
        <v>0</v>
      </c>
      <c r="CU227" s="475">
        <f t="shared" si="191"/>
        <v>22</v>
      </c>
      <c r="CV227" s="475">
        <f t="shared" si="192"/>
        <v>22</v>
      </c>
      <c r="CW227" s="475">
        <f t="shared" si="209"/>
        <v>0</v>
      </c>
      <c r="CX227" s="573">
        <f t="shared" si="217"/>
        <v>0</v>
      </c>
      <c r="CY227" s="475">
        <f t="shared" si="219"/>
        <v>22</v>
      </c>
      <c r="CZ227" s="475">
        <f t="shared" si="218"/>
        <v>22</v>
      </c>
      <c r="DA227" s="475">
        <v>13</v>
      </c>
      <c r="DB227" s="475"/>
      <c r="DC227" s="410"/>
    </row>
    <row r="228" spans="1:107" s="619" customFormat="1" ht="12" hidden="1" customHeight="1" outlineLevel="1">
      <c r="A228" s="752">
        <v>14</v>
      </c>
      <c r="B228" s="573">
        <v>116.96428571428572</v>
      </c>
      <c r="C228" s="475">
        <v>7.5728062420386424</v>
      </c>
      <c r="D228" s="741">
        <v>0.74539440203562335</v>
      </c>
      <c r="E228" s="491">
        <f t="shared" si="220"/>
        <v>0.38242556381730392</v>
      </c>
      <c r="F228" s="438">
        <f t="shared" si="133"/>
        <v>0</v>
      </c>
      <c r="G228" s="438"/>
      <c r="H228" s="475">
        <f t="shared" si="134"/>
        <v>8</v>
      </c>
      <c r="I228" s="473">
        <f t="shared" si="135"/>
        <v>20.5</v>
      </c>
      <c r="J228" s="473">
        <f t="shared" si="136"/>
        <v>20.5</v>
      </c>
      <c r="K228" s="491">
        <f t="shared" si="137"/>
        <v>0.65</v>
      </c>
      <c r="L228" s="473">
        <f t="shared" si="193"/>
        <v>20.5</v>
      </c>
      <c r="M228" s="473">
        <f t="shared" si="138"/>
        <v>7.5728062420386424</v>
      </c>
      <c r="N228" s="473">
        <f t="shared" ref="N228:N249" si="234">(EnthalpieA(L228,M228,AB122)*$F$35)+((1-$F$35)*EnthalpieA(BU228,BW228,AB122))</f>
        <v>39.855883197092801</v>
      </c>
      <c r="O228" s="473">
        <f t="shared" ref="O228:O249" si="235">(EnthalpieA(L228,M228,AB122)*$F$34)+((1-$F$34)*EnthalpieA(BU228,BW228,AB122))</f>
        <v>39.855883197092801</v>
      </c>
      <c r="P228" s="734">
        <f t="shared" ref="P228:P249" si="236">1-IF(EnthalpieA(L228,M228,AB122)=S228,$F$35,(S228-EnthalpieA(BU228,BW228,AB122))/((EnthalpieA(L228,M228,AB122)-EnthalpieA(BU228,BW228,AB122))))</f>
        <v>0</v>
      </c>
      <c r="Q228" s="473">
        <f t="shared" si="211"/>
        <v>20.5</v>
      </c>
      <c r="R228" s="475">
        <f t="shared" si="212"/>
        <v>7.5728062420386424</v>
      </c>
      <c r="S228" s="473">
        <f t="shared" si="213"/>
        <v>39.855883197092801</v>
      </c>
      <c r="T228" s="473">
        <f t="shared" si="139"/>
        <v>20.5</v>
      </c>
      <c r="U228" s="473">
        <f t="shared" si="140"/>
        <v>20.5</v>
      </c>
      <c r="V228" s="491">
        <f t="shared" si="141"/>
        <v>0</v>
      </c>
      <c r="W228" s="475">
        <f t="shared" si="194"/>
        <v>20.5</v>
      </c>
      <c r="X228" s="475">
        <f t="shared" si="195"/>
        <v>7.5728062420386424</v>
      </c>
      <c r="Y228" s="735">
        <f t="shared" si="221"/>
        <v>39.855883197092801</v>
      </c>
      <c r="Z228" s="475">
        <f t="shared" si="196"/>
        <v>9</v>
      </c>
      <c r="AA228" s="475">
        <f>IF($F$36=$D$36,MIN(AbsFeuchte(Z228,100%,$N$19),R228),MIN(AbsFeuchte(Z228,100%,$N$19),X228))</f>
        <v>7.5728062420386424</v>
      </c>
      <c r="AB228" s="735">
        <f t="shared" si="222"/>
        <v>28.124900871575591</v>
      </c>
      <c r="AC228" s="475">
        <f t="shared" si="197"/>
        <v>9</v>
      </c>
      <c r="AD228" s="475">
        <v>0</v>
      </c>
      <c r="AE228" s="735">
        <f t="shared" si="223"/>
        <v>9.0540000000000003</v>
      </c>
      <c r="AF228" s="735">
        <f t="shared" si="198"/>
        <v>9</v>
      </c>
      <c r="AG228" s="735">
        <f t="shared" si="145"/>
        <v>9.9999999999999992E+22</v>
      </c>
      <c r="AH228" s="475">
        <f t="shared" si="146"/>
        <v>20.5</v>
      </c>
      <c r="AI228" s="475">
        <f t="shared" si="199"/>
        <v>7.5728062420386433</v>
      </c>
      <c r="AJ228" s="735">
        <f t="shared" si="224"/>
        <v>39.855883197092808</v>
      </c>
      <c r="AK228" s="475">
        <f t="shared" si="148"/>
        <v>20.5</v>
      </c>
      <c r="AL228" s="475">
        <f t="shared" si="200"/>
        <v>7.5728062420386424</v>
      </c>
      <c r="AM228" s="735">
        <f t="shared" si="225"/>
        <v>39.855883197092801</v>
      </c>
      <c r="AN228" s="475">
        <f t="shared" si="214"/>
        <v>22.000000000000011</v>
      </c>
      <c r="AO228" s="475">
        <f t="shared" si="150"/>
        <v>7.5728062420386424</v>
      </c>
      <c r="AP228" s="735">
        <f t="shared" si="201"/>
        <v>41.386011326508097</v>
      </c>
      <c r="AQ228" s="475" t="e">
        <f t="shared" ca="1" si="226"/>
        <v>#NAME?</v>
      </c>
      <c r="AR228" s="475">
        <f t="shared" si="202"/>
        <v>7.5728062420386433</v>
      </c>
      <c r="AS228" s="735" t="e">
        <f t="shared" ca="1" si="227"/>
        <v>#VALUE!</v>
      </c>
      <c r="AT228" s="475">
        <f t="shared" si="203"/>
        <v>22</v>
      </c>
      <c r="AU228" s="475">
        <f t="shared" si="153"/>
        <v>7.5728062420386424</v>
      </c>
      <c r="AV228" s="735">
        <f t="shared" si="228"/>
        <v>41.38601132650809</v>
      </c>
      <c r="AW228" s="529">
        <f t="shared" si="155"/>
        <v>1</v>
      </c>
      <c r="AX228" s="735">
        <f t="shared" si="204"/>
        <v>1</v>
      </c>
      <c r="AY228" s="735">
        <f t="shared" si="156"/>
        <v>0</v>
      </c>
      <c r="AZ228" s="735">
        <f t="shared" si="205"/>
        <v>1</v>
      </c>
      <c r="BA228" s="735">
        <f t="shared" si="206"/>
        <v>0</v>
      </c>
      <c r="BB228" s="735">
        <f>IF($F$36=$D$36,IF(AW228=1,Fall1Tzul(AX228,AY228,BJ228,Q228),0),IF(AW228=1,Fall1Tzul(AX228,AY228,BJ228,W228),0))</f>
        <v>22</v>
      </c>
      <c r="BC228" s="735">
        <f>IF($F$36=$D$36,IF(AW228=1,Fall1xzul(AX228,AY228,BL228,R228),0),IF(AW228=1,Fall1xzul(AX228,AY228,BL228,X228),0))</f>
        <v>7.5728062420386424</v>
      </c>
      <c r="BD228" s="735">
        <f>IF($F$36=$D$36,IF(AW228=2,Fall2Tzul(AX228, AZ228, BJ228,Q228, Z228),0),IF(AW228=2,Fall2Tzul(AX228, AZ228, BJ228,W228, Z228),0))</f>
        <v>0</v>
      </c>
      <c r="BE228" s="735">
        <f>IF($F$36=$D$36,IF(AW228=2,Fall2xzul(AX228,AZ228,BL228,R228,AA228),0),IF(AW228=2,Fall2xzul(AX228,AZ228,BL228,X228,AA228),0))</f>
        <v>0</v>
      </c>
      <c r="BF228" s="735">
        <f t="shared" si="157"/>
        <v>0</v>
      </c>
      <c r="BG228" s="735">
        <f t="shared" si="158"/>
        <v>0</v>
      </c>
      <c r="BH228" s="735">
        <f t="shared" si="159"/>
        <v>0</v>
      </c>
      <c r="BI228" s="735">
        <f t="shared" si="160"/>
        <v>0</v>
      </c>
      <c r="BJ228" s="473">
        <f t="shared" si="161"/>
        <v>22</v>
      </c>
      <c r="BK228" s="491">
        <f t="shared" si="229"/>
        <v>0.43164068442358478</v>
      </c>
      <c r="BL228" s="475">
        <f>AbsFeuchte(BJ228,BK228,$N$19)</f>
        <v>7.5728062420386433</v>
      </c>
      <c r="BM228" s="735">
        <f t="shared" si="230"/>
        <v>41.386011326508097</v>
      </c>
      <c r="BN228" s="473">
        <f t="shared" si="207"/>
        <v>22</v>
      </c>
      <c r="BO228" s="491">
        <f t="shared" si="231"/>
        <v>0.43164068442358478</v>
      </c>
      <c r="BP228" s="475">
        <f t="shared" si="208"/>
        <v>7.5728062420386424</v>
      </c>
      <c r="BQ228" s="735">
        <f t="shared" si="232"/>
        <v>41.38601132650809</v>
      </c>
      <c r="BR228" s="473">
        <f t="shared" si="166"/>
        <v>24</v>
      </c>
      <c r="BS228" s="491">
        <f t="shared" si="167"/>
        <v>0.38242556381730392</v>
      </c>
      <c r="BT228" s="475">
        <f>AbsFeuchte(BR228,BS228,$N$19)</f>
        <v>7.5728062420386433</v>
      </c>
      <c r="BU228" s="576">
        <f>IF($J$21=0,IF(E$13=$S$10,BR228+$N$18,BR228),IF(E$13=$S$10,BR228+$N$18+#REF!,BR228+$J$21))</f>
        <v>24</v>
      </c>
      <c r="BV228" s="491">
        <f t="shared" si="233"/>
        <v>0.38242556381730392</v>
      </c>
      <c r="BW228" s="726">
        <f t="shared" si="169"/>
        <v>7.5728062420386433</v>
      </c>
      <c r="BX228" s="475">
        <f t="shared" si="215"/>
        <v>0</v>
      </c>
      <c r="BY228" s="475">
        <f t="shared" si="216"/>
        <v>1.5301281294152886</v>
      </c>
      <c r="BZ228" s="475">
        <f t="shared" si="170"/>
        <v>0</v>
      </c>
      <c r="CA228" s="475">
        <f t="shared" si="171"/>
        <v>0</v>
      </c>
      <c r="CB228" s="475">
        <f t="shared" si="172"/>
        <v>0</v>
      </c>
      <c r="CC228" s="475">
        <f t="shared" si="173"/>
        <v>1.5301281294152886</v>
      </c>
      <c r="CD228" s="475">
        <f t="shared" si="174"/>
        <v>0</v>
      </c>
      <c r="CE228" s="621">
        <f t="shared" si="175"/>
        <v>0</v>
      </c>
      <c r="CF228" s="621">
        <f t="shared" si="176"/>
        <v>0</v>
      </c>
      <c r="CG228" s="621">
        <f t="shared" si="177"/>
        <v>0</v>
      </c>
      <c r="CH228" s="573">
        <f t="shared" si="178"/>
        <v>0</v>
      </c>
      <c r="CI228" s="621">
        <f t="shared" si="179"/>
        <v>0</v>
      </c>
      <c r="CJ228" s="621">
        <f t="shared" si="180"/>
        <v>0</v>
      </c>
      <c r="CK228" s="621">
        <f t="shared" si="181"/>
        <v>0</v>
      </c>
      <c r="CL228" s="737">
        <f t="shared" si="182"/>
        <v>0</v>
      </c>
      <c r="CM228" s="738">
        <f t="shared" si="183"/>
        <v>0</v>
      </c>
      <c r="CN228" s="475">
        <f t="shared" si="184"/>
        <v>0.43164068442358478</v>
      </c>
      <c r="CO228" s="475">
        <f t="shared" si="185"/>
        <v>0.43164068442358478</v>
      </c>
      <c r="CP228" s="475">
        <f t="shared" si="186"/>
        <v>20.5</v>
      </c>
      <c r="CQ228" s="475">
        <f t="shared" si="187"/>
        <v>20.5</v>
      </c>
      <c r="CR228" s="475">
        <f t="shared" si="188"/>
        <v>1.5301281294152886</v>
      </c>
      <c r="CS228" s="475">
        <f t="shared" si="189"/>
        <v>0</v>
      </c>
      <c r="CT228" s="475">
        <f t="shared" si="190"/>
        <v>0</v>
      </c>
      <c r="CU228" s="475">
        <f t="shared" si="191"/>
        <v>22</v>
      </c>
      <c r="CV228" s="475">
        <f t="shared" si="192"/>
        <v>22</v>
      </c>
      <c r="CW228" s="475">
        <f t="shared" si="209"/>
        <v>0</v>
      </c>
      <c r="CX228" s="573">
        <f t="shared" si="217"/>
        <v>0</v>
      </c>
      <c r="CY228" s="475">
        <f t="shared" si="219"/>
        <v>22</v>
      </c>
      <c r="CZ228" s="475">
        <f t="shared" si="218"/>
        <v>22</v>
      </c>
      <c r="DA228" s="475">
        <v>14</v>
      </c>
      <c r="DB228" s="475"/>
      <c r="DC228" s="410"/>
    </row>
    <row r="229" spans="1:107" s="619" customFormat="1" ht="12" hidden="1" customHeight="1" outlineLevel="1">
      <c r="A229" s="752">
        <v>15</v>
      </c>
      <c r="B229" s="573">
        <v>95.238095238095227</v>
      </c>
      <c r="C229" s="475">
        <v>7.6022070018975878</v>
      </c>
      <c r="D229" s="741">
        <v>0.70140625000000001</v>
      </c>
      <c r="E229" s="491">
        <f t="shared" si="220"/>
        <v>0.38389237012321353</v>
      </c>
      <c r="F229" s="438">
        <f t="shared" si="133"/>
        <v>0</v>
      </c>
      <c r="G229" s="438"/>
      <c r="H229" s="475">
        <f t="shared" si="134"/>
        <v>7</v>
      </c>
      <c r="I229" s="473">
        <f t="shared" si="135"/>
        <v>20.85</v>
      </c>
      <c r="J229" s="473">
        <f t="shared" si="136"/>
        <v>20.85</v>
      </c>
      <c r="K229" s="491">
        <f t="shared" si="137"/>
        <v>0.65000000000000013</v>
      </c>
      <c r="L229" s="473">
        <f t="shared" si="193"/>
        <v>20.85</v>
      </c>
      <c r="M229" s="473">
        <f t="shared" si="138"/>
        <v>7.6022070018975878</v>
      </c>
      <c r="N229" s="473">
        <f t="shared" si="234"/>
        <v>40.287602225687593</v>
      </c>
      <c r="O229" s="473">
        <f t="shared" si="235"/>
        <v>40.287602225687593</v>
      </c>
      <c r="P229" s="734">
        <f t="shared" si="236"/>
        <v>0</v>
      </c>
      <c r="Q229" s="473">
        <f t="shared" si="211"/>
        <v>20.85</v>
      </c>
      <c r="R229" s="475">
        <f t="shared" si="212"/>
        <v>7.6022070018975878</v>
      </c>
      <c r="S229" s="473">
        <f t="shared" si="213"/>
        <v>40.287602225687593</v>
      </c>
      <c r="T229" s="473">
        <f t="shared" si="139"/>
        <v>20.85</v>
      </c>
      <c r="U229" s="473">
        <f t="shared" si="140"/>
        <v>20.85</v>
      </c>
      <c r="V229" s="491">
        <f t="shared" si="141"/>
        <v>0</v>
      </c>
      <c r="W229" s="475">
        <f t="shared" si="194"/>
        <v>20.85</v>
      </c>
      <c r="X229" s="475">
        <f t="shared" si="195"/>
        <v>7.6022070018975878</v>
      </c>
      <c r="Y229" s="735">
        <f t="shared" si="221"/>
        <v>40.287602225687593</v>
      </c>
      <c r="Z229" s="475">
        <f t="shared" si="196"/>
        <v>9</v>
      </c>
      <c r="AA229" s="475">
        <f>IF($F$36=$D$36,MIN(AbsFeuchte(Z229,100%,$N$19),R229),MIN(AbsFeuchte(Z229,100%,$N$19),X229))</f>
        <v>7.6022070018975878</v>
      </c>
      <c r="AB229" s="735">
        <f t="shared" si="222"/>
        <v>28.198941981158768</v>
      </c>
      <c r="AC229" s="475">
        <f t="shared" si="197"/>
        <v>9</v>
      </c>
      <c r="AD229" s="475">
        <v>0</v>
      </c>
      <c r="AE229" s="735">
        <f t="shared" si="223"/>
        <v>9.0540000000000003</v>
      </c>
      <c r="AF229" s="735">
        <f t="shared" si="198"/>
        <v>9</v>
      </c>
      <c r="AG229" s="735">
        <f t="shared" si="145"/>
        <v>9.9999999999999992E+22</v>
      </c>
      <c r="AH229" s="475">
        <f t="shared" si="146"/>
        <v>20.85</v>
      </c>
      <c r="AI229" s="475">
        <f t="shared" si="199"/>
        <v>7.6022070018975869</v>
      </c>
      <c r="AJ229" s="735">
        <f t="shared" si="224"/>
        <v>40.287602225687593</v>
      </c>
      <c r="AK229" s="475">
        <f t="shared" si="148"/>
        <v>20.85</v>
      </c>
      <c r="AL229" s="475">
        <f t="shared" si="200"/>
        <v>7.6022070018975878</v>
      </c>
      <c r="AM229" s="735">
        <f t="shared" si="225"/>
        <v>40.287602225687593</v>
      </c>
      <c r="AN229" s="475">
        <f t="shared" si="214"/>
        <v>22</v>
      </c>
      <c r="AO229" s="475">
        <f t="shared" si="150"/>
        <v>7.6022070018975878</v>
      </c>
      <c r="AP229" s="735">
        <f t="shared" si="201"/>
        <v>41.460763346464653</v>
      </c>
      <c r="AQ229" s="475" t="e">
        <f t="shared" ca="1" si="226"/>
        <v>#NAME?</v>
      </c>
      <c r="AR229" s="475">
        <f t="shared" si="202"/>
        <v>7.6022070018975869</v>
      </c>
      <c r="AS229" s="735" t="e">
        <f t="shared" ca="1" si="227"/>
        <v>#VALUE!</v>
      </c>
      <c r="AT229" s="475">
        <f t="shared" si="203"/>
        <v>22</v>
      </c>
      <c r="AU229" s="475">
        <f t="shared" si="153"/>
        <v>7.6022070018975878</v>
      </c>
      <c r="AV229" s="735">
        <f t="shared" si="228"/>
        <v>41.46076334646466</v>
      </c>
      <c r="AW229" s="529">
        <f t="shared" si="155"/>
        <v>1</v>
      </c>
      <c r="AX229" s="735">
        <f t="shared" si="204"/>
        <v>1</v>
      </c>
      <c r="AY229" s="735">
        <f t="shared" si="156"/>
        <v>0</v>
      </c>
      <c r="AZ229" s="735">
        <f t="shared" si="205"/>
        <v>1</v>
      </c>
      <c r="BA229" s="735">
        <f t="shared" si="206"/>
        <v>0</v>
      </c>
      <c r="BB229" s="735">
        <f>IF($F$36=$D$36,IF(AW229=1,Fall1Tzul(AX229,AY229,BJ229,Q229),0),IF(AW229=1,Fall1Tzul(AX229,AY229,BJ229,W229),0))</f>
        <v>22</v>
      </c>
      <c r="BC229" s="735">
        <f>IF($F$36=$D$36,IF(AW229=1,Fall1xzul(AX229,AY229,BL229,R229),0),IF(AW229=1,Fall1xzul(AX229,AY229,BL229,X229),0))</f>
        <v>7.6022070018975878</v>
      </c>
      <c r="BD229" s="735">
        <f>IF($F$36=$D$36,IF(AW229=2,Fall2Tzul(AX229, AZ229, BJ229,Q229, Z229),0),IF(AW229=2,Fall2Tzul(AX229, AZ229, BJ229,W229, Z229),0))</f>
        <v>0</v>
      </c>
      <c r="BE229" s="735">
        <f>IF($F$36=$D$36,IF(AW229=2,Fall2xzul(AX229,AZ229,BL229,R229,AA229),0),IF(AW229=2,Fall2xzul(AX229,AZ229,BL229,X229,AA229),0))</f>
        <v>0</v>
      </c>
      <c r="BF229" s="735">
        <f t="shared" si="157"/>
        <v>0</v>
      </c>
      <c r="BG229" s="735">
        <f t="shared" si="158"/>
        <v>0</v>
      </c>
      <c r="BH229" s="735">
        <f t="shared" si="159"/>
        <v>0</v>
      </c>
      <c r="BI229" s="735">
        <f t="shared" si="160"/>
        <v>0</v>
      </c>
      <c r="BJ229" s="473">
        <f t="shared" si="161"/>
        <v>22</v>
      </c>
      <c r="BK229" s="491">
        <f t="shared" si="229"/>
        <v>0.43329625700476848</v>
      </c>
      <c r="BL229" s="475">
        <f>AbsFeuchte(BJ229,BK229,$N$19)</f>
        <v>7.6022070018975869</v>
      </c>
      <c r="BM229" s="735">
        <f t="shared" si="230"/>
        <v>41.460763346464653</v>
      </c>
      <c r="BN229" s="473">
        <f t="shared" si="207"/>
        <v>22</v>
      </c>
      <c r="BO229" s="491">
        <f t="shared" si="231"/>
        <v>0.43329625700476854</v>
      </c>
      <c r="BP229" s="475">
        <f t="shared" si="208"/>
        <v>7.6022070018975878</v>
      </c>
      <c r="BQ229" s="735">
        <f t="shared" si="232"/>
        <v>41.46076334646466</v>
      </c>
      <c r="BR229" s="473">
        <f t="shared" si="166"/>
        <v>24</v>
      </c>
      <c r="BS229" s="491">
        <f t="shared" si="167"/>
        <v>0.38389237012321353</v>
      </c>
      <c r="BT229" s="475">
        <f>AbsFeuchte(BR229,BS229,$N$19)</f>
        <v>7.6022070018975869</v>
      </c>
      <c r="BU229" s="576">
        <f>IF($J$21=0,IF(E$13=$S$10,BR229+$N$18,BR229),IF(E$13=$S$10,BR229+$N$18+#REF!,BR229+$J$21))</f>
        <v>24</v>
      </c>
      <c r="BV229" s="491">
        <f t="shared" si="233"/>
        <v>0.38389237012321348</v>
      </c>
      <c r="BW229" s="726">
        <f t="shared" si="169"/>
        <v>7.6022070018975869</v>
      </c>
      <c r="BX229" s="475">
        <f t="shared" si="215"/>
        <v>0</v>
      </c>
      <c r="BY229" s="475">
        <f t="shared" si="216"/>
        <v>1.1731611207770669</v>
      </c>
      <c r="BZ229" s="475">
        <f t="shared" si="170"/>
        <v>0</v>
      </c>
      <c r="CA229" s="475">
        <f t="shared" si="171"/>
        <v>0</v>
      </c>
      <c r="CB229" s="475">
        <f t="shared" si="172"/>
        <v>0</v>
      </c>
      <c r="CC229" s="475">
        <f t="shared" si="173"/>
        <v>1.1731611207770669</v>
      </c>
      <c r="CD229" s="475">
        <f t="shared" si="174"/>
        <v>0</v>
      </c>
      <c r="CE229" s="621">
        <f t="shared" si="175"/>
        <v>0</v>
      </c>
      <c r="CF229" s="621">
        <f t="shared" si="176"/>
        <v>0</v>
      </c>
      <c r="CG229" s="621">
        <f t="shared" si="177"/>
        <v>0</v>
      </c>
      <c r="CH229" s="573">
        <f t="shared" si="178"/>
        <v>0</v>
      </c>
      <c r="CI229" s="621">
        <f t="shared" si="179"/>
        <v>0</v>
      </c>
      <c r="CJ229" s="621">
        <f t="shared" si="180"/>
        <v>0</v>
      </c>
      <c r="CK229" s="621">
        <f t="shared" si="181"/>
        <v>0</v>
      </c>
      <c r="CL229" s="737">
        <f t="shared" si="182"/>
        <v>0</v>
      </c>
      <c r="CM229" s="738">
        <f t="shared" si="183"/>
        <v>0</v>
      </c>
      <c r="CN229" s="475">
        <f t="shared" si="184"/>
        <v>0.43329625700476848</v>
      </c>
      <c r="CO229" s="475">
        <f t="shared" si="185"/>
        <v>0.43329625700476854</v>
      </c>
      <c r="CP229" s="475">
        <f t="shared" si="186"/>
        <v>20.85</v>
      </c>
      <c r="CQ229" s="475">
        <f t="shared" si="187"/>
        <v>20.85</v>
      </c>
      <c r="CR229" s="475">
        <f t="shared" si="188"/>
        <v>1.1731611207770669</v>
      </c>
      <c r="CS229" s="475">
        <f t="shared" si="189"/>
        <v>0</v>
      </c>
      <c r="CT229" s="475">
        <f t="shared" si="190"/>
        <v>0</v>
      </c>
      <c r="CU229" s="475">
        <f t="shared" si="191"/>
        <v>22</v>
      </c>
      <c r="CV229" s="475">
        <f t="shared" si="192"/>
        <v>22</v>
      </c>
      <c r="CW229" s="475">
        <f t="shared" si="209"/>
        <v>0</v>
      </c>
      <c r="CX229" s="573">
        <f t="shared" si="217"/>
        <v>0</v>
      </c>
      <c r="CY229" s="475">
        <f t="shared" si="219"/>
        <v>22</v>
      </c>
      <c r="CZ229" s="475">
        <f t="shared" si="218"/>
        <v>22</v>
      </c>
      <c r="DA229" s="475">
        <v>15</v>
      </c>
      <c r="DB229" s="475"/>
      <c r="DC229" s="410"/>
    </row>
    <row r="230" spans="1:107" s="619" customFormat="1" ht="12" hidden="1" customHeight="1" outlineLevel="1">
      <c r="A230" s="752">
        <v>16</v>
      </c>
      <c r="B230" s="573">
        <v>102.97619047619047</v>
      </c>
      <c r="C230" s="475">
        <v>8.3405411254842488</v>
      </c>
      <c r="D230" s="741">
        <v>0.72086705202312129</v>
      </c>
      <c r="E230" s="491">
        <f t="shared" si="220"/>
        <v>0.4206830551960779</v>
      </c>
      <c r="F230" s="438">
        <f t="shared" si="133"/>
        <v>0</v>
      </c>
      <c r="G230" s="438"/>
      <c r="H230" s="475">
        <f t="shared" si="134"/>
        <v>6</v>
      </c>
      <c r="I230" s="473">
        <f t="shared" si="135"/>
        <v>21.2</v>
      </c>
      <c r="J230" s="473">
        <f t="shared" si="136"/>
        <v>21.2</v>
      </c>
      <c r="K230" s="491">
        <f t="shared" si="137"/>
        <v>0.64999999999999991</v>
      </c>
      <c r="L230" s="473">
        <f t="shared" si="193"/>
        <v>21.2</v>
      </c>
      <c r="M230" s="473">
        <f t="shared" si="138"/>
        <v>8.3405411254842488</v>
      </c>
      <c r="N230" s="473">
        <f t="shared" si="234"/>
        <v>42.520781897171489</v>
      </c>
      <c r="O230" s="473">
        <f t="shared" si="235"/>
        <v>42.520781897171489</v>
      </c>
      <c r="P230" s="734">
        <f t="shared" si="236"/>
        <v>0</v>
      </c>
      <c r="Q230" s="473">
        <f t="shared" si="211"/>
        <v>21.2</v>
      </c>
      <c r="R230" s="475">
        <f t="shared" si="212"/>
        <v>8.3405411254842488</v>
      </c>
      <c r="S230" s="473">
        <f t="shared" si="213"/>
        <v>42.520781897171489</v>
      </c>
      <c r="T230" s="473">
        <f t="shared" si="139"/>
        <v>21.2</v>
      </c>
      <c r="U230" s="473">
        <f t="shared" si="140"/>
        <v>21.2</v>
      </c>
      <c r="V230" s="491">
        <f t="shared" si="141"/>
        <v>0</v>
      </c>
      <c r="W230" s="475">
        <f t="shared" si="194"/>
        <v>21.2</v>
      </c>
      <c r="X230" s="475">
        <f t="shared" si="195"/>
        <v>8.3405411254842488</v>
      </c>
      <c r="Y230" s="735">
        <f t="shared" si="221"/>
        <v>42.520781897171489</v>
      </c>
      <c r="Z230" s="475">
        <f t="shared" si="196"/>
        <v>9</v>
      </c>
      <c r="AA230" s="475">
        <f>IF($F$36=$D$36,MIN(AbsFeuchte(Z230,100%,$N$19),R230),MIN(AbsFeuchte(Z230,100%,$N$19),X230))</f>
        <v>7.6169281356214986</v>
      </c>
      <c r="AB230" s="735">
        <f t="shared" si="222"/>
        <v>28.236014801061046</v>
      </c>
      <c r="AC230" s="475">
        <f t="shared" si="197"/>
        <v>9</v>
      </c>
      <c r="AD230" s="475">
        <v>0</v>
      </c>
      <c r="AE230" s="735">
        <f t="shared" si="223"/>
        <v>9.0540000000000003</v>
      </c>
      <c r="AF230" s="735">
        <f t="shared" si="198"/>
        <v>9</v>
      </c>
      <c r="AG230" s="735">
        <f t="shared" si="145"/>
        <v>16.859841062712281</v>
      </c>
      <c r="AH230" s="475">
        <f t="shared" si="146"/>
        <v>21.2</v>
      </c>
      <c r="AI230" s="475">
        <f t="shared" si="199"/>
        <v>8.340541125484247</v>
      </c>
      <c r="AJ230" s="735">
        <f t="shared" si="224"/>
        <v>42.520781897171481</v>
      </c>
      <c r="AK230" s="475">
        <f t="shared" si="148"/>
        <v>21.2</v>
      </c>
      <c r="AL230" s="475">
        <f t="shared" si="200"/>
        <v>8.3879911576063968</v>
      </c>
      <c r="AM230" s="735">
        <f t="shared" si="225"/>
        <v>42.641353947194894</v>
      </c>
      <c r="AN230" s="475">
        <f t="shared" si="214"/>
        <v>22</v>
      </c>
      <c r="AO230" s="475">
        <f t="shared" si="150"/>
        <v>8.3405411254842488</v>
      </c>
      <c r="AP230" s="735">
        <f t="shared" si="201"/>
        <v>43.337992622366208</v>
      </c>
      <c r="AQ230" s="475" t="e">
        <f t="shared" ca="1" si="226"/>
        <v>#NAME?</v>
      </c>
      <c r="AR230" s="475">
        <f t="shared" si="202"/>
        <v>8.340541125484247</v>
      </c>
      <c r="AS230" s="735" t="e">
        <f t="shared" ca="1" si="227"/>
        <v>#VALUE!</v>
      </c>
      <c r="AT230" s="475">
        <f t="shared" si="203"/>
        <v>22</v>
      </c>
      <c r="AU230" s="475">
        <f t="shared" si="153"/>
        <v>8.3405411254842488</v>
      </c>
      <c r="AV230" s="735">
        <f t="shared" si="228"/>
        <v>43.337992622366215</v>
      </c>
      <c r="AW230" s="529">
        <f t="shared" si="155"/>
        <v>1</v>
      </c>
      <c r="AX230" s="735">
        <f t="shared" si="204"/>
        <v>1</v>
      </c>
      <c r="AY230" s="735">
        <f t="shared" si="156"/>
        <v>0</v>
      </c>
      <c r="AZ230" s="735">
        <f t="shared" si="205"/>
        <v>1</v>
      </c>
      <c r="BA230" s="735">
        <f t="shared" si="206"/>
        <v>0</v>
      </c>
      <c r="BB230" s="735">
        <f>IF($F$36=$D$36,IF(AW230=1,Fall1Tzul(AX230,AY230,BJ230,Q230),0),IF(AW230=1,Fall1Tzul(AX230,AY230,BJ230,W230),0))</f>
        <v>22</v>
      </c>
      <c r="BC230" s="735">
        <f>IF($F$36=$D$36,IF(AW230=1,Fall1xzul(AX230,AY230,BL230,R230),0),IF(AW230=1,Fall1xzul(AX230,AY230,BL230,X230),0))</f>
        <v>8.3405411254842488</v>
      </c>
      <c r="BD230" s="735">
        <f>IF($F$36=$D$36,IF(AW230=2,Fall2Tzul(AX230, AZ230, BJ230,Q230, Z230),0),IF(AW230=2,Fall2Tzul(AX230, AZ230, BJ230,W230, Z230),0))</f>
        <v>0</v>
      </c>
      <c r="BE230" s="735">
        <f>IF($F$36=$D$36,IF(AW230=2,Fall2xzul(AX230,AZ230,BL230,R230,AA230),0),IF(AW230=2,Fall2xzul(AX230,AZ230,BL230,X230,AA230),0))</f>
        <v>0</v>
      </c>
      <c r="BF230" s="735">
        <f t="shared" si="157"/>
        <v>0</v>
      </c>
      <c r="BG230" s="735">
        <f t="shared" si="158"/>
        <v>0</v>
      </c>
      <c r="BH230" s="735">
        <f t="shared" si="159"/>
        <v>0</v>
      </c>
      <c r="BI230" s="735">
        <f t="shared" si="160"/>
        <v>0</v>
      </c>
      <c r="BJ230" s="473">
        <f t="shared" si="161"/>
        <v>22</v>
      </c>
      <c r="BK230" s="491">
        <f t="shared" si="229"/>
        <v>0.47482160987801486</v>
      </c>
      <c r="BL230" s="475">
        <f>AbsFeuchte(BJ230,BK230,$N$19)</f>
        <v>8.340541125484247</v>
      </c>
      <c r="BM230" s="735">
        <f t="shared" si="230"/>
        <v>43.337992622366208</v>
      </c>
      <c r="BN230" s="473">
        <f t="shared" si="207"/>
        <v>22</v>
      </c>
      <c r="BO230" s="491">
        <f t="shared" si="231"/>
        <v>0.47482160987801486</v>
      </c>
      <c r="BP230" s="475">
        <f t="shared" si="208"/>
        <v>8.3405411254842488</v>
      </c>
      <c r="BQ230" s="735">
        <f t="shared" si="232"/>
        <v>43.337992622366215</v>
      </c>
      <c r="BR230" s="473">
        <f t="shared" si="166"/>
        <v>24</v>
      </c>
      <c r="BS230" s="491">
        <f t="shared" si="167"/>
        <v>0.4206830551960779</v>
      </c>
      <c r="BT230" s="475">
        <f>AbsFeuchte(BR230,BS230,$N$19)</f>
        <v>8.3405411254842488</v>
      </c>
      <c r="BU230" s="576">
        <f>IF($J$21=0,IF(E$13=$S$10,BR230+$N$18,BR230),IF(E$13=$S$10,BR230+$N$18+#REF!,BR230+$J$21))</f>
        <v>24</v>
      </c>
      <c r="BV230" s="491">
        <f t="shared" si="233"/>
        <v>0.4206830551960779</v>
      </c>
      <c r="BW230" s="726">
        <f t="shared" si="169"/>
        <v>8.3405411254842488</v>
      </c>
      <c r="BX230" s="475">
        <f t="shared" si="215"/>
        <v>0</v>
      </c>
      <c r="BY230" s="475">
        <f t="shared" si="216"/>
        <v>0.81721072519472671</v>
      </c>
      <c r="BZ230" s="475">
        <f t="shared" si="170"/>
        <v>0</v>
      </c>
      <c r="CA230" s="475">
        <f t="shared" si="171"/>
        <v>0</v>
      </c>
      <c r="CB230" s="475">
        <f t="shared" si="172"/>
        <v>0</v>
      </c>
      <c r="CC230" s="475">
        <f t="shared" si="173"/>
        <v>0.81721072519472671</v>
      </c>
      <c r="CD230" s="475">
        <f t="shared" si="174"/>
        <v>0</v>
      </c>
      <c r="CE230" s="621">
        <f t="shared" si="175"/>
        <v>0</v>
      </c>
      <c r="CF230" s="621">
        <f t="shared" si="176"/>
        <v>0</v>
      </c>
      <c r="CG230" s="621">
        <f t="shared" si="177"/>
        <v>0</v>
      </c>
      <c r="CH230" s="573">
        <f t="shared" si="178"/>
        <v>0</v>
      </c>
      <c r="CI230" s="621">
        <f t="shared" si="179"/>
        <v>0</v>
      </c>
      <c r="CJ230" s="621">
        <f t="shared" si="180"/>
        <v>0</v>
      </c>
      <c r="CK230" s="621">
        <f t="shared" si="181"/>
        <v>0</v>
      </c>
      <c r="CL230" s="737">
        <f t="shared" si="182"/>
        <v>0</v>
      </c>
      <c r="CM230" s="738">
        <f t="shared" si="183"/>
        <v>0</v>
      </c>
      <c r="CN230" s="475">
        <f t="shared" si="184"/>
        <v>0.47482160987801486</v>
      </c>
      <c r="CO230" s="475">
        <f t="shared" si="185"/>
        <v>0.47482160987801486</v>
      </c>
      <c r="CP230" s="475">
        <f t="shared" si="186"/>
        <v>21.2</v>
      </c>
      <c r="CQ230" s="475">
        <f t="shared" si="187"/>
        <v>21.2</v>
      </c>
      <c r="CR230" s="475">
        <f t="shared" si="188"/>
        <v>0.81721072519472671</v>
      </c>
      <c r="CS230" s="475">
        <f t="shared" si="189"/>
        <v>0</v>
      </c>
      <c r="CT230" s="475">
        <f t="shared" si="190"/>
        <v>0</v>
      </c>
      <c r="CU230" s="475">
        <f t="shared" si="191"/>
        <v>22</v>
      </c>
      <c r="CV230" s="475">
        <f t="shared" si="192"/>
        <v>22</v>
      </c>
      <c r="CW230" s="475">
        <f t="shared" si="209"/>
        <v>0</v>
      </c>
      <c r="CX230" s="573">
        <f t="shared" si="217"/>
        <v>0</v>
      </c>
      <c r="CY230" s="475">
        <f t="shared" si="219"/>
        <v>22</v>
      </c>
      <c r="CZ230" s="475">
        <f t="shared" si="218"/>
        <v>22</v>
      </c>
      <c r="DA230" s="475">
        <v>16</v>
      </c>
      <c r="DB230" s="475"/>
      <c r="DC230" s="410"/>
    </row>
    <row r="231" spans="1:107" s="619" customFormat="1" ht="12" hidden="1" customHeight="1" outlineLevel="1">
      <c r="A231" s="752">
        <v>17</v>
      </c>
      <c r="B231" s="573">
        <v>100.89285714285714</v>
      </c>
      <c r="C231" s="475">
        <v>9.0651750594039751</v>
      </c>
      <c r="D231" s="741">
        <v>0.73433628318584065</v>
      </c>
      <c r="E231" s="491">
        <f t="shared" si="220"/>
        <v>0.45670736170254861</v>
      </c>
      <c r="F231" s="438">
        <f t="shared" si="133"/>
        <v>0</v>
      </c>
      <c r="G231" s="438"/>
      <c r="H231" s="475">
        <f t="shared" si="134"/>
        <v>5</v>
      </c>
      <c r="I231" s="473">
        <f t="shared" si="135"/>
        <v>21.55</v>
      </c>
      <c r="J231" s="473">
        <f t="shared" si="136"/>
        <v>21.55</v>
      </c>
      <c r="K231" s="491">
        <f t="shared" si="137"/>
        <v>0.65000000000000013</v>
      </c>
      <c r="L231" s="473">
        <f t="shared" si="193"/>
        <v>21.55</v>
      </c>
      <c r="M231" s="473">
        <f t="shared" si="138"/>
        <v>9.0651750594039751</v>
      </c>
      <c r="N231" s="473">
        <f t="shared" si="234"/>
        <v>44.720101340511079</v>
      </c>
      <c r="O231" s="473">
        <f t="shared" si="235"/>
        <v>44.720101340511079</v>
      </c>
      <c r="P231" s="734">
        <f t="shared" si="236"/>
        <v>0</v>
      </c>
      <c r="Q231" s="473">
        <f t="shared" si="211"/>
        <v>21.55</v>
      </c>
      <c r="R231" s="475">
        <f t="shared" si="212"/>
        <v>9.0651750594039751</v>
      </c>
      <c r="S231" s="473">
        <f t="shared" si="213"/>
        <v>44.720101340511079</v>
      </c>
      <c r="T231" s="473">
        <f t="shared" si="139"/>
        <v>21.55</v>
      </c>
      <c r="U231" s="473">
        <f t="shared" si="140"/>
        <v>21.55</v>
      </c>
      <c r="V231" s="491">
        <f t="shared" si="141"/>
        <v>0</v>
      </c>
      <c r="W231" s="475">
        <f t="shared" si="194"/>
        <v>21.55</v>
      </c>
      <c r="X231" s="475">
        <f t="shared" si="195"/>
        <v>9.0651750594039751</v>
      </c>
      <c r="Y231" s="735">
        <f t="shared" si="221"/>
        <v>44.720101340511079</v>
      </c>
      <c r="Z231" s="475">
        <f t="shared" si="196"/>
        <v>9</v>
      </c>
      <c r="AA231" s="475">
        <f>IF($F$36=$D$36,MIN(AbsFeuchte(Z231,100%,$N$19),R231),MIN(AbsFeuchte(Z231,100%,$N$19),X231))</f>
        <v>7.6169281356214986</v>
      </c>
      <c r="AB231" s="735">
        <f t="shared" si="222"/>
        <v>28.236014801061046</v>
      </c>
      <c r="AC231" s="475">
        <f t="shared" si="197"/>
        <v>9</v>
      </c>
      <c r="AD231" s="475">
        <v>0</v>
      </c>
      <c r="AE231" s="735">
        <f t="shared" si="223"/>
        <v>9.0540000000000003</v>
      </c>
      <c r="AF231" s="735">
        <f t="shared" si="198"/>
        <v>9</v>
      </c>
      <c r="AG231" s="735">
        <f t="shared" si="145"/>
        <v>8.6656493405298498</v>
      </c>
      <c r="AH231" s="475">
        <f t="shared" si="146"/>
        <v>21.55</v>
      </c>
      <c r="AI231" s="475">
        <f t="shared" si="199"/>
        <v>9.0651750594039768</v>
      </c>
      <c r="AJ231" s="735">
        <f t="shared" si="224"/>
        <v>44.720101340511079</v>
      </c>
      <c r="AK231" s="475">
        <f t="shared" si="148"/>
        <v>21.55</v>
      </c>
      <c r="AL231" s="475">
        <f t="shared" si="200"/>
        <v>9.117104231969881</v>
      </c>
      <c r="AM231" s="735">
        <f t="shared" si="225"/>
        <v>44.852088835625906</v>
      </c>
      <c r="AN231" s="475">
        <f t="shared" si="214"/>
        <v>22.000000000000007</v>
      </c>
      <c r="AO231" s="475">
        <f t="shared" si="150"/>
        <v>9.0651750594039751</v>
      </c>
      <c r="AP231" s="735">
        <f t="shared" si="201"/>
        <v>45.180388892035801</v>
      </c>
      <c r="AQ231" s="475" t="e">
        <f t="shared" ca="1" si="226"/>
        <v>#NAME?</v>
      </c>
      <c r="AR231" s="475">
        <f t="shared" si="202"/>
        <v>9.0651750594039768</v>
      </c>
      <c r="AS231" s="735" t="e">
        <f t="shared" ca="1" si="227"/>
        <v>#VALUE!</v>
      </c>
      <c r="AT231" s="475">
        <f t="shared" si="203"/>
        <v>22</v>
      </c>
      <c r="AU231" s="475">
        <f t="shared" si="153"/>
        <v>9.0651750594039751</v>
      </c>
      <c r="AV231" s="735">
        <f t="shared" si="228"/>
        <v>45.180388892035793</v>
      </c>
      <c r="AW231" s="529">
        <f t="shared" si="155"/>
        <v>1</v>
      </c>
      <c r="AX231" s="735">
        <f t="shared" si="204"/>
        <v>1</v>
      </c>
      <c r="AY231" s="735">
        <f t="shared" si="156"/>
        <v>0</v>
      </c>
      <c r="AZ231" s="735">
        <f t="shared" si="205"/>
        <v>1</v>
      </c>
      <c r="BA231" s="735">
        <f t="shared" si="206"/>
        <v>0</v>
      </c>
      <c r="BB231" s="735">
        <f>IF($F$36=$D$36,IF(AW231=1,Fall1Tzul(AX231,AY231,BJ231,Q231),0),IF(AW231=1,Fall1Tzul(AX231,AY231,BJ231,W231),0))</f>
        <v>22</v>
      </c>
      <c r="BC231" s="735">
        <f>IF($F$36=$D$36,IF(AW231=1,Fall1xzul(AX231,AY231,BL231,R231),0),IF(AW231=1,Fall1xzul(AX231,AY231,BL231,X231),0))</f>
        <v>9.0651750594039751</v>
      </c>
      <c r="BD231" s="735">
        <f>IF($F$36=$D$36,IF(AW231=2,Fall2Tzul(AX231, AZ231, BJ231,Q231, Z231),0),IF(AW231=2,Fall2Tzul(AX231, AZ231, BJ231,W231, Z231),0))</f>
        <v>0</v>
      </c>
      <c r="BE231" s="735">
        <f>IF($F$36=$D$36,IF(AW231=2,Fall2xzul(AX231,AZ231,BL231,R231,AA231),0),IF(AW231=2,Fall2xzul(AX231,AZ231,BL231,X231,AA231),0))</f>
        <v>0</v>
      </c>
      <c r="BF231" s="735">
        <f t="shared" si="157"/>
        <v>0</v>
      </c>
      <c r="BG231" s="735">
        <f t="shared" si="158"/>
        <v>0</v>
      </c>
      <c r="BH231" s="735">
        <f t="shared" si="159"/>
        <v>0</v>
      </c>
      <c r="BI231" s="735">
        <f t="shared" si="160"/>
        <v>0</v>
      </c>
      <c r="BJ231" s="473">
        <f t="shared" si="161"/>
        <v>22</v>
      </c>
      <c r="BK231" s="491">
        <f t="shared" si="229"/>
        <v>0.51548195737446645</v>
      </c>
      <c r="BL231" s="475">
        <f>AbsFeuchte(BJ231,BK231,$N$19)</f>
        <v>9.0651750594039768</v>
      </c>
      <c r="BM231" s="735">
        <f t="shared" si="230"/>
        <v>45.180388892035801</v>
      </c>
      <c r="BN231" s="473">
        <f t="shared" si="207"/>
        <v>22</v>
      </c>
      <c r="BO231" s="491">
        <f t="shared" si="231"/>
        <v>0.51548195737446645</v>
      </c>
      <c r="BP231" s="475">
        <f t="shared" si="208"/>
        <v>9.0651750594039751</v>
      </c>
      <c r="BQ231" s="735">
        <f t="shared" si="232"/>
        <v>45.180388892035793</v>
      </c>
      <c r="BR231" s="473">
        <f t="shared" si="166"/>
        <v>24</v>
      </c>
      <c r="BS231" s="491">
        <f t="shared" si="167"/>
        <v>0.45670736170254861</v>
      </c>
      <c r="BT231" s="475">
        <f>AbsFeuchte(BR231,BS231,$N$19)</f>
        <v>9.0651750594039751</v>
      </c>
      <c r="BU231" s="576">
        <f>IF($J$21=0,IF(E$13=$S$10,BR231+$N$18,BR231),IF(E$13=$S$10,BR231+$N$18+#REF!,BR231+$J$21))</f>
        <v>24</v>
      </c>
      <c r="BV231" s="491">
        <f t="shared" si="233"/>
        <v>0.45670736170254861</v>
      </c>
      <c r="BW231" s="726">
        <f t="shared" si="169"/>
        <v>9.0651750594039751</v>
      </c>
      <c r="BX231" s="475">
        <f t="shared" si="215"/>
        <v>0</v>
      </c>
      <c r="BY231" s="475">
        <f t="shared" si="216"/>
        <v>0.4602875515247149</v>
      </c>
      <c r="BZ231" s="475">
        <f t="shared" si="170"/>
        <v>0</v>
      </c>
      <c r="CA231" s="475">
        <f t="shared" si="171"/>
        <v>0</v>
      </c>
      <c r="CB231" s="475">
        <f t="shared" si="172"/>
        <v>0</v>
      </c>
      <c r="CC231" s="475">
        <f t="shared" si="173"/>
        <v>0.4602875515247149</v>
      </c>
      <c r="CD231" s="475">
        <f t="shared" si="174"/>
        <v>0</v>
      </c>
      <c r="CE231" s="621">
        <f t="shared" si="175"/>
        <v>0</v>
      </c>
      <c r="CF231" s="621">
        <f t="shared" si="176"/>
        <v>0</v>
      </c>
      <c r="CG231" s="621">
        <f t="shared" si="177"/>
        <v>0</v>
      </c>
      <c r="CH231" s="573">
        <f t="shared" si="178"/>
        <v>0</v>
      </c>
      <c r="CI231" s="621">
        <f t="shared" si="179"/>
        <v>0</v>
      </c>
      <c r="CJ231" s="621">
        <f t="shared" si="180"/>
        <v>0</v>
      </c>
      <c r="CK231" s="621">
        <f t="shared" si="181"/>
        <v>0</v>
      </c>
      <c r="CL231" s="737">
        <f t="shared" si="182"/>
        <v>0</v>
      </c>
      <c r="CM231" s="738">
        <f t="shared" si="183"/>
        <v>0</v>
      </c>
      <c r="CN231" s="475">
        <f t="shared" si="184"/>
        <v>0.51548195737446645</v>
      </c>
      <c r="CO231" s="475">
        <f t="shared" si="185"/>
        <v>0.51548195737446645</v>
      </c>
      <c r="CP231" s="475">
        <f t="shared" si="186"/>
        <v>21.55</v>
      </c>
      <c r="CQ231" s="475">
        <f t="shared" si="187"/>
        <v>21.55</v>
      </c>
      <c r="CR231" s="475">
        <f t="shared" si="188"/>
        <v>0.4602875515247149</v>
      </c>
      <c r="CS231" s="475">
        <f t="shared" si="189"/>
        <v>0</v>
      </c>
      <c r="CT231" s="475">
        <f t="shared" si="190"/>
        <v>0</v>
      </c>
      <c r="CU231" s="475">
        <f t="shared" si="191"/>
        <v>22</v>
      </c>
      <c r="CV231" s="475">
        <f t="shared" si="192"/>
        <v>22</v>
      </c>
      <c r="CW231" s="475">
        <f t="shared" si="209"/>
        <v>0</v>
      </c>
      <c r="CX231" s="573">
        <f t="shared" si="217"/>
        <v>0</v>
      </c>
      <c r="CY231" s="475">
        <f t="shared" si="219"/>
        <v>22</v>
      </c>
      <c r="CZ231" s="475">
        <f t="shared" si="218"/>
        <v>22</v>
      </c>
      <c r="DA231" s="475">
        <v>17</v>
      </c>
      <c r="DB231" s="475"/>
      <c r="DC231" s="410"/>
    </row>
    <row r="232" spans="1:107" s="619" customFormat="1" ht="12" hidden="1" customHeight="1" outlineLevel="1">
      <c r="A232" s="752">
        <v>18</v>
      </c>
      <c r="B232" s="573">
        <v>92.857142857142861</v>
      </c>
      <c r="C232" s="475">
        <v>9.2627726812677142</v>
      </c>
      <c r="D232" s="741">
        <v>0.70419871794871791</v>
      </c>
      <c r="E232" s="491">
        <f t="shared" si="220"/>
        <v>0.46651633915939816</v>
      </c>
      <c r="F232" s="438">
        <f t="shared" si="133"/>
        <v>0</v>
      </c>
      <c r="G232" s="438"/>
      <c r="H232" s="475">
        <f t="shared" si="134"/>
        <v>4</v>
      </c>
      <c r="I232" s="473">
        <f t="shared" si="135"/>
        <v>21.9</v>
      </c>
      <c r="J232" s="473">
        <f t="shared" si="136"/>
        <v>21.9</v>
      </c>
      <c r="K232" s="491">
        <f t="shared" si="137"/>
        <v>0.6499999999999998</v>
      </c>
      <c r="L232" s="473">
        <f t="shared" si="193"/>
        <v>21.9</v>
      </c>
      <c r="M232" s="473">
        <f t="shared" si="138"/>
        <v>9.2627726812677142</v>
      </c>
      <c r="N232" s="473">
        <f t="shared" si="234"/>
        <v>45.580461921858074</v>
      </c>
      <c r="O232" s="473">
        <f t="shared" si="235"/>
        <v>45.580461921858074</v>
      </c>
      <c r="P232" s="734">
        <f t="shared" si="236"/>
        <v>0</v>
      </c>
      <c r="Q232" s="473">
        <f t="shared" si="211"/>
        <v>21.9</v>
      </c>
      <c r="R232" s="475">
        <f t="shared" si="212"/>
        <v>9.2627726812677142</v>
      </c>
      <c r="S232" s="473">
        <f t="shared" si="213"/>
        <v>45.580461921858074</v>
      </c>
      <c r="T232" s="473">
        <f t="shared" si="139"/>
        <v>21.9</v>
      </c>
      <c r="U232" s="473">
        <f t="shared" si="140"/>
        <v>21.9</v>
      </c>
      <c r="V232" s="491">
        <f t="shared" si="141"/>
        <v>0</v>
      </c>
      <c r="W232" s="475">
        <f t="shared" si="194"/>
        <v>21.9</v>
      </c>
      <c r="X232" s="475">
        <f t="shared" si="195"/>
        <v>9.2627726812677142</v>
      </c>
      <c r="Y232" s="735">
        <f t="shared" si="221"/>
        <v>45.580461921858074</v>
      </c>
      <c r="Z232" s="475">
        <f t="shared" si="196"/>
        <v>9</v>
      </c>
      <c r="AA232" s="475">
        <f>IF($F$36=$D$36,MIN(AbsFeuchte(Z232,100%,$N$19),R232),MIN(AbsFeuchte(Z232,100%,$N$19),X232))</f>
        <v>7.6169281356214986</v>
      </c>
      <c r="AB232" s="735">
        <f t="shared" si="222"/>
        <v>28.236014801061046</v>
      </c>
      <c r="AC232" s="475">
        <f t="shared" si="197"/>
        <v>9</v>
      </c>
      <c r="AD232" s="475">
        <v>0</v>
      </c>
      <c r="AE232" s="735">
        <f t="shared" si="223"/>
        <v>9.0540000000000003</v>
      </c>
      <c r="AF232" s="735">
        <f t="shared" si="198"/>
        <v>9</v>
      </c>
      <c r="AG232" s="735">
        <f t="shared" si="145"/>
        <v>7.8379212873564628</v>
      </c>
      <c r="AH232" s="475">
        <f t="shared" si="146"/>
        <v>21.9</v>
      </c>
      <c r="AI232" s="475">
        <f t="shared" si="199"/>
        <v>9.2627726812677142</v>
      </c>
      <c r="AJ232" s="735">
        <f t="shared" si="224"/>
        <v>45.580461921858074</v>
      </c>
      <c r="AK232" s="475">
        <f t="shared" si="148"/>
        <v>21.9</v>
      </c>
      <c r="AL232" s="475">
        <f t="shared" si="200"/>
        <v>9.2755311661176858</v>
      </c>
      <c r="AM232" s="735">
        <f t="shared" si="225"/>
        <v>45.612898251680633</v>
      </c>
      <c r="AN232" s="475">
        <f t="shared" si="214"/>
        <v>22</v>
      </c>
      <c r="AO232" s="475">
        <f t="shared" si="150"/>
        <v>9.2627726812677142</v>
      </c>
      <c r="AP232" s="735">
        <f t="shared" si="201"/>
        <v>45.682784797576787</v>
      </c>
      <c r="AQ232" s="475" t="e">
        <f t="shared" ca="1" si="226"/>
        <v>#NAME?</v>
      </c>
      <c r="AR232" s="475">
        <f t="shared" si="202"/>
        <v>9.2627726812677142</v>
      </c>
      <c r="AS232" s="735" t="e">
        <f t="shared" ca="1" si="227"/>
        <v>#VALUE!</v>
      </c>
      <c r="AT232" s="475">
        <f t="shared" si="203"/>
        <v>22</v>
      </c>
      <c r="AU232" s="475">
        <f t="shared" si="153"/>
        <v>9.2627726812677142</v>
      </c>
      <c r="AV232" s="735">
        <f t="shared" si="228"/>
        <v>45.682784797576787</v>
      </c>
      <c r="AW232" s="529">
        <f t="shared" si="155"/>
        <v>1</v>
      </c>
      <c r="AX232" s="735">
        <f t="shared" si="204"/>
        <v>1</v>
      </c>
      <c r="AY232" s="735">
        <f t="shared" si="156"/>
        <v>0</v>
      </c>
      <c r="AZ232" s="735">
        <f t="shared" si="205"/>
        <v>1</v>
      </c>
      <c r="BA232" s="735">
        <f t="shared" si="206"/>
        <v>0</v>
      </c>
      <c r="BB232" s="735">
        <f>IF($F$36=$D$36,IF(AW232=1,Fall1Tzul(AX232,AY232,BJ232,Q232),0),IF(AW232=1,Fall1Tzul(AX232,AY232,BJ232,W232),0))</f>
        <v>22</v>
      </c>
      <c r="BC232" s="735">
        <f>IF($F$36=$D$36,IF(AW232=1,Fall1xzul(AX232,AY232,BL232,R232),0),IF(AW232=1,Fall1xzul(AX232,AY232,BL232,X232),0))</f>
        <v>9.2627726812677142</v>
      </c>
      <c r="BD232" s="735">
        <f>IF($F$36=$D$36,IF(AW232=2,Fall2Tzul(AX232, AZ232, BJ232,Q232, Z232),0),IF(AW232=2,Fall2Tzul(AX232, AZ232, BJ232,W232, Z232),0))</f>
        <v>0</v>
      </c>
      <c r="BE232" s="735">
        <f>IF($F$36=$D$36,IF(AW232=2,Fall2xzul(AX232,AZ232,BL232,R232,AA232),0),IF(AW232=2,Fall2xzul(AX232,AZ232,BL232,X232,AA232),0))</f>
        <v>0</v>
      </c>
      <c r="BF232" s="735">
        <f t="shared" si="157"/>
        <v>0</v>
      </c>
      <c r="BG232" s="735">
        <f t="shared" si="158"/>
        <v>0</v>
      </c>
      <c r="BH232" s="735">
        <f t="shared" si="159"/>
        <v>0</v>
      </c>
      <c r="BI232" s="735">
        <f t="shared" si="160"/>
        <v>0</v>
      </c>
      <c r="BJ232" s="473">
        <f t="shared" si="161"/>
        <v>22</v>
      </c>
      <c r="BK232" s="491">
        <f t="shared" si="229"/>
        <v>0.52655327201334023</v>
      </c>
      <c r="BL232" s="475">
        <f>AbsFeuchte(BJ232,BK232,$N$19)</f>
        <v>9.2627726812677142</v>
      </c>
      <c r="BM232" s="735">
        <f t="shared" si="230"/>
        <v>45.682784797576787</v>
      </c>
      <c r="BN232" s="473">
        <f t="shared" si="207"/>
        <v>22</v>
      </c>
      <c r="BO232" s="491">
        <f t="shared" si="231"/>
        <v>0.52655327201334023</v>
      </c>
      <c r="BP232" s="475">
        <f t="shared" si="208"/>
        <v>9.2627726812677142</v>
      </c>
      <c r="BQ232" s="735">
        <f t="shared" si="232"/>
        <v>45.682784797576787</v>
      </c>
      <c r="BR232" s="473">
        <f t="shared" si="166"/>
        <v>24</v>
      </c>
      <c r="BS232" s="491">
        <f t="shared" si="167"/>
        <v>0.46651633915939816</v>
      </c>
      <c r="BT232" s="475">
        <f>AbsFeuchte(BR232,BS232,$N$19)</f>
        <v>9.2627726812677142</v>
      </c>
      <c r="BU232" s="576">
        <f>IF($J$21=0,IF(E$13=$S$10,BR232+$N$18,BR232),IF(E$13=$S$10,BR232+$N$18+#REF!,BR232+$J$21))</f>
        <v>24</v>
      </c>
      <c r="BV232" s="491">
        <f t="shared" si="233"/>
        <v>0.46651633915939816</v>
      </c>
      <c r="BW232" s="726">
        <f t="shared" si="169"/>
        <v>9.2627726812677142</v>
      </c>
      <c r="BX232" s="475">
        <f t="shared" si="215"/>
        <v>0</v>
      </c>
      <c r="BY232" s="475">
        <f t="shared" si="216"/>
        <v>0.10232287571871268</v>
      </c>
      <c r="BZ232" s="475">
        <f t="shared" si="170"/>
        <v>0</v>
      </c>
      <c r="CA232" s="475">
        <f t="shared" si="171"/>
        <v>0</v>
      </c>
      <c r="CB232" s="475">
        <f t="shared" si="172"/>
        <v>0</v>
      </c>
      <c r="CC232" s="475">
        <f t="shared" si="173"/>
        <v>0.10232287571871268</v>
      </c>
      <c r="CD232" s="475">
        <f t="shared" si="174"/>
        <v>0</v>
      </c>
      <c r="CE232" s="621">
        <f t="shared" si="175"/>
        <v>0</v>
      </c>
      <c r="CF232" s="621">
        <f t="shared" si="176"/>
        <v>0</v>
      </c>
      <c r="CG232" s="621">
        <f t="shared" si="177"/>
        <v>0</v>
      </c>
      <c r="CH232" s="573">
        <f t="shared" si="178"/>
        <v>0</v>
      </c>
      <c r="CI232" s="621">
        <f t="shared" si="179"/>
        <v>0</v>
      </c>
      <c r="CJ232" s="621">
        <f t="shared" si="180"/>
        <v>0</v>
      </c>
      <c r="CK232" s="621">
        <f t="shared" si="181"/>
        <v>0</v>
      </c>
      <c r="CL232" s="737">
        <f t="shared" si="182"/>
        <v>0</v>
      </c>
      <c r="CM232" s="738">
        <f t="shared" si="183"/>
        <v>0</v>
      </c>
      <c r="CN232" s="475">
        <f t="shared" si="184"/>
        <v>0.52655327201334023</v>
      </c>
      <c r="CO232" s="475">
        <f t="shared" si="185"/>
        <v>0.52655327201334023</v>
      </c>
      <c r="CP232" s="475">
        <f t="shared" si="186"/>
        <v>21.9</v>
      </c>
      <c r="CQ232" s="475">
        <f t="shared" si="187"/>
        <v>21.9</v>
      </c>
      <c r="CR232" s="475">
        <f t="shared" si="188"/>
        <v>0.10232287571871268</v>
      </c>
      <c r="CS232" s="475">
        <f t="shared" si="189"/>
        <v>0</v>
      </c>
      <c r="CT232" s="475">
        <f t="shared" si="190"/>
        <v>0</v>
      </c>
      <c r="CU232" s="475">
        <f t="shared" si="191"/>
        <v>22</v>
      </c>
      <c r="CV232" s="475">
        <f t="shared" si="192"/>
        <v>22</v>
      </c>
      <c r="CW232" s="475">
        <f t="shared" si="209"/>
        <v>0</v>
      </c>
      <c r="CX232" s="573">
        <f t="shared" si="217"/>
        <v>0</v>
      </c>
      <c r="CY232" s="475">
        <f t="shared" si="219"/>
        <v>22</v>
      </c>
      <c r="CZ232" s="475">
        <f t="shared" si="218"/>
        <v>22</v>
      </c>
      <c r="DA232" s="475">
        <v>18</v>
      </c>
      <c r="DB232" s="475"/>
      <c r="DC232" s="410"/>
    </row>
    <row r="233" spans="1:107" s="619" customFormat="1" ht="12" hidden="1" customHeight="1" outlineLevel="1">
      <c r="A233" s="752">
        <v>19</v>
      </c>
      <c r="B233" s="573">
        <v>91.964285714285708</v>
      </c>
      <c r="C233" s="475">
        <v>9.7230915883470903</v>
      </c>
      <c r="D233" s="741">
        <v>0.6937864077669903</v>
      </c>
      <c r="E233" s="491">
        <f t="shared" si="220"/>
        <v>0.4893433107791953</v>
      </c>
      <c r="F233" s="438">
        <f t="shared" si="133"/>
        <v>0</v>
      </c>
      <c r="G233" s="438"/>
      <c r="H233" s="475">
        <f t="shared" si="134"/>
        <v>3</v>
      </c>
      <c r="I233" s="473">
        <f t="shared" si="135"/>
        <v>22.25</v>
      </c>
      <c r="J233" s="473">
        <f t="shared" si="136"/>
        <v>22</v>
      </c>
      <c r="K233" s="491">
        <f t="shared" si="137"/>
        <v>0.6</v>
      </c>
      <c r="L233" s="473">
        <f t="shared" si="193"/>
        <v>22</v>
      </c>
      <c r="M233" s="473">
        <f t="shared" si="138"/>
        <v>9.7230915883470903</v>
      </c>
      <c r="N233" s="473">
        <f t="shared" si="234"/>
        <v>46.853154825204243</v>
      </c>
      <c r="O233" s="473">
        <f t="shared" si="235"/>
        <v>46.853154825204243</v>
      </c>
      <c r="P233" s="734">
        <f t="shared" si="236"/>
        <v>0</v>
      </c>
      <c r="Q233" s="473">
        <f t="shared" si="211"/>
        <v>22</v>
      </c>
      <c r="R233" s="475">
        <f t="shared" si="212"/>
        <v>9.7230915883470903</v>
      </c>
      <c r="S233" s="473">
        <f t="shared" si="213"/>
        <v>46.853154825204243</v>
      </c>
      <c r="T233" s="473">
        <f t="shared" si="139"/>
        <v>22</v>
      </c>
      <c r="U233" s="473">
        <f t="shared" si="140"/>
        <v>22</v>
      </c>
      <c r="V233" s="491">
        <f t="shared" si="141"/>
        <v>0</v>
      </c>
      <c r="W233" s="475">
        <f t="shared" si="194"/>
        <v>22</v>
      </c>
      <c r="X233" s="475">
        <f t="shared" si="195"/>
        <v>9.7230915883470903</v>
      </c>
      <c r="Y233" s="735">
        <f t="shared" si="221"/>
        <v>46.853154825204243</v>
      </c>
      <c r="Z233" s="475">
        <f t="shared" si="196"/>
        <v>9</v>
      </c>
      <c r="AA233" s="475">
        <f>IF($F$36=$D$36,MIN(AbsFeuchte(Z233,100%,$N$19),R233),MIN(AbsFeuchte(Z233,100%,$N$19),X233))</f>
        <v>7.6169281356214986</v>
      </c>
      <c r="AB233" s="735">
        <f t="shared" si="222"/>
        <v>28.236014801061046</v>
      </c>
      <c r="AC233" s="475">
        <f t="shared" si="197"/>
        <v>9</v>
      </c>
      <c r="AD233" s="475">
        <v>0</v>
      </c>
      <c r="AE233" s="735">
        <f t="shared" si="223"/>
        <v>9.0540000000000003</v>
      </c>
      <c r="AF233" s="735">
        <f t="shared" si="198"/>
        <v>9</v>
      </c>
      <c r="AG233" s="735">
        <f t="shared" si="145"/>
        <v>6.1723604515008867</v>
      </c>
      <c r="AH233" s="475">
        <f t="shared" si="146"/>
        <v>22</v>
      </c>
      <c r="AI233" s="475">
        <f t="shared" si="199"/>
        <v>9.7230915883470885</v>
      </c>
      <c r="AJ233" s="735">
        <f t="shared" si="224"/>
        <v>46.853154825204243</v>
      </c>
      <c r="AK233" s="475">
        <f t="shared" si="148"/>
        <v>22</v>
      </c>
      <c r="AL233" s="475">
        <f t="shared" si="200"/>
        <v>9.7230915883470903</v>
      </c>
      <c r="AM233" s="735">
        <f t="shared" si="225"/>
        <v>46.853154825204243</v>
      </c>
      <c r="AN233" s="475">
        <f t="shared" si="214"/>
        <v>22</v>
      </c>
      <c r="AO233" s="475">
        <f t="shared" si="150"/>
        <v>9.7230915883470903</v>
      </c>
      <c r="AP233" s="735">
        <f t="shared" si="201"/>
        <v>46.853154825204243</v>
      </c>
      <c r="AQ233" s="475" t="e">
        <f t="shared" ca="1" si="226"/>
        <v>#NAME?</v>
      </c>
      <c r="AR233" s="475">
        <f t="shared" si="202"/>
        <v>9.7230915883470885</v>
      </c>
      <c r="AS233" s="735" t="e">
        <f t="shared" ca="1" si="227"/>
        <v>#VALUE!</v>
      </c>
      <c r="AT233" s="475">
        <f t="shared" si="203"/>
        <v>22</v>
      </c>
      <c r="AU233" s="475">
        <f t="shared" si="153"/>
        <v>9.7230915883470903</v>
      </c>
      <c r="AV233" s="735">
        <f t="shared" si="228"/>
        <v>46.853154825204243</v>
      </c>
      <c r="AW233" s="529">
        <f t="shared" si="155"/>
        <v>1</v>
      </c>
      <c r="AX233" s="735">
        <f t="shared" si="204"/>
        <v>1</v>
      </c>
      <c r="AY233" s="735">
        <f t="shared" si="156"/>
        <v>0</v>
      </c>
      <c r="AZ233" s="735">
        <f t="shared" si="205"/>
        <v>1</v>
      </c>
      <c r="BA233" s="735">
        <f t="shared" si="206"/>
        <v>0</v>
      </c>
      <c r="BB233" s="735">
        <f>IF($F$36=$D$36,IF(AW233=1,Fall1Tzul(AX233,AY233,BJ233,Q233),0),IF(AW233=1,Fall1Tzul(AX233,AY233,BJ233,W233),0))</f>
        <v>22</v>
      </c>
      <c r="BC233" s="735">
        <f>IF($F$36=$D$36,IF(AW233=1,Fall1xzul(AX233,AY233,BL233,R233),0),IF(AW233=1,Fall1xzul(AX233,AY233,BL233,X233),0))</f>
        <v>9.7230915883470903</v>
      </c>
      <c r="BD233" s="735">
        <f>IF($F$36=$D$36,IF(AW233=2,Fall2Tzul(AX233, AZ233, BJ233,Q233, Z233),0),IF(AW233=2,Fall2Tzul(AX233, AZ233, BJ233,W233, Z233),0))</f>
        <v>0</v>
      </c>
      <c r="BE233" s="735">
        <f>IF($F$36=$D$36,IF(AW233=2,Fall2xzul(AX233,AZ233,BL233,R233,AA233),0),IF(AW233=2,Fall2xzul(AX233,AZ233,BL233,X233,AA233),0))</f>
        <v>0</v>
      </c>
      <c r="BF233" s="735">
        <f t="shared" si="157"/>
        <v>0</v>
      </c>
      <c r="BG233" s="735">
        <f t="shared" si="158"/>
        <v>0</v>
      </c>
      <c r="BH233" s="735">
        <f t="shared" si="159"/>
        <v>0</v>
      </c>
      <c r="BI233" s="735">
        <f t="shared" si="160"/>
        <v>0</v>
      </c>
      <c r="BJ233" s="473">
        <f t="shared" si="161"/>
        <v>22</v>
      </c>
      <c r="BK233" s="491">
        <f t="shared" si="229"/>
        <v>0.55231789285859845</v>
      </c>
      <c r="BL233" s="475">
        <f>AbsFeuchte(BJ233,BK233,$N$19)</f>
        <v>9.7230915883470885</v>
      </c>
      <c r="BM233" s="735">
        <f t="shared" si="230"/>
        <v>46.853154825204243</v>
      </c>
      <c r="BN233" s="473">
        <f t="shared" si="207"/>
        <v>22</v>
      </c>
      <c r="BO233" s="491">
        <f t="shared" si="231"/>
        <v>0.55231789285859856</v>
      </c>
      <c r="BP233" s="475">
        <f t="shared" si="208"/>
        <v>9.7230915883470903</v>
      </c>
      <c r="BQ233" s="735">
        <f t="shared" si="232"/>
        <v>46.853154825204243</v>
      </c>
      <c r="BR233" s="473">
        <f t="shared" si="166"/>
        <v>24</v>
      </c>
      <c r="BS233" s="491">
        <f t="shared" si="167"/>
        <v>0.4893433107791953</v>
      </c>
      <c r="BT233" s="475">
        <f>AbsFeuchte(BR233,BS233,$N$19)</f>
        <v>9.7230915883470885</v>
      </c>
      <c r="BU233" s="576">
        <f>IF($J$21=0,IF(E$13=$S$10,BR233+$N$18,BR233),IF(E$13=$S$10,BR233+$N$18+#REF!,BR233+$J$21))</f>
        <v>24</v>
      </c>
      <c r="BV233" s="491">
        <f t="shared" si="233"/>
        <v>0.48934331077919524</v>
      </c>
      <c r="BW233" s="726">
        <f t="shared" si="169"/>
        <v>9.7230915883470885</v>
      </c>
      <c r="BX233" s="475">
        <f t="shared" si="215"/>
        <v>0</v>
      </c>
      <c r="BY233" s="475">
        <f t="shared" si="216"/>
        <v>0</v>
      </c>
      <c r="BZ233" s="475">
        <f t="shared" si="170"/>
        <v>0</v>
      </c>
      <c r="CA233" s="475">
        <f t="shared" si="171"/>
        <v>0</v>
      </c>
      <c r="CB233" s="475">
        <f t="shared" si="172"/>
        <v>0</v>
      </c>
      <c r="CC233" s="475">
        <f t="shared" si="173"/>
        <v>0</v>
      </c>
      <c r="CD233" s="475">
        <f t="shared" si="174"/>
        <v>0</v>
      </c>
      <c r="CE233" s="621">
        <f t="shared" si="175"/>
        <v>0</v>
      </c>
      <c r="CF233" s="621">
        <f t="shared" si="176"/>
        <v>0</v>
      </c>
      <c r="CG233" s="621">
        <f t="shared" si="177"/>
        <v>0</v>
      </c>
      <c r="CH233" s="573">
        <f t="shared" si="178"/>
        <v>0</v>
      </c>
      <c r="CI233" s="621">
        <f t="shared" si="179"/>
        <v>0</v>
      </c>
      <c r="CJ233" s="621">
        <f t="shared" si="180"/>
        <v>0</v>
      </c>
      <c r="CK233" s="621">
        <f t="shared" si="181"/>
        <v>0</v>
      </c>
      <c r="CL233" s="737">
        <f t="shared" si="182"/>
        <v>0</v>
      </c>
      <c r="CM233" s="738">
        <f t="shared" si="183"/>
        <v>0</v>
      </c>
      <c r="CN233" s="475">
        <f t="shared" si="184"/>
        <v>0.55231789285859845</v>
      </c>
      <c r="CO233" s="475">
        <f t="shared" si="185"/>
        <v>0.55231789285859856</v>
      </c>
      <c r="CP233" s="475">
        <f t="shared" si="186"/>
        <v>22</v>
      </c>
      <c r="CQ233" s="475">
        <f t="shared" si="187"/>
        <v>22</v>
      </c>
      <c r="CR233" s="475">
        <f t="shared" si="188"/>
        <v>0</v>
      </c>
      <c r="CS233" s="475">
        <f t="shared" si="189"/>
        <v>0</v>
      </c>
      <c r="CT233" s="475">
        <f t="shared" si="190"/>
        <v>0</v>
      </c>
      <c r="CU233" s="475">
        <f t="shared" si="191"/>
        <v>22</v>
      </c>
      <c r="CV233" s="475">
        <f t="shared" si="192"/>
        <v>22</v>
      </c>
      <c r="CW233" s="475">
        <f t="shared" si="209"/>
        <v>0</v>
      </c>
      <c r="CX233" s="573">
        <f t="shared" si="217"/>
        <v>0</v>
      </c>
      <c r="CY233" s="475">
        <f t="shared" si="219"/>
        <v>22</v>
      </c>
      <c r="CZ233" s="475">
        <f t="shared" si="218"/>
        <v>22</v>
      </c>
      <c r="DA233" s="475">
        <v>19</v>
      </c>
      <c r="DB233" s="475"/>
      <c r="DC233" s="410"/>
    </row>
    <row r="234" spans="1:107" s="619" customFormat="1" ht="12" hidden="1" customHeight="1" outlineLevel="1">
      <c r="A234" s="752">
        <v>20</v>
      </c>
      <c r="B234" s="573">
        <v>101.78571428571428</v>
      </c>
      <c r="C234" s="475">
        <v>10.414768851467915</v>
      </c>
      <c r="D234" s="741">
        <v>0.69757309941520462</v>
      </c>
      <c r="E234" s="491">
        <f t="shared" si="220"/>
        <v>0.52358074100779906</v>
      </c>
      <c r="F234" s="438">
        <f t="shared" si="133"/>
        <v>0</v>
      </c>
      <c r="G234" s="438"/>
      <c r="H234" s="475">
        <f t="shared" si="134"/>
        <v>2</v>
      </c>
      <c r="I234" s="473">
        <f t="shared" si="135"/>
        <v>22.6</v>
      </c>
      <c r="J234" s="473">
        <f t="shared" si="136"/>
        <v>22</v>
      </c>
      <c r="K234" s="491">
        <f t="shared" si="137"/>
        <v>0.5</v>
      </c>
      <c r="L234" s="473">
        <f t="shared" si="193"/>
        <v>22</v>
      </c>
      <c r="M234" s="473">
        <f t="shared" si="138"/>
        <v>10.414768851467915</v>
      </c>
      <c r="N234" s="473">
        <f t="shared" si="234"/>
        <v>48.611758100234205</v>
      </c>
      <c r="O234" s="473">
        <f t="shared" si="235"/>
        <v>48.611758100234205</v>
      </c>
      <c r="P234" s="734">
        <f t="shared" si="236"/>
        <v>0</v>
      </c>
      <c r="Q234" s="473">
        <f t="shared" si="211"/>
        <v>22</v>
      </c>
      <c r="R234" s="475">
        <f t="shared" si="212"/>
        <v>10.414768851467915</v>
      </c>
      <c r="S234" s="473">
        <f t="shared" si="213"/>
        <v>48.611758100234205</v>
      </c>
      <c r="T234" s="473">
        <f t="shared" si="139"/>
        <v>22</v>
      </c>
      <c r="U234" s="473">
        <f t="shared" si="140"/>
        <v>22</v>
      </c>
      <c r="V234" s="491">
        <f t="shared" si="141"/>
        <v>0</v>
      </c>
      <c r="W234" s="475">
        <f t="shared" si="194"/>
        <v>22</v>
      </c>
      <c r="X234" s="475">
        <f t="shared" si="195"/>
        <v>10.414768851467915</v>
      </c>
      <c r="Y234" s="735">
        <f t="shared" si="221"/>
        <v>48.611758100234205</v>
      </c>
      <c r="Z234" s="475">
        <f t="shared" si="196"/>
        <v>9</v>
      </c>
      <c r="AA234" s="475">
        <f>IF($F$36=$D$36,MIN(AbsFeuchte(Z234,100%,$N$19),R234),MIN(AbsFeuchte(Z234,100%,$N$19),X234))</f>
        <v>7.6169281356214986</v>
      </c>
      <c r="AB234" s="735">
        <f t="shared" si="222"/>
        <v>28.236014801061046</v>
      </c>
      <c r="AC234" s="475">
        <f t="shared" si="197"/>
        <v>9</v>
      </c>
      <c r="AD234" s="475">
        <v>0</v>
      </c>
      <c r="AE234" s="735">
        <f t="shared" si="223"/>
        <v>9.0540000000000003</v>
      </c>
      <c r="AF234" s="735">
        <f t="shared" si="198"/>
        <v>9</v>
      </c>
      <c r="AG234" s="735">
        <f t="shared" si="145"/>
        <v>4.6464403517936423</v>
      </c>
      <c r="AH234" s="475">
        <f t="shared" si="146"/>
        <v>22</v>
      </c>
      <c r="AI234" s="475">
        <f t="shared" si="199"/>
        <v>10.414768851467919</v>
      </c>
      <c r="AJ234" s="735">
        <f t="shared" si="224"/>
        <v>48.611758100234212</v>
      </c>
      <c r="AK234" s="475">
        <f t="shared" si="148"/>
        <v>22</v>
      </c>
      <c r="AL234" s="475">
        <f t="shared" si="200"/>
        <v>10.414768851467915</v>
      </c>
      <c r="AM234" s="735">
        <f t="shared" si="225"/>
        <v>48.611758100234205</v>
      </c>
      <c r="AN234" s="475">
        <f t="shared" si="214"/>
        <v>22.000000000000007</v>
      </c>
      <c r="AO234" s="475">
        <f t="shared" si="150"/>
        <v>10.414768851467915</v>
      </c>
      <c r="AP234" s="735">
        <f t="shared" si="201"/>
        <v>48.611758100234212</v>
      </c>
      <c r="AQ234" s="475" t="e">
        <f t="shared" ca="1" si="226"/>
        <v>#NAME?</v>
      </c>
      <c r="AR234" s="475">
        <f t="shared" si="202"/>
        <v>10.414768851467919</v>
      </c>
      <c r="AS234" s="735" t="e">
        <f t="shared" ca="1" si="227"/>
        <v>#VALUE!</v>
      </c>
      <c r="AT234" s="475">
        <f t="shared" si="203"/>
        <v>22</v>
      </c>
      <c r="AU234" s="475">
        <f t="shared" si="153"/>
        <v>10.414768851467915</v>
      </c>
      <c r="AV234" s="735">
        <f t="shared" si="228"/>
        <v>48.611758100234205</v>
      </c>
      <c r="AW234" s="529">
        <f t="shared" si="155"/>
        <v>1</v>
      </c>
      <c r="AX234" s="735">
        <f t="shared" si="204"/>
        <v>1</v>
      </c>
      <c r="AY234" s="735">
        <f t="shared" si="156"/>
        <v>0</v>
      </c>
      <c r="AZ234" s="735">
        <f t="shared" si="205"/>
        <v>1</v>
      </c>
      <c r="BA234" s="735">
        <f t="shared" si="206"/>
        <v>0</v>
      </c>
      <c r="BB234" s="735">
        <f>IF($F$36=$D$36,IF(AW234=1,Fall1Tzul(AX234,AY234,BJ234,Q234),0),IF(AW234=1,Fall1Tzul(AX234,AY234,BJ234,W234),0))</f>
        <v>22</v>
      </c>
      <c r="BC234" s="735">
        <f>IF($F$36=$D$36,IF(AW234=1,Fall1xzul(AX234,AY234,BL234,R234),0),IF(AW234=1,Fall1xzul(AX234,AY234,BL234,X234),0))</f>
        <v>10.414768851467915</v>
      </c>
      <c r="BD234" s="735">
        <f>IF($F$36=$D$36,IF(AW234=2,Fall2Tzul(AX234, AZ234, BJ234,Q234, Z234),0),IF(AW234=2,Fall2Tzul(AX234, AZ234, BJ234,W234, Z234),0))</f>
        <v>0</v>
      </c>
      <c r="BE234" s="735">
        <f>IF($F$36=$D$36,IF(AW234=2,Fall2xzul(AX234,AZ234,BL234,R234,AA234),0),IF(AW234=2,Fall2xzul(AX234,AZ234,BL234,X234,AA234),0))</f>
        <v>0</v>
      </c>
      <c r="BF234" s="735">
        <f t="shared" si="157"/>
        <v>0</v>
      </c>
      <c r="BG234" s="735">
        <f t="shared" si="158"/>
        <v>0</v>
      </c>
      <c r="BH234" s="735">
        <f t="shared" si="159"/>
        <v>0</v>
      </c>
      <c r="BI234" s="735">
        <f t="shared" si="160"/>
        <v>0</v>
      </c>
      <c r="BJ234" s="473">
        <f t="shared" si="161"/>
        <v>22</v>
      </c>
      <c r="BK234" s="491">
        <f t="shared" si="229"/>
        <v>0.59096140734875258</v>
      </c>
      <c r="BL234" s="475">
        <f>AbsFeuchte(BJ234,BK234,$N$19)</f>
        <v>10.414768851467919</v>
      </c>
      <c r="BM234" s="735">
        <f t="shared" si="230"/>
        <v>48.611758100234212</v>
      </c>
      <c r="BN234" s="473">
        <f t="shared" si="207"/>
        <v>22</v>
      </c>
      <c r="BO234" s="491">
        <f t="shared" si="231"/>
        <v>0.59096140734875247</v>
      </c>
      <c r="BP234" s="475">
        <f t="shared" si="208"/>
        <v>10.414768851467915</v>
      </c>
      <c r="BQ234" s="735">
        <f t="shared" si="232"/>
        <v>48.611758100234205</v>
      </c>
      <c r="BR234" s="473">
        <f t="shared" si="166"/>
        <v>24</v>
      </c>
      <c r="BS234" s="491">
        <f t="shared" si="167"/>
        <v>0.52358074100779906</v>
      </c>
      <c r="BT234" s="475">
        <f>AbsFeuchte(BR234,BS234,$N$19)</f>
        <v>10.414768851467917</v>
      </c>
      <c r="BU234" s="576">
        <f>IF($J$21=0,IF(E$13=$S$10,BR234+$N$18,BR234),IF(E$13=$S$10,BR234+$N$18+#REF!,BR234+$J$21))</f>
        <v>24</v>
      </c>
      <c r="BV234" s="491">
        <f t="shared" si="233"/>
        <v>0.52358074100779917</v>
      </c>
      <c r="BW234" s="726">
        <f t="shared" si="169"/>
        <v>10.414768851467917</v>
      </c>
      <c r="BX234" s="475">
        <f t="shared" si="215"/>
        <v>0</v>
      </c>
      <c r="BY234" s="475">
        <f t="shared" si="216"/>
        <v>0</v>
      </c>
      <c r="BZ234" s="475">
        <f t="shared" si="170"/>
        <v>0</v>
      </c>
      <c r="CA234" s="475">
        <f t="shared" si="171"/>
        <v>0</v>
      </c>
      <c r="CB234" s="475">
        <f t="shared" si="172"/>
        <v>0</v>
      </c>
      <c r="CC234" s="475">
        <f t="shared" si="173"/>
        <v>0</v>
      </c>
      <c r="CD234" s="475">
        <f t="shared" si="174"/>
        <v>0</v>
      </c>
      <c r="CE234" s="621">
        <f t="shared" si="175"/>
        <v>0</v>
      </c>
      <c r="CF234" s="621">
        <f t="shared" si="176"/>
        <v>0</v>
      </c>
      <c r="CG234" s="621">
        <f t="shared" si="177"/>
        <v>0</v>
      </c>
      <c r="CH234" s="573">
        <f t="shared" si="178"/>
        <v>0</v>
      </c>
      <c r="CI234" s="621">
        <f t="shared" si="179"/>
        <v>0</v>
      </c>
      <c r="CJ234" s="621">
        <f t="shared" si="180"/>
        <v>0</v>
      </c>
      <c r="CK234" s="621">
        <f t="shared" si="181"/>
        <v>0</v>
      </c>
      <c r="CL234" s="737">
        <f t="shared" si="182"/>
        <v>0</v>
      </c>
      <c r="CM234" s="738">
        <f t="shared" si="183"/>
        <v>0</v>
      </c>
      <c r="CN234" s="475">
        <f t="shared" si="184"/>
        <v>0.59096140734875258</v>
      </c>
      <c r="CO234" s="475">
        <f t="shared" si="185"/>
        <v>0.59096140734875247</v>
      </c>
      <c r="CP234" s="475">
        <f t="shared" si="186"/>
        <v>22</v>
      </c>
      <c r="CQ234" s="475">
        <f t="shared" si="187"/>
        <v>22</v>
      </c>
      <c r="CR234" s="475">
        <f t="shared" si="188"/>
        <v>0</v>
      </c>
      <c r="CS234" s="475">
        <f t="shared" si="189"/>
        <v>0</v>
      </c>
      <c r="CT234" s="475">
        <f t="shared" si="190"/>
        <v>0</v>
      </c>
      <c r="CU234" s="475">
        <f t="shared" si="191"/>
        <v>22</v>
      </c>
      <c r="CV234" s="475">
        <f t="shared" si="192"/>
        <v>22</v>
      </c>
      <c r="CW234" s="475">
        <f t="shared" si="209"/>
        <v>0</v>
      </c>
      <c r="CX234" s="573">
        <f t="shared" si="217"/>
        <v>0</v>
      </c>
      <c r="CY234" s="475">
        <f t="shared" si="219"/>
        <v>22</v>
      </c>
      <c r="CZ234" s="475">
        <f t="shared" si="218"/>
        <v>22</v>
      </c>
      <c r="DA234" s="475">
        <v>20</v>
      </c>
      <c r="DB234" s="475"/>
      <c r="DC234" s="410"/>
    </row>
    <row r="235" spans="1:107" s="619" customFormat="1" ht="12" hidden="1" customHeight="1" outlineLevel="1">
      <c r="A235" s="752">
        <v>21</v>
      </c>
      <c r="B235" s="573">
        <v>87.5</v>
      </c>
      <c r="C235" s="475">
        <v>10.5612065405469</v>
      </c>
      <c r="D235" s="741">
        <v>0.66489795918367345</v>
      </c>
      <c r="E235" s="491">
        <f t="shared" si="220"/>
        <v>0.53081967680955322</v>
      </c>
      <c r="F235" s="438">
        <f t="shared" si="133"/>
        <v>0</v>
      </c>
      <c r="G235" s="438"/>
      <c r="H235" s="475">
        <f t="shared" si="134"/>
        <v>1</v>
      </c>
      <c r="I235" s="473">
        <f t="shared" si="135"/>
        <v>22.95</v>
      </c>
      <c r="J235" s="473">
        <f t="shared" si="136"/>
        <v>22</v>
      </c>
      <c r="K235" s="491">
        <f t="shared" si="137"/>
        <v>0.33333333333333331</v>
      </c>
      <c r="L235" s="473">
        <f t="shared" si="193"/>
        <v>22</v>
      </c>
      <c r="M235" s="473">
        <f t="shared" si="138"/>
        <v>10.5612065405469</v>
      </c>
      <c r="N235" s="473">
        <f t="shared" si="234"/>
        <v>48.984078853471303</v>
      </c>
      <c r="O235" s="473">
        <f t="shared" si="235"/>
        <v>48.984078853471303</v>
      </c>
      <c r="P235" s="734">
        <f t="shared" si="236"/>
        <v>0</v>
      </c>
      <c r="Q235" s="473">
        <f t="shared" si="211"/>
        <v>22</v>
      </c>
      <c r="R235" s="475">
        <f t="shared" si="212"/>
        <v>10.5612065405469</v>
      </c>
      <c r="S235" s="473">
        <f t="shared" si="213"/>
        <v>48.984078853471303</v>
      </c>
      <c r="T235" s="473">
        <f t="shared" si="139"/>
        <v>22</v>
      </c>
      <c r="U235" s="473">
        <f t="shared" si="140"/>
        <v>22</v>
      </c>
      <c r="V235" s="491">
        <f t="shared" si="141"/>
        <v>0</v>
      </c>
      <c r="W235" s="475">
        <f t="shared" si="194"/>
        <v>22</v>
      </c>
      <c r="X235" s="475">
        <f t="shared" si="195"/>
        <v>10.5612065405469</v>
      </c>
      <c r="Y235" s="735">
        <f t="shared" si="221"/>
        <v>48.984078853471303</v>
      </c>
      <c r="Z235" s="475">
        <f t="shared" si="196"/>
        <v>9</v>
      </c>
      <c r="AA235" s="475">
        <f>IF($F$36=$D$36,MIN(AbsFeuchte(Z235,100%,$N$19),R235),MIN(AbsFeuchte(Z235,100%,$N$19),X235))</f>
        <v>7.6169281356214986</v>
      </c>
      <c r="AB235" s="735">
        <f t="shared" si="222"/>
        <v>28.236014801061046</v>
      </c>
      <c r="AC235" s="475">
        <f t="shared" si="197"/>
        <v>9</v>
      </c>
      <c r="AD235" s="475">
        <v>0</v>
      </c>
      <c r="AE235" s="735">
        <f t="shared" si="223"/>
        <v>9.0540000000000003</v>
      </c>
      <c r="AF235" s="735">
        <f t="shared" si="198"/>
        <v>9</v>
      </c>
      <c r="AG235" s="735">
        <f t="shared" si="145"/>
        <v>4.4153433242768969</v>
      </c>
      <c r="AH235" s="475">
        <f t="shared" si="146"/>
        <v>22</v>
      </c>
      <c r="AI235" s="475">
        <f t="shared" si="199"/>
        <v>10.5612065405469</v>
      </c>
      <c r="AJ235" s="735">
        <f t="shared" si="224"/>
        <v>48.984078853471303</v>
      </c>
      <c r="AK235" s="475">
        <f t="shared" si="148"/>
        <v>22</v>
      </c>
      <c r="AL235" s="475">
        <f t="shared" si="200"/>
        <v>10.5612065405469</v>
      </c>
      <c r="AM235" s="735">
        <f t="shared" si="225"/>
        <v>48.984078853471303</v>
      </c>
      <c r="AN235" s="475">
        <f t="shared" si="214"/>
        <v>22</v>
      </c>
      <c r="AO235" s="475">
        <f t="shared" si="150"/>
        <v>10.5612065405469</v>
      </c>
      <c r="AP235" s="735">
        <f t="shared" si="201"/>
        <v>48.984078853471303</v>
      </c>
      <c r="AQ235" s="475" t="e">
        <f t="shared" ca="1" si="226"/>
        <v>#NAME?</v>
      </c>
      <c r="AR235" s="475">
        <f t="shared" si="202"/>
        <v>10.5612065405469</v>
      </c>
      <c r="AS235" s="735" t="e">
        <f t="shared" ca="1" si="227"/>
        <v>#VALUE!</v>
      </c>
      <c r="AT235" s="475">
        <f t="shared" si="203"/>
        <v>22</v>
      </c>
      <c r="AU235" s="475">
        <f t="shared" si="153"/>
        <v>10.5612065405469</v>
      </c>
      <c r="AV235" s="735">
        <f t="shared" si="228"/>
        <v>48.984078853471303</v>
      </c>
      <c r="AW235" s="529">
        <f t="shared" si="155"/>
        <v>1</v>
      </c>
      <c r="AX235" s="735">
        <f t="shared" si="204"/>
        <v>1</v>
      </c>
      <c r="AY235" s="735">
        <f t="shared" si="156"/>
        <v>0</v>
      </c>
      <c r="AZ235" s="735">
        <f t="shared" si="205"/>
        <v>1</v>
      </c>
      <c r="BA235" s="735">
        <f t="shared" si="206"/>
        <v>0</v>
      </c>
      <c r="BB235" s="735">
        <f>IF($F$36=$D$36,IF(AW235=1,Fall1Tzul(AX235,AY235,BJ235,Q235),0),IF(AW235=1,Fall1Tzul(AX235,AY235,BJ235,W235),0))</f>
        <v>22</v>
      </c>
      <c r="BC235" s="735">
        <f>IF($F$36=$D$36,IF(AW235=1,Fall1xzul(AX235,AY235,BL235,R235),0),IF(AW235=1,Fall1xzul(AX235,AY235,BL235,X235),0))</f>
        <v>10.5612065405469</v>
      </c>
      <c r="BD235" s="735">
        <f>IF($F$36=$D$36,IF(AW235=2,Fall2Tzul(AX235, AZ235, BJ235,Q235, Z235),0),IF(AW235=2,Fall2Tzul(AX235, AZ235, BJ235,W235, Z235),0))</f>
        <v>0</v>
      </c>
      <c r="BE235" s="735">
        <f>IF($F$36=$D$36,IF(AW235=2,Fall2xzul(AX235,AZ235,BL235,R235,AA235),0),IF(AW235=2,Fall2xzul(AX235,AZ235,BL235,X235,AA235),0))</f>
        <v>0</v>
      </c>
      <c r="BF235" s="735">
        <f t="shared" si="157"/>
        <v>0</v>
      </c>
      <c r="BG235" s="735">
        <f t="shared" si="158"/>
        <v>0</v>
      </c>
      <c r="BH235" s="735">
        <f t="shared" si="159"/>
        <v>0</v>
      </c>
      <c r="BI235" s="735">
        <f t="shared" si="160"/>
        <v>0</v>
      </c>
      <c r="BJ235" s="473">
        <f t="shared" si="161"/>
        <v>22</v>
      </c>
      <c r="BK235" s="491">
        <f t="shared" si="229"/>
        <v>0.59913193646500229</v>
      </c>
      <c r="BL235" s="475">
        <f>AbsFeuchte(BJ235,BK235,$N$19)</f>
        <v>10.5612065405469</v>
      </c>
      <c r="BM235" s="735">
        <f t="shared" si="230"/>
        <v>48.984078853471303</v>
      </c>
      <c r="BN235" s="473">
        <f t="shared" si="207"/>
        <v>22</v>
      </c>
      <c r="BO235" s="491">
        <f t="shared" si="231"/>
        <v>0.59913193646500229</v>
      </c>
      <c r="BP235" s="475">
        <f t="shared" si="208"/>
        <v>10.5612065405469</v>
      </c>
      <c r="BQ235" s="735">
        <f t="shared" si="232"/>
        <v>48.984078853471303</v>
      </c>
      <c r="BR235" s="473">
        <f t="shared" si="166"/>
        <v>24</v>
      </c>
      <c r="BS235" s="491">
        <f t="shared" si="167"/>
        <v>0.53081967680955322</v>
      </c>
      <c r="BT235" s="475">
        <f>AbsFeuchte(BR235,BS235,$N$19)</f>
        <v>10.5612065405469</v>
      </c>
      <c r="BU235" s="576">
        <f>IF($J$21=0,IF(E$13=$S$10,BR235+$N$18,BR235),IF(E$13=$S$10,BR235+$N$18+#REF!,BR235+$J$21))</f>
        <v>24</v>
      </c>
      <c r="BV235" s="491">
        <f t="shared" si="233"/>
        <v>0.53081967680955322</v>
      </c>
      <c r="BW235" s="726">
        <f t="shared" si="169"/>
        <v>10.5612065405469</v>
      </c>
      <c r="BX235" s="475">
        <f t="shared" si="215"/>
        <v>0</v>
      </c>
      <c r="BY235" s="475">
        <f t="shared" si="216"/>
        <v>0</v>
      </c>
      <c r="BZ235" s="475">
        <f t="shared" si="170"/>
        <v>0</v>
      </c>
      <c r="CA235" s="475">
        <f t="shared" si="171"/>
        <v>0</v>
      </c>
      <c r="CB235" s="475">
        <f t="shared" si="172"/>
        <v>0</v>
      </c>
      <c r="CC235" s="475">
        <f t="shared" si="173"/>
        <v>0</v>
      </c>
      <c r="CD235" s="475">
        <f t="shared" si="174"/>
        <v>0</v>
      </c>
      <c r="CE235" s="621">
        <f t="shared" si="175"/>
        <v>0</v>
      </c>
      <c r="CF235" s="621">
        <f t="shared" si="176"/>
        <v>0</v>
      </c>
      <c r="CG235" s="621">
        <f t="shared" si="177"/>
        <v>0</v>
      </c>
      <c r="CH235" s="573">
        <f t="shared" si="178"/>
        <v>0</v>
      </c>
      <c r="CI235" s="621">
        <f t="shared" si="179"/>
        <v>0</v>
      </c>
      <c r="CJ235" s="621">
        <f t="shared" si="180"/>
        <v>0</v>
      </c>
      <c r="CK235" s="621">
        <f t="shared" si="181"/>
        <v>0</v>
      </c>
      <c r="CL235" s="737">
        <f t="shared" si="182"/>
        <v>0</v>
      </c>
      <c r="CM235" s="738">
        <f t="shared" si="183"/>
        <v>0</v>
      </c>
      <c r="CN235" s="475">
        <f t="shared" si="184"/>
        <v>0.59913193646500229</v>
      </c>
      <c r="CO235" s="475">
        <f t="shared" si="185"/>
        <v>0.59913193646500229</v>
      </c>
      <c r="CP235" s="475">
        <f t="shared" si="186"/>
        <v>22</v>
      </c>
      <c r="CQ235" s="475">
        <f t="shared" si="187"/>
        <v>22</v>
      </c>
      <c r="CR235" s="475">
        <f t="shared" si="188"/>
        <v>0</v>
      </c>
      <c r="CS235" s="475">
        <f t="shared" si="189"/>
        <v>0</v>
      </c>
      <c r="CT235" s="475">
        <f t="shared" si="190"/>
        <v>0</v>
      </c>
      <c r="CU235" s="475">
        <f t="shared" si="191"/>
        <v>22</v>
      </c>
      <c r="CV235" s="475">
        <f t="shared" si="192"/>
        <v>22</v>
      </c>
      <c r="CW235" s="475">
        <f t="shared" si="209"/>
        <v>0</v>
      </c>
      <c r="CX235" s="573">
        <f t="shared" si="217"/>
        <v>0</v>
      </c>
      <c r="CY235" s="475">
        <f t="shared" si="219"/>
        <v>22</v>
      </c>
      <c r="CZ235" s="475">
        <f t="shared" si="218"/>
        <v>22</v>
      </c>
      <c r="DA235" s="475">
        <v>21</v>
      </c>
      <c r="DB235" s="475"/>
      <c r="DC235" s="410"/>
    </row>
    <row r="236" spans="1:107" s="619" customFormat="1" ht="12" hidden="1" customHeight="1" outlineLevel="1">
      <c r="A236" s="752">
        <v>22</v>
      </c>
      <c r="B236" s="573">
        <v>72.916666666666657</v>
      </c>
      <c r="C236" s="475">
        <v>10.520922822366906</v>
      </c>
      <c r="D236" s="741">
        <v>0.62306122448979595</v>
      </c>
      <c r="E236" s="491">
        <f t="shared" si="220"/>
        <v>0.52882864354886816</v>
      </c>
      <c r="F236" s="438">
        <f t="shared" si="133"/>
        <v>0</v>
      </c>
      <c r="G236" s="438"/>
      <c r="H236" s="475">
        <f t="shared" si="134"/>
        <v>0</v>
      </c>
      <c r="I236" s="473">
        <f t="shared" si="135"/>
        <v>23.3</v>
      </c>
      <c r="J236" s="473">
        <f t="shared" si="136"/>
        <v>22</v>
      </c>
      <c r="K236" s="491">
        <f t="shared" si="137"/>
        <v>0</v>
      </c>
      <c r="L236" s="473">
        <f t="shared" si="193"/>
        <v>22</v>
      </c>
      <c r="M236" s="473">
        <f t="shared" si="138"/>
        <v>10.520922822366906</v>
      </c>
      <c r="N236" s="473">
        <f t="shared" si="234"/>
        <v>48.881656694324306</v>
      </c>
      <c r="O236" s="473">
        <f t="shared" si="235"/>
        <v>48.881656694324306</v>
      </c>
      <c r="P236" s="734">
        <f t="shared" si="236"/>
        <v>0</v>
      </c>
      <c r="Q236" s="473">
        <f t="shared" si="211"/>
        <v>22</v>
      </c>
      <c r="R236" s="475">
        <f t="shared" si="212"/>
        <v>10.520922822366906</v>
      </c>
      <c r="S236" s="473">
        <f t="shared" si="213"/>
        <v>48.881656694324306</v>
      </c>
      <c r="T236" s="473">
        <f t="shared" si="139"/>
        <v>22</v>
      </c>
      <c r="U236" s="473">
        <f t="shared" si="140"/>
        <v>22</v>
      </c>
      <c r="V236" s="491">
        <f t="shared" si="141"/>
        <v>0</v>
      </c>
      <c r="W236" s="475">
        <f t="shared" si="194"/>
        <v>22</v>
      </c>
      <c r="X236" s="475">
        <f t="shared" si="195"/>
        <v>10.520922822366906</v>
      </c>
      <c r="Y236" s="735">
        <f t="shared" si="221"/>
        <v>48.881656694324306</v>
      </c>
      <c r="Z236" s="475">
        <f t="shared" si="196"/>
        <v>9</v>
      </c>
      <c r="AA236" s="475">
        <f>IF($F$36=$D$36,MIN(AbsFeuchte(Z236,100%,$N$19),R236),MIN(AbsFeuchte(Z236,100%,$N$19),X236))</f>
        <v>7.6169281356214986</v>
      </c>
      <c r="AB236" s="735">
        <f t="shared" si="222"/>
        <v>28.236014801061046</v>
      </c>
      <c r="AC236" s="475">
        <f t="shared" si="197"/>
        <v>9</v>
      </c>
      <c r="AD236" s="475">
        <v>0</v>
      </c>
      <c r="AE236" s="735">
        <f t="shared" si="223"/>
        <v>9.0540000000000003</v>
      </c>
      <c r="AF236" s="735">
        <f t="shared" si="198"/>
        <v>9</v>
      </c>
      <c r="AG236" s="735">
        <f t="shared" si="145"/>
        <v>4.4765922125599635</v>
      </c>
      <c r="AH236" s="475">
        <f t="shared" si="146"/>
        <v>22</v>
      </c>
      <c r="AI236" s="475">
        <f t="shared" si="199"/>
        <v>10.520922822366909</v>
      </c>
      <c r="AJ236" s="735">
        <f t="shared" si="224"/>
        <v>48.88165669432432</v>
      </c>
      <c r="AK236" s="475">
        <f t="shared" si="148"/>
        <v>22</v>
      </c>
      <c r="AL236" s="475">
        <f t="shared" si="200"/>
        <v>10.520922822366906</v>
      </c>
      <c r="AM236" s="735">
        <f t="shared" si="225"/>
        <v>48.881656694324306</v>
      </c>
      <c r="AN236" s="475">
        <f t="shared" si="214"/>
        <v>22.000000000000018</v>
      </c>
      <c r="AO236" s="475">
        <f t="shared" si="150"/>
        <v>10.520922822366906</v>
      </c>
      <c r="AP236" s="735">
        <f t="shared" si="201"/>
        <v>48.88165669432432</v>
      </c>
      <c r="AQ236" s="475" t="e">
        <f t="shared" ca="1" si="226"/>
        <v>#NAME?</v>
      </c>
      <c r="AR236" s="475">
        <f t="shared" si="202"/>
        <v>10.520922822366909</v>
      </c>
      <c r="AS236" s="735" t="e">
        <f t="shared" ca="1" si="227"/>
        <v>#VALUE!</v>
      </c>
      <c r="AT236" s="475">
        <f t="shared" si="203"/>
        <v>22</v>
      </c>
      <c r="AU236" s="475">
        <f t="shared" si="153"/>
        <v>10.520922822366906</v>
      </c>
      <c r="AV236" s="735">
        <f t="shared" si="228"/>
        <v>48.881656694324306</v>
      </c>
      <c r="AW236" s="529">
        <f t="shared" si="155"/>
        <v>1</v>
      </c>
      <c r="AX236" s="735">
        <f t="shared" si="204"/>
        <v>1</v>
      </c>
      <c r="AY236" s="735">
        <f t="shared" si="156"/>
        <v>0</v>
      </c>
      <c r="AZ236" s="735">
        <f t="shared" si="205"/>
        <v>1</v>
      </c>
      <c r="BA236" s="735">
        <f t="shared" si="206"/>
        <v>0</v>
      </c>
      <c r="BB236" s="735">
        <f>IF($F$36=$D$36,IF(AW236=1,Fall1Tzul(AX236,AY236,BJ236,Q236),0),IF(AW236=1,Fall1Tzul(AX236,AY236,BJ236,W236),0))</f>
        <v>22</v>
      </c>
      <c r="BC236" s="735">
        <f>IF($F$36=$D$36,IF(AW236=1,Fall1xzul(AX236,AY236,BL236,R236),0),IF(AW236=1,Fall1xzul(AX236,AY236,BL236,X236),0))</f>
        <v>10.520922822366906</v>
      </c>
      <c r="BD236" s="735">
        <f>IF($F$36=$D$36,IF(AW236=2,Fall2Tzul(AX236, AZ236, BJ236,Q236, Z236),0),IF(AW236=2,Fall2Tzul(AX236, AZ236, BJ236,W236, Z236),0))</f>
        <v>0</v>
      </c>
      <c r="BE236" s="735">
        <f>IF($F$36=$D$36,IF(AW236=2,Fall2xzul(AX236,AZ236,BL236,R236,AA236),0),IF(AW236=2,Fall2xzul(AX236,AZ236,BL236,X236,AA236),0))</f>
        <v>0</v>
      </c>
      <c r="BF236" s="735">
        <f t="shared" si="157"/>
        <v>0</v>
      </c>
      <c r="BG236" s="735">
        <f t="shared" si="158"/>
        <v>0</v>
      </c>
      <c r="BH236" s="735">
        <f t="shared" si="159"/>
        <v>0</v>
      </c>
      <c r="BI236" s="735">
        <f t="shared" si="160"/>
        <v>0</v>
      </c>
      <c r="BJ236" s="473">
        <f t="shared" si="161"/>
        <v>22</v>
      </c>
      <c r="BK236" s="491">
        <f t="shared" si="229"/>
        <v>0.59688467310014326</v>
      </c>
      <c r="BL236" s="475">
        <f>AbsFeuchte(BJ236,BK236,$N$19)</f>
        <v>10.520922822366909</v>
      </c>
      <c r="BM236" s="735">
        <f t="shared" si="230"/>
        <v>48.88165669432432</v>
      </c>
      <c r="BN236" s="473">
        <f t="shared" si="207"/>
        <v>22</v>
      </c>
      <c r="BO236" s="491">
        <f t="shared" si="231"/>
        <v>0.59688467310014304</v>
      </c>
      <c r="BP236" s="475">
        <f t="shared" si="208"/>
        <v>10.520922822366906</v>
      </c>
      <c r="BQ236" s="735">
        <f t="shared" si="232"/>
        <v>48.881656694324306</v>
      </c>
      <c r="BR236" s="473">
        <f t="shared" si="166"/>
        <v>24</v>
      </c>
      <c r="BS236" s="491">
        <f t="shared" si="167"/>
        <v>0.52882864354886816</v>
      </c>
      <c r="BT236" s="475">
        <f>AbsFeuchte(BR236,BS236,$N$19)</f>
        <v>10.520922822366909</v>
      </c>
      <c r="BU236" s="576">
        <f>IF($J$21=0,IF(E$13=$S$10,BR236+$N$18,BR236),IF(E$13=$S$10,BR236+$N$18+#REF!,BR236+$J$21))</f>
        <v>24</v>
      </c>
      <c r="BV236" s="491">
        <f t="shared" si="233"/>
        <v>0.52882864354886827</v>
      </c>
      <c r="BW236" s="726">
        <f t="shared" si="169"/>
        <v>10.520922822366909</v>
      </c>
      <c r="BX236" s="475">
        <f t="shared" si="215"/>
        <v>0</v>
      </c>
      <c r="BY236" s="475">
        <f t="shared" si="216"/>
        <v>0</v>
      </c>
      <c r="BZ236" s="475">
        <f t="shared" si="170"/>
        <v>0</v>
      </c>
      <c r="CA236" s="475">
        <f t="shared" si="171"/>
        <v>0</v>
      </c>
      <c r="CB236" s="475">
        <f t="shared" si="172"/>
        <v>0</v>
      </c>
      <c r="CC236" s="475">
        <f t="shared" si="173"/>
        <v>0</v>
      </c>
      <c r="CD236" s="475">
        <f t="shared" si="174"/>
        <v>0</v>
      </c>
      <c r="CE236" s="621">
        <f t="shared" si="175"/>
        <v>0</v>
      </c>
      <c r="CF236" s="621">
        <f t="shared" si="176"/>
        <v>0</v>
      </c>
      <c r="CG236" s="621">
        <f t="shared" si="177"/>
        <v>0</v>
      </c>
      <c r="CH236" s="573">
        <f t="shared" si="178"/>
        <v>0</v>
      </c>
      <c r="CI236" s="621">
        <f t="shared" si="179"/>
        <v>0</v>
      </c>
      <c r="CJ236" s="621">
        <f t="shared" si="180"/>
        <v>0</v>
      </c>
      <c r="CK236" s="621">
        <f t="shared" si="181"/>
        <v>0</v>
      </c>
      <c r="CL236" s="737">
        <f t="shared" si="182"/>
        <v>0</v>
      </c>
      <c r="CM236" s="738">
        <f t="shared" si="183"/>
        <v>0</v>
      </c>
      <c r="CN236" s="475">
        <f t="shared" si="184"/>
        <v>0.59688467310014326</v>
      </c>
      <c r="CO236" s="475">
        <f t="shared" si="185"/>
        <v>0.59688467310014304</v>
      </c>
      <c r="CP236" s="475">
        <f t="shared" si="186"/>
        <v>22</v>
      </c>
      <c r="CQ236" s="475">
        <f t="shared" si="187"/>
        <v>22</v>
      </c>
      <c r="CR236" s="475">
        <f t="shared" si="188"/>
        <v>0</v>
      </c>
      <c r="CS236" s="475">
        <f t="shared" si="189"/>
        <v>0</v>
      </c>
      <c r="CT236" s="475">
        <f t="shared" si="190"/>
        <v>0</v>
      </c>
      <c r="CU236" s="475">
        <f t="shared" si="191"/>
        <v>22</v>
      </c>
      <c r="CV236" s="475">
        <f t="shared" si="192"/>
        <v>22</v>
      </c>
      <c r="CW236" s="475">
        <f t="shared" si="209"/>
        <v>0</v>
      </c>
      <c r="CX236" s="573">
        <f t="shared" si="217"/>
        <v>0</v>
      </c>
      <c r="CY236" s="475">
        <f t="shared" si="219"/>
        <v>22</v>
      </c>
      <c r="CZ236" s="475">
        <f t="shared" si="218"/>
        <v>22</v>
      </c>
      <c r="DA236" s="475">
        <v>22</v>
      </c>
      <c r="DB236" s="475"/>
      <c r="DC236" s="410"/>
    </row>
    <row r="237" spans="1:107" s="619" customFormat="1" ht="12" hidden="1" customHeight="1" outlineLevel="1">
      <c r="A237" s="752">
        <v>23</v>
      </c>
      <c r="B237" s="573">
        <v>59.226190476190474</v>
      </c>
      <c r="C237" s="475">
        <v>9.8614392701426077</v>
      </c>
      <c r="D237" s="741">
        <v>0.55015075376884426</v>
      </c>
      <c r="E237" s="491">
        <f t="shared" si="220"/>
        <v>0.46737669299389684</v>
      </c>
      <c r="F237" s="438">
        <f t="shared" si="133"/>
        <v>0</v>
      </c>
      <c r="G237" s="438"/>
      <c r="H237" s="475">
        <f t="shared" si="134"/>
        <v>-1</v>
      </c>
      <c r="I237" s="473">
        <f t="shared" si="135"/>
        <v>24.3</v>
      </c>
      <c r="J237" s="473">
        <f t="shared" si="136"/>
        <v>22</v>
      </c>
      <c r="K237" s="491">
        <f t="shared" si="137"/>
        <v>0</v>
      </c>
      <c r="L237" s="473">
        <f t="shared" si="193"/>
        <v>23</v>
      </c>
      <c r="M237" s="473">
        <f t="shared" si="138"/>
        <v>9.8614392701426077</v>
      </c>
      <c r="N237" s="473">
        <f t="shared" si="234"/>
        <v>48.229248850165447</v>
      </c>
      <c r="O237" s="473">
        <f t="shared" si="235"/>
        <v>48.229248850165447</v>
      </c>
      <c r="P237" s="734">
        <f t="shared" si="236"/>
        <v>0</v>
      </c>
      <c r="Q237" s="473">
        <f t="shared" si="211"/>
        <v>23</v>
      </c>
      <c r="R237" s="475">
        <f t="shared" si="212"/>
        <v>9.8614392701426077</v>
      </c>
      <c r="S237" s="473">
        <f t="shared" si="213"/>
        <v>48.229248850165447</v>
      </c>
      <c r="T237" s="473">
        <f t="shared" si="139"/>
        <v>23</v>
      </c>
      <c r="U237" s="473">
        <f t="shared" si="140"/>
        <v>23</v>
      </c>
      <c r="V237" s="491">
        <f t="shared" si="141"/>
        <v>0</v>
      </c>
      <c r="W237" s="475">
        <f t="shared" si="194"/>
        <v>23</v>
      </c>
      <c r="X237" s="475">
        <f t="shared" si="195"/>
        <v>9.8614392701426077</v>
      </c>
      <c r="Y237" s="735">
        <f t="shared" si="221"/>
        <v>48.229248850165447</v>
      </c>
      <c r="Z237" s="475">
        <f t="shared" si="196"/>
        <v>9</v>
      </c>
      <c r="AA237" s="475">
        <f>IF($F$36=$D$36,MIN(AbsFeuchte(Z237,100%,$N$19),R237),MIN(AbsFeuchte(Z237,100%,$N$19),X237))</f>
        <v>7.6169281356214986</v>
      </c>
      <c r="AB237" s="735">
        <f t="shared" si="222"/>
        <v>28.236014801061046</v>
      </c>
      <c r="AC237" s="475">
        <f t="shared" si="197"/>
        <v>9</v>
      </c>
      <c r="AD237" s="475">
        <v>0</v>
      </c>
      <c r="AE237" s="735">
        <f t="shared" si="223"/>
        <v>9.0540000000000003</v>
      </c>
      <c r="AF237" s="735">
        <f t="shared" si="198"/>
        <v>9</v>
      </c>
      <c r="AG237" s="735">
        <f t="shared" si="145"/>
        <v>6.2374384268702023</v>
      </c>
      <c r="AH237" s="475">
        <f t="shared" si="146"/>
        <v>23</v>
      </c>
      <c r="AI237" s="475">
        <f t="shared" si="199"/>
        <v>9.8614392701426077</v>
      </c>
      <c r="AJ237" s="735">
        <f t="shared" si="224"/>
        <v>48.229248850165447</v>
      </c>
      <c r="AK237" s="475">
        <f t="shared" si="148"/>
        <v>22</v>
      </c>
      <c r="AL237" s="475">
        <f t="shared" si="200"/>
        <v>9.7011170462482426</v>
      </c>
      <c r="AM237" s="735">
        <f t="shared" si="225"/>
        <v>46.797284112427079</v>
      </c>
      <c r="AN237" s="475">
        <f t="shared" si="214"/>
        <v>22</v>
      </c>
      <c r="AO237" s="475">
        <f t="shared" si="150"/>
        <v>9.8614392701426077</v>
      </c>
      <c r="AP237" s="735">
        <f t="shared" si="201"/>
        <v>47.204906573122983</v>
      </c>
      <c r="AQ237" s="475" t="e">
        <f t="shared" ca="1" si="226"/>
        <v>#NAME?</v>
      </c>
      <c r="AR237" s="475">
        <f t="shared" si="202"/>
        <v>9.8614392701426077</v>
      </c>
      <c r="AS237" s="735" t="e">
        <f t="shared" ca="1" si="227"/>
        <v>#VALUE!</v>
      </c>
      <c r="AT237" s="475">
        <f t="shared" si="203"/>
        <v>22</v>
      </c>
      <c r="AU237" s="475">
        <f t="shared" si="153"/>
        <v>9.8614392701426077</v>
      </c>
      <c r="AV237" s="735">
        <f t="shared" si="228"/>
        <v>47.204906573122983</v>
      </c>
      <c r="AW237" s="529">
        <f t="shared" si="155"/>
        <v>4</v>
      </c>
      <c r="AX237" s="735">
        <f t="shared" si="204"/>
        <v>1</v>
      </c>
      <c r="AY237" s="735">
        <f t="shared" si="156"/>
        <v>0</v>
      </c>
      <c r="AZ237" s="735">
        <f t="shared" si="205"/>
        <v>1</v>
      </c>
      <c r="BA237" s="735">
        <f t="shared" si="206"/>
        <v>0</v>
      </c>
      <c r="BB237" s="735">
        <f>IF($F$36=$D$36,IF(AW237=1,Fall1Tzul(AX237,AY237,BJ237,Q237),0),IF(AW237=1,Fall1Tzul(AX237,AY237,BJ237,W237),0))</f>
        <v>0</v>
      </c>
      <c r="BC237" s="735">
        <f>IF($F$36=$D$36,IF(AW237=1,Fall1xzul(AX237,AY237,BL237,R237),0),IF(AW237=1,Fall1xzul(AX237,AY237,BL237,X237),0))</f>
        <v>0</v>
      </c>
      <c r="BD237" s="735">
        <f>IF($F$36=$D$36,IF(AW237=2,Fall2Tzul(AX237, AZ237, BJ237,Q237, Z237),0),IF(AW237=2,Fall2Tzul(AX237, AZ237, BJ237,W237, Z237),0))</f>
        <v>0</v>
      </c>
      <c r="BE237" s="735">
        <f>IF($F$36=$D$36,IF(AW237=2,Fall2xzul(AX237,AZ237,BL237,R237,AA237),0),IF(AW237=2,Fall2xzul(AX237,AZ237,BL237,X237,AA237),0))</f>
        <v>0</v>
      </c>
      <c r="BF237" s="735">
        <f t="shared" si="157"/>
        <v>0</v>
      </c>
      <c r="BG237" s="735">
        <f t="shared" si="158"/>
        <v>0</v>
      </c>
      <c r="BH237" s="735">
        <f t="shared" si="159"/>
        <v>22</v>
      </c>
      <c r="BI237" s="735">
        <f t="shared" si="160"/>
        <v>9.7011170462482426</v>
      </c>
      <c r="BJ237" s="473">
        <f t="shared" si="161"/>
        <v>22</v>
      </c>
      <c r="BK237" s="491">
        <f t="shared" si="229"/>
        <v>0.56005404771934186</v>
      </c>
      <c r="BL237" s="475">
        <f>AbsFeuchte(BJ237,BK237,$N$19)</f>
        <v>9.8614392701426077</v>
      </c>
      <c r="BM237" s="735">
        <f t="shared" si="230"/>
        <v>47.204906573122983</v>
      </c>
      <c r="BN237" s="473">
        <f t="shared" si="207"/>
        <v>22</v>
      </c>
      <c r="BO237" s="491">
        <f t="shared" si="231"/>
        <v>0.55108880392030979</v>
      </c>
      <c r="BP237" s="475">
        <f t="shared" si="208"/>
        <v>9.7011170462482426</v>
      </c>
      <c r="BQ237" s="735">
        <f t="shared" si="232"/>
        <v>46.797284112427079</v>
      </c>
      <c r="BR237" s="473">
        <f t="shared" si="166"/>
        <v>25</v>
      </c>
      <c r="BS237" s="491">
        <f t="shared" si="167"/>
        <v>0.46737669299389684</v>
      </c>
      <c r="BT237" s="475">
        <f>AbsFeuchte(BR237,BS237,$N$19)</f>
        <v>9.8614392701426077</v>
      </c>
      <c r="BU237" s="576">
        <f>IF($J$21=0,IF(E$13=$S$10,BR237+$N$18,BR237),IF(E$13=$S$10,BR237+$N$18+#REF!,BR237+$J$21))</f>
        <v>25</v>
      </c>
      <c r="BV237" s="491">
        <f t="shared" si="233"/>
        <v>0.46737669299389684</v>
      </c>
      <c r="BW237" s="726">
        <f t="shared" si="169"/>
        <v>9.8614392701426077</v>
      </c>
      <c r="BX237" s="475">
        <f t="shared" si="215"/>
        <v>1.4319647377383689</v>
      </c>
      <c r="BY237" s="475">
        <f t="shared" si="216"/>
        <v>0</v>
      </c>
      <c r="BZ237" s="475">
        <f t="shared" si="170"/>
        <v>1.4319647377383689</v>
      </c>
      <c r="CA237" s="475">
        <f t="shared" si="171"/>
        <v>0</v>
      </c>
      <c r="CB237" s="475">
        <f t="shared" si="172"/>
        <v>0</v>
      </c>
      <c r="CC237" s="475">
        <f t="shared" si="173"/>
        <v>0</v>
      </c>
      <c r="CD237" s="475">
        <f t="shared" si="174"/>
        <v>0</v>
      </c>
      <c r="CE237" s="621">
        <f t="shared" si="175"/>
        <v>0</v>
      </c>
      <c r="CF237" s="621">
        <f t="shared" si="176"/>
        <v>0</v>
      </c>
      <c r="CG237" s="621">
        <f t="shared" si="177"/>
        <v>0</v>
      </c>
      <c r="CH237" s="573">
        <f t="shared" si="178"/>
        <v>0</v>
      </c>
      <c r="CI237" s="621">
        <f t="shared" si="179"/>
        <v>0</v>
      </c>
      <c r="CJ237" s="621">
        <f t="shared" si="180"/>
        <v>0</v>
      </c>
      <c r="CK237" s="621">
        <f t="shared" si="181"/>
        <v>0</v>
      </c>
      <c r="CL237" s="737">
        <f t="shared" si="182"/>
        <v>0</v>
      </c>
      <c r="CM237" s="738">
        <f t="shared" si="183"/>
        <v>0</v>
      </c>
      <c r="CN237" s="475">
        <f t="shared" si="184"/>
        <v>0.56005404771934186</v>
      </c>
      <c r="CO237" s="475">
        <f t="shared" si="185"/>
        <v>0.55108880392030979</v>
      </c>
      <c r="CP237" s="475">
        <f t="shared" si="186"/>
        <v>23</v>
      </c>
      <c r="CQ237" s="475">
        <f t="shared" si="187"/>
        <v>23</v>
      </c>
      <c r="CR237" s="475">
        <f t="shared" si="188"/>
        <v>0</v>
      </c>
      <c r="CS237" s="475">
        <f t="shared" si="189"/>
        <v>1.4319647377383689</v>
      </c>
      <c r="CT237" s="475">
        <f t="shared" si="190"/>
        <v>0</v>
      </c>
      <c r="CU237" s="475">
        <f t="shared" si="191"/>
        <v>22</v>
      </c>
      <c r="CV237" s="475">
        <f t="shared" si="192"/>
        <v>22</v>
      </c>
      <c r="CW237" s="475">
        <f t="shared" si="209"/>
        <v>0</v>
      </c>
      <c r="CX237" s="573">
        <f t="shared" si="217"/>
        <v>0</v>
      </c>
      <c r="CY237" s="475">
        <f t="shared" si="219"/>
        <v>22</v>
      </c>
      <c r="CZ237" s="475">
        <f t="shared" si="218"/>
        <v>22</v>
      </c>
      <c r="DA237" s="475">
        <v>23</v>
      </c>
      <c r="DB237" s="475"/>
      <c r="DC237" s="410"/>
    </row>
    <row r="238" spans="1:107" s="619" customFormat="1" ht="12" hidden="1" customHeight="1" outlineLevel="1">
      <c r="A238" s="752">
        <v>24</v>
      </c>
      <c r="B238" s="573">
        <v>50.595238095238095</v>
      </c>
      <c r="C238" s="475">
        <v>10.755466781354571</v>
      </c>
      <c r="D238" s="741">
        <v>0.5641176470588235</v>
      </c>
      <c r="E238" s="491">
        <f t="shared" si="220"/>
        <v>0.4796803738788023</v>
      </c>
      <c r="F238" s="438">
        <f t="shared" si="133"/>
        <v>0</v>
      </c>
      <c r="G238" s="438"/>
      <c r="H238" s="475">
        <f t="shared" si="134"/>
        <v>-2</v>
      </c>
      <c r="I238" s="473">
        <f t="shared" si="135"/>
        <v>25.3</v>
      </c>
      <c r="J238" s="473">
        <f t="shared" si="136"/>
        <v>22</v>
      </c>
      <c r="K238" s="491">
        <f t="shared" si="137"/>
        <v>0</v>
      </c>
      <c r="L238" s="473">
        <f t="shared" si="193"/>
        <v>24</v>
      </c>
      <c r="M238" s="473">
        <f t="shared" si="138"/>
        <v>10.755466781354571</v>
      </c>
      <c r="N238" s="473">
        <f t="shared" si="234"/>
        <v>51.529999737356263</v>
      </c>
      <c r="O238" s="473">
        <f t="shared" si="235"/>
        <v>51.529999737356263</v>
      </c>
      <c r="P238" s="734">
        <f t="shared" si="236"/>
        <v>0</v>
      </c>
      <c r="Q238" s="473">
        <f t="shared" si="211"/>
        <v>24</v>
      </c>
      <c r="R238" s="475">
        <f t="shared" si="212"/>
        <v>10.755466781354571</v>
      </c>
      <c r="S238" s="473">
        <f t="shared" si="213"/>
        <v>51.529999737356263</v>
      </c>
      <c r="T238" s="473">
        <f t="shared" si="139"/>
        <v>24</v>
      </c>
      <c r="U238" s="473">
        <f t="shared" si="140"/>
        <v>24</v>
      </c>
      <c r="V238" s="491">
        <f t="shared" si="141"/>
        <v>0</v>
      </c>
      <c r="W238" s="475">
        <f t="shared" si="194"/>
        <v>24</v>
      </c>
      <c r="X238" s="475">
        <f t="shared" si="195"/>
        <v>10.755466781354571</v>
      </c>
      <c r="Y238" s="735">
        <f t="shared" si="221"/>
        <v>51.529999737356263</v>
      </c>
      <c r="Z238" s="475">
        <f t="shared" si="196"/>
        <v>9</v>
      </c>
      <c r="AA238" s="475">
        <f>IF($F$36=$D$36,MIN(AbsFeuchte(Z238,100%,$N$19),R238),MIN(AbsFeuchte(Z238,100%,$N$19),X238))</f>
        <v>7.6169281356214986</v>
      </c>
      <c r="AB238" s="735">
        <f t="shared" si="222"/>
        <v>28.236014801061046</v>
      </c>
      <c r="AC238" s="475">
        <f t="shared" si="197"/>
        <v>9</v>
      </c>
      <c r="AD238" s="475">
        <v>0</v>
      </c>
      <c r="AE238" s="735">
        <f t="shared" si="223"/>
        <v>9.0540000000000003</v>
      </c>
      <c r="AF238" s="735">
        <f t="shared" si="198"/>
        <v>9</v>
      </c>
      <c r="AG238" s="735">
        <f t="shared" si="145"/>
        <v>4.7792943446444109</v>
      </c>
      <c r="AH238" s="475">
        <f t="shared" si="146"/>
        <v>24</v>
      </c>
      <c r="AI238" s="475">
        <f t="shared" si="199"/>
        <v>10.755466781354569</v>
      </c>
      <c r="AJ238" s="735">
        <f t="shared" si="224"/>
        <v>51.529999737356256</v>
      </c>
      <c r="AK238" s="475">
        <f t="shared" si="148"/>
        <v>22</v>
      </c>
      <c r="AL238" s="475">
        <f t="shared" si="200"/>
        <v>10.336994961923494</v>
      </c>
      <c r="AM238" s="735">
        <f t="shared" si="225"/>
        <v>48.414016430589726</v>
      </c>
      <c r="AN238" s="475">
        <f t="shared" si="214"/>
        <v>21.999999999999996</v>
      </c>
      <c r="AO238" s="475">
        <f t="shared" si="150"/>
        <v>10.755466781354571</v>
      </c>
      <c r="AP238" s="735">
        <f t="shared" si="201"/>
        <v>49.477989400929623</v>
      </c>
      <c r="AQ238" s="475" t="e">
        <f t="shared" ca="1" si="226"/>
        <v>#NAME?</v>
      </c>
      <c r="AR238" s="475">
        <f t="shared" si="202"/>
        <v>10.755466781354569</v>
      </c>
      <c r="AS238" s="735" t="e">
        <f t="shared" ca="1" si="227"/>
        <v>#VALUE!</v>
      </c>
      <c r="AT238" s="475">
        <f t="shared" si="203"/>
        <v>22</v>
      </c>
      <c r="AU238" s="475">
        <f t="shared" si="153"/>
        <v>10.755466781354571</v>
      </c>
      <c r="AV238" s="735">
        <f t="shared" si="228"/>
        <v>49.47798940092963</v>
      </c>
      <c r="AW238" s="529">
        <f t="shared" si="155"/>
        <v>4</v>
      </c>
      <c r="AX238" s="735">
        <f t="shared" si="204"/>
        <v>1</v>
      </c>
      <c r="AY238" s="735">
        <f t="shared" si="156"/>
        <v>0</v>
      </c>
      <c r="AZ238" s="735">
        <f t="shared" si="205"/>
        <v>1</v>
      </c>
      <c r="BA238" s="735">
        <f t="shared" si="206"/>
        <v>0</v>
      </c>
      <c r="BB238" s="735">
        <f>IF($F$36=$D$36,IF(AW238=1,Fall1Tzul(AX238,AY238,BJ238,Q238),0),IF(AW238=1,Fall1Tzul(AX238,AY238,BJ238,W238),0))</f>
        <v>0</v>
      </c>
      <c r="BC238" s="735">
        <f>IF($F$36=$D$36,IF(AW238=1,Fall1xzul(AX238,AY238,BL238,R238),0),IF(AW238=1,Fall1xzul(AX238,AY238,BL238,X238),0))</f>
        <v>0</v>
      </c>
      <c r="BD238" s="735">
        <f>IF($F$36=$D$36,IF(AW238=2,Fall2Tzul(AX238, AZ238, BJ238,Q238, Z238),0),IF(AW238=2,Fall2Tzul(AX238, AZ238, BJ238,W238, Z238),0))</f>
        <v>0</v>
      </c>
      <c r="BE238" s="735">
        <f>IF($F$36=$D$36,IF(AW238=2,Fall2xzul(AX238,AZ238,BL238,R238,AA238),0),IF(AW238=2,Fall2xzul(AX238,AZ238,BL238,X238,AA238),0))</f>
        <v>0</v>
      </c>
      <c r="BF238" s="735">
        <f t="shared" si="157"/>
        <v>0</v>
      </c>
      <c r="BG238" s="735">
        <f t="shared" si="158"/>
        <v>0</v>
      </c>
      <c r="BH238" s="735">
        <f t="shared" si="159"/>
        <v>22</v>
      </c>
      <c r="BI238" s="735">
        <f t="shared" si="160"/>
        <v>10.336994961923494</v>
      </c>
      <c r="BJ238" s="473">
        <f t="shared" si="161"/>
        <v>22</v>
      </c>
      <c r="BK238" s="491">
        <f t="shared" si="229"/>
        <v>0.60996490135382841</v>
      </c>
      <c r="BL238" s="475">
        <f>AbsFeuchte(BJ238,BK238,$N$19)</f>
        <v>10.755466781354569</v>
      </c>
      <c r="BM238" s="735">
        <f t="shared" si="230"/>
        <v>49.477989400929623</v>
      </c>
      <c r="BN238" s="473">
        <f t="shared" si="207"/>
        <v>22</v>
      </c>
      <c r="BO238" s="491">
        <f t="shared" si="231"/>
        <v>0.58662045421204145</v>
      </c>
      <c r="BP238" s="475">
        <f t="shared" si="208"/>
        <v>10.336994961923494</v>
      </c>
      <c r="BQ238" s="735">
        <f t="shared" si="232"/>
        <v>48.414016430589726</v>
      </c>
      <c r="BR238" s="473">
        <f t="shared" si="166"/>
        <v>26</v>
      </c>
      <c r="BS238" s="491">
        <f t="shared" si="167"/>
        <v>0.4796803738788023</v>
      </c>
      <c r="BT238" s="475">
        <f>AbsFeuchte(BR238,BS238,$N$19)</f>
        <v>10.755466781354569</v>
      </c>
      <c r="BU238" s="576">
        <f>IF($J$21=0,IF(E$13=$S$10,BR238+$N$18,BR238),IF(E$13=$S$10,BR238+$N$18+#REF!,BR238+$J$21))</f>
        <v>26</v>
      </c>
      <c r="BV238" s="491">
        <f t="shared" si="233"/>
        <v>0.4796803738788023</v>
      </c>
      <c r="BW238" s="726">
        <f t="shared" si="169"/>
        <v>10.755466781354569</v>
      </c>
      <c r="BX238" s="475">
        <f t="shared" si="215"/>
        <v>3.1159833067665375</v>
      </c>
      <c r="BY238" s="475">
        <f t="shared" si="216"/>
        <v>0</v>
      </c>
      <c r="BZ238" s="475">
        <f t="shared" si="170"/>
        <v>3.1159833067665375</v>
      </c>
      <c r="CA238" s="475">
        <f t="shared" si="171"/>
        <v>0</v>
      </c>
      <c r="CB238" s="475">
        <f t="shared" si="172"/>
        <v>0</v>
      </c>
      <c r="CC238" s="475">
        <f t="shared" si="173"/>
        <v>0</v>
      </c>
      <c r="CD238" s="475">
        <f t="shared" si="174"/>
        <v>0</v>
      </c>
      <c r="CE238" s="621">
        <f t="shared" si="175"/>
        <v>0</v>
      </c>
      <c r="CF238" s="621">
        <f t="shared" si="176"/>
        <v>0</v>
      </c>
      <c r="CG238" s="621">
        <f t="shared" si="177"/>
        <v>0</v>
      </c>
      <c r="CH238" s="573">
        <f t="shared" si="178"/>
        <v>0</v>
      </c>
      <c r="CI238" s="621">
        <f t="shared" si="179"/>
        <v>0</v>
      </c>
      <c r="CJ238" s="621">
        <f t="shared" si="180"/>
        <v>0</v>
      </c>
      <c r="CK238" s="621">
        <f t="shared" si="181"/>
        <v>0</v>
      </c>
      <c r="CL238" s="737">
        <f t="shared" si="182"/>
        <v>0</v>
      </c>
      <c r="CM238" s="738">
        <f t="shared" si="183"/>
        <v>0</v>
      </c>
      <c r="CN238" s="475">
        <f t="shared" si="184"/>
        <v>0.60996490135382841</v>
      </c>
      <c r="CO238" s="475">
        <f t="shared" si="185"/>
        <v>0.58662045421204145</v>
      </c>
      <c r="CP238" s="475">
        <f t="shared" si="186"/>
        <v>24</v>
      </c>
      <c r="CQ238" s="475">
        <f t="shared" si="187"/>
        <v>24</v>
      </c>
      <c r="CR238" s="475">
        <f t="shared" si="188"/>
        <v>0</v>
      </c>
      <c r="CS238" s="475">
        <f t="shared" si="189"/>
        <v>3.1159833067665375</v>
      </c>
      <c r="CT238" s="475">
        <f t="shared" si="190"/>
        <v>0</v>
      </c>
      <c r="CU238" s="475">
        <f t="shared" si="191"/>
        <v>22</v>
      </c>
      <c r="CV238" s="475">
        <f t="shared" si="192"/>
        <v>22</v>
      </c>
      <c r="CW238" s="475">
        <f t="shared" si="209"/>
        <v>0</v>
      </c>
      <c r="CX238" s="573">
        <f t="shared" si="217"/>
        <v>0</v>
      </c>
      <c r="CY238" s="475">
        <f t="shared" si="219"/>
        <v>22</v>
      </c>
      <c r="CZ238" s="475">
        <f t="shared" si="218"/>
        <v>22</v>
      </c>
      <c r="DA238" s="475">
        <v>24</v>
      </c>
      <c r="DB238" s="475"/>
      <c r="DC238" s="410"/>
    </row>
    <row r="239" spans="1:107" s="619" customFormat="1" ht="12" hidden="1" customHeight="1" outlineLevel="1">
      <c r="A239" s="752">
        <v>25</v>
      </c>
      <c r="B239" s="573">
        <v>45.238095238095241</v>
      </c>
      <c r="C239" s="475">
        <v>11.237369196501074</v>
      </c>
      <c r="D239" s="741">
        <v>0.55473684210526319</v>
      </c>
      <c r="E239" s="491">
        <f t="shared" si="220"/>
        <v>0.50079121989585929</v>
      </c>
      <c r="F239" s="438">
        <f t="shared" si="133"/>
        <v>0</v>
      </c>
      <c r="G239" s="438"/>
      <c r="H239" s="475">
        <f t="shared" si="134"/>
        <v>-3</v>
      </c>
      <c r="I239" s="473">
        <f t="shared" si="135"/>
        <v>25.65</v>
      </c>
      <c r="J239" s="473">
        <f t="shared" si="136"/>
        <v>22</v>
      </c>
      <c r="K239" s="491">
        <f t="shared" si="137"/>
        <v>0</v>
      </c>
      <c r="L239" s="473">
        <f t="shared" si="193"/>
        <v>25</v>
      </c>
      <c r="M239" s="473">
        <f t="shared" si="138"/>
        <v>11.237369196501074</v>
      </c>
      <c r="N239" s="473">
        <f t="shared" si="234"/>
        <v>53.783940449604387</v>
      </c>
      <c r="O239" s="473">
        <f t="shared" si="235"/>
        <v>53.783940449604387</v>
      </c>
      <c r="P239" s="734">
        <f t="shared" si="236"/>
        <v>0</v>
      </c>
      <c r="Q239" s="473">
        <f t="shared" si="211"/>
        <v>25</v>
      </c>
      <c r="R239" s="475">
        <f t="shared" si="212"/>
        <v>11.237369196501074</v>
      </c>
      <c r="S239" s="473">
        <f t="shared" si="213"/>
        <v>53.783940449604387</v>
      </c>
      <c r="T239" s="473">
        <f t="shared" si="139"/>
        <v>25</v>
      </c>
      <c r="U239" s="473">
        <f t="shared" si="140"/>
        <v>25</v>
      </c>
      <c r="V239" s="491">
        <f t="shared" si="141"/>
        <v>0</v>
      </c>
      <c r="W239" s="475">
        <f t="shared" si="194"/>
        <v>25</v>
      </c>
      <c r="X239" s="475">
        <f t="shared" si="195"/>
        <v>11.237369196501074</v>
      </c>
      <c r="Y239" s="735">
        <f t="shared" si="221"/>
        <v>53.783940449604387</v>
      </c>
      <c r="Z239" s="475">
        <f t="shared" si="196"/>
        <v>9</v>
      </c>
      <c r="AA239" s="475">
        <f>IF($F$36=$D$36,MIN(AbsFeuchte(Z239,100%,$N$19),R239),MIN(AbsFeuchte(Z239,100%,$N$19),X239))</f>
        <v>7.6169281356214986</v>
      </c>
      <c r="AB239" s="735">
        <f t="shared" si="222"/>
        <v>28.236014801061046</v>
      </c>
      <c r="AC239" s="475">
        <f t="shared" si="197"/>
        <v>9</v>
      </c>
      <c r="AD239" s="475">
        <v>0</v>
      </c>
      <c r="AE239" s="735">
        <f t="shared" si="223"/>
        <v>9.0540000000000003</v>
      </c>
      <c r="AF239" s="735">
        <f t="shared" si="198"/>
        <v>9</v>
      </c>
      <c r="AG239" s="735">
        <f t="shared" si="145"/>
        <v>4.419351048933482</v>
      </c>
      <c r="AH239" s="475">
        <f t="shared" si="146"/>
        <v>25</v>
      </c>
      <c r="AI239" s="475">
        <f t="shared" si="199"/>
        <v>11.237369196501071</v>
      </c>
      <c r="AJ239" s="735">
        <f t="shared" si="224"/>
        <v>53.783940449604373</v>
      </c>
      <c r="AK239" s="475">
        <f t="shared" si="148"/>
        <v>22</v>
      </c>
      <c r="AL239" s="475">
        <f t="shared" si="200"/>
        <v>10.558536497586154</v>
      </c>
      <c r="AM239" s="735">
        <f t="shared" si="225"/>
        <v>48.977290215842743</v>
      </c>
      <c r="AN239" s="475">
        <f t="shared" si="214"/>
        <v>21.999999999999989</v>
      </c>
      <c r="AO239" s="475">
        <f t="shared" si="150"/>
        <v>11.237369196501074</v>
      </c>
      <c r="AP239" s="735">
        <f t="shared" si="201"/>
        <v>50.703235929487903</v>
      </c>
      <c r="AQ239" s="475" t="e">
        <f t="shared" ca="1" si="226"/>
        <v>#NAME?</v>
      </c>
      <c r="AR239" s="475">
        <f t="shared" si="202"/>
        <v>11.237369196501071</v>
      </c>
      <c r="AS239" s="735" t="e">
        <f t="shared" ca="1" si="227"/>
        <v>#VALUE!</v>
      </c>
      <c r="AT239" s="475">
        <f t="shared" si="203"/>
        <v>22</v>
      </c>
      <c r="AU239" s="475">
        <f t="shared" si="153"/>
        <v>11.237369196501074</v>
      </c>
      <c r="AV239" s="735">
        <f t="shared" si="228"/>
        <v>50.703235929487917</v>
      </c>
      <c r="AW239" s="529">
        <f t="shared" si="155"/>
        <v>4</v>
      </c>
      <c r="AX239" s="735">
        <f t="shared" si="204"/>
        <v>1</v>
      </c>
      <c r="AY239" s="735">
        <f t="shared" si="156"/>
        <v>0</v>
      </c>
      <c r="AZ239" s="735">
        <f t="shared" si="205"/>
        <v>1</v>
      </c>
      <c r="BA239" s="735">
        <f t="shared" si="206"/>
        <v>0</v>
      </c>
      <c r="BB239" s="735">
        <f>IF($F$36=$D$36,IF(AW239=1,Fall1Tzul(AX239,AY239,BJ239,Q239),0),IF(AW239=1,Fall1Tzul(AX239,AY239,BJ239,W239),0))</f>
        <v>0</v>
      </c>
      <c r="BC239" s="735">
        <f>IF($F$36=$D$36,IF(AW239=1,Fall1xzul(AX239,AY239,BL239,R239),0),IF(AW239=1,Fall1xzul(AX239,AY239,BL239,X239),0))</f>
        <v>0</v>
      </c>
      <c r="BD239" s="735">
        <f>IF($F$36=$D$36,IF(AW239=2,Fall2Tzul(AX239, AZ239, BJ239,Q239, Z239),0),IF(AW239=2,Fall2Tzul(AX239, AZ239, BJ239,W239, Z239),0))</f>
        <v>0</v>
      </c>
      <c r="BE239" s="735">
        <f>IF($F$36=$D$36,IF(AW239=2,Fall2xzul(AX239,AZ239,BL239,R239,AA239),0),IF(AW239=2,Fall2xzul(AX239,AZ239,BL239,X239,AA239),0))</f>
        <v>0</v>
      </c>
      <c r="BF239" s="735">
        <f t="shared" si="157"/>
        <v>0</v>
      </c>
      <c r="BG239" s="735">
        <f t="shared" si="158"/>
        <v>0</v>
      </c>
      <c r="BH239" s="735">
        <f t="shared" si="159"/>
        <v>22</v>
      </c>
      <c r="BI239" s="735">
        <f t="shared" si="160"/>
        <v>10.558536497586154</v>
      </c>
      <c r="BJ239" s="473">
        <f t="shared" si="161"/>
        <v>22</v>
      </c>
      <c r="BK239" s="491">
        <f t="shared" si="229"/>
        <v>0.6368096000521819</v>
      </c>
      <c r="BL239" s="475">
        <f>AbsFeuchte(BJ239,BK239,$N$19)</f>
        <v>11.237369196501071</v>
      </c>
      <c r="BM239" s="735">
        <f t="shared" si="230"/>
        <v>50.703235929487903</v>
      </c>
      <c r="BN239" s="473">
        <f t="shared" si="207"/>
        <v>22</v>
      </c>
      <c r="BO239" s="491">
        <f t="shared" si="231"/>
        <v>0.59898299457965543</v>
      </c>
      <c r="BP239" s="475">
        <f t="shared" si="208"/>
        <v>10.558536497586154</v>
      </c>
      <c r="BQ239" s="735">
        <f t="shared" si="232"/>
        <v>48.977290215842743</v>
      </c>
      <c r="BR239" s="473">
        <f t="shared" si="166"/>
        <v>26</v>
      </c>
      <c r="BS239" s="491">
        <f t="shared" si="167"/>
        <v>0.50079121989585929</v>
      </c>
      <c r="BT239" s="475">
        <f>AbsFeuchte(BR239,BS239,$N$19)</f>
        <v>11.237369196501072</v>
      </c>
      <c r="BU239" s="576">
        <f>IF($J$21=0,IF(E$13=$S$10,BR239+$N$18,BR239),IF(E$13=$S$10,BR239+$N$18+#REF!,BR239+$J$21))</f>
        <v>26</v>
      </c>
      <c r="BV239" s="491">
        <f t="shared" si="233"/>
        <v>0.50079121989585929</v>
      </c>
      <c r="BW239" s="726">
        <f t="shared" si="169"/>
        <v>11.237369196501072</v>
      </c>
      <c r="BX239" s="475">
        <f t="shared" si="215"/>
        <v>4.8066502337616441</v>
      </c>
      <c r="BY239" s="475">
        <f t="shared" si="216"/>
        <v>0</v>
      </c>
      <c r="BZ239" s="475">
        <f t="shared" si="170"/>
        <v>4.8066502337616441</v>
      </c>
      <c r="CA239" s="475">
        <f t="shared" si="171"/>
        <v>0</v>
      </c>
      <c r="CB239" s="475">
        <f t="shared" si="172"/>
        <v>0</v>
      </c>
      <c r="CC239" s="475">
        <f t="shared" si="173"/>
        <v>0</v>
      </c>
      <c r="CD239" s="475">
        <f t="shared" si="174"/>
        <v>0</v>
      </c>
      <c r="CE239" s="621">
        <f t="shared" si="175"/>
        <v>0</v>
      </c>
      <c r="CF239" s="621">
        <f t="shared" si="176"/>
        <v>0</v>
      </c>
      <c r="CG239" s="621">
        <f t="shared" si="177"/>
        <v>0</v>
      </c>
      <c r="CH239" s="573">
        <f t="shared" si="178"/>
        <v>0</v>
      </c>
      <c r="CI239" s="621">
        <f t="shared" si="179"/>
        <v>0</v>
      </c>
      <c r="CJ239" s="621">
        <f t="shared" si="180"/>
        <v>0</v>
      </c>
      <c r="CK239" s="621">
        <f t="shared" si="181"/>
        <v>0</v>
      </c>
      <c r="CL239" s="737">
        <f t="shared" si="182"/>
        <v>0</v>
      </c>
      <c r="CM239" s="738">
        <f t="shared" si="183"/>
        <v>0</v>
      </c>
      <c r="CN239" s="475">
        <f t="shared" si="184"/>
        <v>0.6368096000521819</v>
      </c>
      <c r="CO239" s="475">
        <f t="shared" si="185"/>
        <v>0.59898299457965543</v>
      </c>
      <c r="CP239" s="475">
        <f t="shared" si="186"/>
        <v>25</v>
      </c>
      <c r="CQ239" s="475">
        <f t="shared" si="187"/>
        <v>25</v>
      </c>
      <c r="CR239" s="475">
        <f t="shared" si="188"/>
        <v>0</v>
      </c>
      <c r="CS239" s="475">
        <f t="shared" si="189"/>
        <v>4.8066502337616441</v>
      </c>
      <c r="CT239" s="475">
        <f t="shared" si="190"/>
        <v>0</v>
      </c>
      <c r="CU239" s="475">
        <f t="shared" si="191"/>
        <v>22</v>
      </c>
      <c r="CV239" s="475">
        <f t="shared" si="192"/>
        <v>22</v>
      </c>
      <c r="CW239" s="475">
        <f t="shared" si="209"/>
        <v>0</v>
      </c>
      <c r="CX239" s="573">
        <f t="shared" si="217"/>
        <v>0</v>
      </c>
      <c r="CY239" s="475">
        <f t="shared" si="219"/>
        <v>22</v>
      </c>
      <c r="CZ239" s="475">
        <f t="shared" si="218"/>
        <v>22</v>
      </c>
      <c r="DA239" s="475">
        <v>25</v>
      </c>
      <c r="DB239" s="475"/>
      <c r="DC239" s="410"/>
    </row>
    <row r="240" spans="1:107" s="619" customFormat="1" ht="12" hidden="1" customHeight="1" outlineLevel="1">
      <c r="A240" s="752">
        <v>26</v>
      </c>
      <c r="B240" s="573">
        <v>32.738095238095241</v>
      </c>
      <c r="C240" s="475">
        <v>11.441781643338331</v>
      </c>
      <c r="D240" s="741">
        <v>0.53209090909090906</v>
      </c>
      <c r="E240" s="491">
        <f t="shared" si="220"/>
        <v>0.50973627606557381</v>
      </c>
      <c r="F240" s="438">
        <f t="shared" si="133"/>
        <v>0</v>
      </c>
      <c r="G240" s="438"/>
      <c r="H240" s="475">
        <f t="shared" si="134"/>
        <v>-4</v>
      </c>
      <c r="I240" s="473">
        <f t="shared" si="135"/>
        <v>26</v>
      </c>
      <c r="J240" s="473">
        <f t="shared" si="136"/>
        <v>22</v>
      </c>
      <c r="K240" s="491">
        <f t="shared" si="137"/>
        <v>0</v>
      </c>
      <c r="L240" s="473">
        <f t="shared" si="193"/>
        <v>26</v>
      </c>
      <c r="M240" s="473">
        <f t="shared" si="138"/>
        <v>11.441781643338331</v>
      </c>
      <c r="N240" s="473">
        <f t="shared" si="234"/>
        <v>55.332085519247009</v>
      </c>
      <c r="O240" s="473">
        <f t="shared" si="235"/>
        <v>55.332085519247009</v>
      </c>
      <c r="P240" s="734">
        <f t="shared" si="236"/>
        <v>0</v>
      </c>
      <c r="Q240" s="473">
        <f t="shared" si="211"/>
        <v>26</v>
      </c>
      <c r="R240" s="475">
        <f t="shared" si="212"/>
        <v>11.441781643338331</v>
      </c>
      <c r="S240" s="473">
        <f t="shared" si="213"/>
        <v>55.332085519247009</v>
      </c>
      <c r="T240" s="473">
        <f t="shared" si="139"/>
        <v>26</v>
      </c>
      <c r="U240" s="473">
        <f t="shared" si="140"/>
        <v>26</v>
      </c>
      <c r="V240" s="491">
        <f t="shared" si="141"/>
        <v>0</v>
      </c>
      <c r="W240" s="475">
        <f t="shared" si="194"/>
        <v>26</v>
      </c>
      <c r="X240" s="475">
        <f t="shared" si="195"/>
        <v>11.441781643338331</v>
      </c>
      <c r="Y240" s="735">
        <f t="shared" si="221"/>
        <v>55.332085519247009</v>
      </c>
      <c r="Z240" s="475">
        <f t="shared" si="196"/>
        <v>9</v>
      </c>
      <c r="AA240" s="475">
        <f>IF($F$36=$D$36,MIN(AbsFeuchte(Z240,100%,$N$19),R240),MIN(AbsFeuchte(Z240,100%,$N$19),X240))</f>
        <v>7.6169281356214986</v>
      </c>
      <c r="AB240" s="735">
        <f t="shared" si="222"/>
        <v>28.236014801061046</v>
      </c>
      <c r="AC240" s="475">
        <f t="shared" si="197"/>
        <v>9</v>
      </c>
      <c r="AD240" s="475">
        <v>0</v>
      </c>
      <c r="AE240" s="735">
        <f t="shared" si="223"/>
        <v>9.0540000000000003</v>
      </c>
      <c r="AF240" s="735">
        <f t="shared" si="198"/>
        <v>9</v>
      </c>
      <c r="AG240" s="735">
        <f t="shared" si="145"/>
        <v>4.4446146671242843</v>
      </c>
      <c r="AH240" s="475">
        <f t="shared" si="146"/>
        <v>26</v>
      </c>
      <c r="AI240" s="475">
        <f t="shared" si="199"/>
        <v>11.441781643338334</v>
      </c>
      <c r="AJ240" s="735">
        <f t="shared" si="224"/>
        <v>55.332085519247016</v>
      </c>
      <c r="AK240" s="475">
        <f t="shared" si="148"/>
        <v>22</v>
      </c>
      <c r="AL240" s="475">
        <f t="shared" si="200"/>
        <v>10.54181611211084</v>
      </c>
      <c r="AM240" s="735">
        <f t="shared" si="225"/>
        <v>48.934778301364055</v>
      </c>
      <c r="AN240" s="475">
        <f t="shared" si="214"/>
        <v>22.000000000000007</v>
      </c>
      <c r="AO240" s="475">
        <f t="shared" si="150"/>
        <v>11.441781643338331</v>
      </c>
      <c r="AP240" s="735">
        <f t="shared" si="201"/>
        <v>51.222958663820577</v>
      </c>
      <c r="AQ240" s="475" t="e">
        <f t="shared" ca="1" si="226"/>
        <v>#NAME?</v>
      </c>
      <c r="AR240" s="475">
        <f t="shared" si="202"/>
        <v>11.441781643338334</v>
      </c>
      <c r="AS240" s="735" t="e">
        <f t="shared" ca="1" si="227"/>
        <v>#VALUE!</v>
      </c>
      <c r="AT240" s="475">
        <f t="shared" si="203"/>
        <v>22</v>
      </c>
      <c r="AU240" s="475">
        <f t="shared" si="153"/>
        <v>11.441781643338331</v>
      </c>
      <c r="AV240" s="735">
        <f t="shared" si="228"/>
        <v>51.222958663820577</v>
      </c>
      <c r="AW240" s="529">
        <f t="shared" si="155"/>
        <v>4</v>
      </c>
      <c r="AX240" s="735">
        <f t="shared" si="204"/>
        <v>1</v>
      </c>
      <c r="AY240" s="735">
        <f t="shared" si="156"/>
        <v>0</v>
      </c>
      <c r="AZ240" s="735">
        <f t="shared" si="205"/>
        <v>1</v>
      </c>
      <c r="BA240" s="735">
        <f t="shared" si="206"/>
        <v>0</v>
      </c>
      <c r="BB240" s="735">
        <f>IF($F$36=$D$36,IF(AW240=1,Fall1Tzul(AX240,AY240,BJ240,Q240),0),IF(AW240=1,Fall1Tzul(AX240,AY240,BJ240,W240),0))</f>
        <v>0</v>
      </c>
      <c r="BC240" s="735">
        <f>IF($F$36=$D$36,IF(AW240=1,Fall1xzul(AX240,AY240,BL240,R240),0),IF(AW240=1,Fall1xzul(AX240,AY240,BL240,X240),0))</f>
        <v>0</v>
      </c>
      <c r="BD240" s="735">
        <f>IF($F$36=$D$36,IF(AW240=2,Fall2Tzul(AX240, AZ240, BJ240,Q240, Z240),0),IF(AW240=2,Fall2Tzul(AX240, AZ240, BJ240,W240, Z240),0))</f>
        <v>0</v>
      </c>
      <c r="BE240" s="735">
        <f>IF($F$36=$D$36,IF(AW240=2,Fall2xzul(AX240,AZ240,BL240,R240,AA240),0),IF(AW240=2,Fall2xzul(AX240,AZ240,BL240,X240,AA240),0))</f>
        <v>0</v>
      </c>
      <c r="BF240" s="735">
        <f t="shared" si="157"/>
        <v>0</v>
      </c>
      <c r="BG240" s="735">
        <f t="shared" si="158"/>
        <v>0</v>
      </c>
      <c r="BH240" s="735">
        <f t="shared" si="159"/>
        <v>22</v>
      </c>
      <c r="BI240" s="735">
        <f t="shared" si="160"/>
        <v>10.54181611211084</v>
      </c>
      <c r="BJ240" s="473">
        <f t="shared" si="161"/>
        <v>22</v>
      </c>
      <c r="BK240" s="491">
        <f t="shared" si="229"/>
        <v>0.64818419572313812</v>
      </c>
      <c r="BL240" s="475">
        <f>AbsFeuchte(BJ240,BK240,$N$19)</f>
        <v>11.441781643338334</v>
      </c>
      <c r="BM240" s="735">
        <f t="shared" si="230"/>
        <v>51.222958663820577</v>
      </c>
      <c r="BN240" s="473">
        <f t="shared" si="207"/>
        <v>22</v>
      </c>
      <c r="BO240" s="491">
        <f t="shared" si="231"/>
        <v>0.59805025974555759</v>
      </c>
      <c r="BP240" s="475">
        <f t="shared" si="208"/>
        <v>10.54181611211084</v>
      </c>
      <c r="BQ240" s="735">
        <f t="shared" si="232"/>
        <v>48.934778301364055</v>
      </c>
      <c r="BR240" s="473">
        <f t="shared" si="166"/>
        <v>26</v>
      </c>
      <c r="BS240" s="491">
        <f t="shared" si="167"/>
        <v>0.50973627606557381</v>
      </c>
      <c r="BT240" s="475">
        <f>AbsFeuchte(BR240,BS240,$N$19)</f>
        <v>11.441781643338333</v>
      </c>
      <c r="BU240" s="576">
        <f>IF($J$21=0,IF(E$13=$S$10,BR240+$N$18,BR240),IF(E$13=$S$10,BR240+$N$18+#REF!,BR240+$J$21))</f>
        <v>26</v>
      </c>
      <c r="BV240" s="491">
        <f t="shared" si="233"/>
        <v>0.50973627606557392</v>
      </c>
      <c r="BW240" s="726">
        <f t="shared" si="169"/>
        <v>11.441781643338333</v>
      </c>
      <c r="BX240" s="475">
        <f t="shared" si="215"/>
        <v>6.397307217882954</v>
      </c>
      <c r="BY240" s="475">
        <f t="shared" si="216"/>
        <v>0</v>
      </c>
      <c r="BZ240" s="475">
        <f t="shared" si="170"/>
        <v>6.397307217882954</v>
      </c>
      <c r="CA240" s="475">
        <f t="shared" si="171"/>
        <v>0</v>
      </c>
      <c r="CB240" s="475">
        <f t="shared" si="172"/>
        <v>0</v>
      </c>
      <c r="CC240" s="475">
        <f t="shared" si="173"/>
        <v>0</v>
      </c>
      <c r="CD240" s="475">
        <f t="shared" si="174"/>
        <v>0</v>
      </c>
      <c r="CE240" s="621">
        <f t="shared" si="175"/>
        <v>0</v>
      </c>
      <c r="CF240" s="621">
        <f t="shared" si="176"/>
        <v>0</v>
      </c>
      <c r="CG240" s="621">
        <f t="shared" si="177"/>
        <v>0</v>
      </c>
      <c r="CH240" s="573">
        <f t="shared" si="178"/>
        <v>0</v>
      </c>
      <c r="CI240" s="621">
        <f t="shared" si="179"/>
        <v>0</v>
      </c>
      <c r="CJ240" s="621">
        <f t="shared" si="180"/>
        <v>0</v>
      </c>
      <c r="CK240" s="621">
        <f t="shared" si="181"/>
        <v>0</v>
      </c>
      <c r="CL240" s="737">
        <f t="shared" si="182"/>
        <v>0</v>
      </c>
      <c r="CM240" s="738">
        <f t="shared" si="183"/>
        <v>0</v>
      </c>
      <c r="CN240" s="475">
        <f t="shared" si="184"/>
        <v>0.64818419572313812</v>
      </c>
      <c r="CO240" s="475">
        <f t="shared" si="185"/>
        <v>0.59805025974555759</v>
      </c>
      <c r="CP240" s="475">
        <f t="shared" si="186"/>
        <v>26</v>
      </c>
      <c r="CQ240" s="475">
        <f t="shared" si="187"/>
        <v>26</v>
      </c>
      <c r="CR240" s="475">
        <f t="shared" si="188"/>
        <v>0</v>
      </c>
      <c r="CS240" s="475">
        <f t="shared" si="189"/>
        <v>6.397307217882954</v>
      </c>
      <c r="CT240" s="475">
        <f t="shared" si="190"/>
        <v>0</v>
      </c>
      <c r="CU240" s="475">
        <f t="shared" si="191"/>
        <v>22</v>
      </c>
      <c r="CV240" s="475">
        <f t="shared" si="192"/>
        <v>22</v>
      </c>
      <c r="CW240" s="475">
        <f t="shared" si="209"/>
        <v>0</v>
      </c>
      <c r="CX240" s="573">
        <f t="shared" si="217"/>
        <v>0</v>
      </c>
      <c r="CY240" s="475">
        <f t="shared" si="219"/>
        <v>22</v>
      </c>
      <c r="CZ240" s="475">
        <f t="shared" si="218"/>
        <v>22</v>
      </c>
      <c r="DA240" s="475">
        <v>26</v>
      </c>
      <c r="DB240" s="475"/>
      <c r="DC240" s="410"/>
    </row>
    <row r="241" spans="1:107" s="619" customFormat="1" ht="12" hidden="1" customHeight="1" outlineLevel="1">
      <c r="A241" s="752">
        <v>27</v>
      </c>
      <c r="B241" s="573">
        <v>36.011904761904759</v>
      </c>
      <c r="C241" s="475">
        <v>11.943545643795732</v>
      </c>
      <c r="D241" s="741">
        <v>0.52322314049586782</v>
      </c>
      <c r="E241" s="491">
        <f t="shared" si="220"/>
        <v>0.53166892998554982</v>
      </c>
      <c r="F241" s="438">
        <f t="shared" si="133"/>
        <v>1</v>
      </c>
      <c r="G241" s="438"/>
      <c r="H241" s="475">
        <f t="shared" si="134"/>
        <v>-5</v>
      </c>
      <c r="I241" s="473">
        <f t="shared" si="135"/>
        <v>26.35</v>
      </c>
      <c r="J241" s="473">
        <f t="shared" si="136"/>
        <v>26.35</v>
      </c>
      <c r="K241" s="491">
        <f t="shared" si="137"/>
        <v>0.64999999999999858</v>
      </c>
      <c r="L241" s="473">
        <f t="shared" si="193"/>
        <v>26.35</v>
      </c>
      <c r="M241" s="473">
        <f t="shared" si="138"/>
        <v>11.943545643795732</v>
      </c>
      <c r="N241" s="473">
        <f t="shared" si="234"/>
        <v>56.971438898067476</v>
      </c>
      <c r="O241" s="473">
        <f t="shared" si="235"/>
        <v>56.971438898067476</v>
      </c>
      <c r="P241" s="734">
        <f t="shared" si="236"/>
        <v>0</v>
      </c>
      <c r="Q241" s="473">
        <f t="shared" si="211"/>
        <v>26.35</v>
      </c>
      <c r="R241" s="475">
        <f t="shared" si="212"/>
        <v>11.943545643795732</v>
      </c>
      <c r="S241" s="473">
        <f t="shared" si="213"/>
        <v>56.971438898067476</v>
      </c>
      <c r="T241" s="473">
        <f t="shared" si="139"/>
        <v>26.35</v>
      </c>
      <c r="U241" s="473">
        <f t="shared" si="140"/>
        <v>26.35</v>
      </c>
      <c r="V241" s="491">
        <f t="shared" si="141"/>
        <v>0</v>
      </c>
      <c r="W241" s="475">
        <f t="shared" si="194"/>
        <v>26.35</v>
      </c>
      <c r="X241" s="475">
        <f t="shared" si="195"/>
        <v>11.943545643795732</v>
      </c>
      <c r="Y241" s="735">
        <f t="shared" si="221"/>
        <v>56.971438898067476</v>
      </c>
      <c r="Z241" s="475">
        <f t="shared" si="196"/>
        <v>9</v>
      </c>
      <c r="AA241" s="475">
        <f>IF($F$36=$D$36,MIN(AbsFeuchte(Z241,100%,$N$19),R241),MIN(AbsFeuchte(Z241,100%,$N$19),X241))</f>
        <v>7.6169281356214986</v>
      </c>
      <c r="AB241" s="735">
        <f t="shared" si="222"/>
        <v>28.236014801061046</v>
      </c>
      <c r="AC241" s="475">
        <f t="shared" si="197"/>
        <v>9</v>
      </c>
      <c r="AD241" s="475">
        <v>0</v>
      </c>
      <c r="AE241" s="735">
        <f t="shared" si="223"/>
        <v>9.0540000000000003</v>
      </c>
      <c r="AF241" s="735">
        <f t="shared" si="198"/>
        <v>9</v>
      </c>
      <c r="AG241" s="735">
        <f t="shared" si="145"/>
        <v>4.0100609696190679</v>
      </c>
      <c r="AH241" s="475">
        <f t="shared" si="146"/>
        <v>26.35</v>
      </c>
      <c r="AI241" s="475">
        <f t="shared" si="199"/>
        <v>11.94354564379573</v>
      </c>
      <c r="AJ241" s="735">
        <f t="shared" si="224"/>
        <v>56.971438898067476</v>
      </c>
      <c r="AK241" s="475">
        <f t="shared" si="148"/>
        <v>22</v>
      </c>
      <c r="AL241" s="475">
        <f t="shared" si="200"/>
        <v>10.858774107164152</v>
      </c>
      <c r="AM241" s="735">
        <f t="shared" si="225"/>
        <v>49.740650342947006</v>
      </c>
      <c r="AN241" s="475">
        <f t="shared" si="214"/>
        <v>22</v>
      </c>
      <c r="AO241" s="475">
        <f t="shared" si="150"/>
        <v>11.943545643795732</v>
      </c>
      <c r="AP241" s="735">
        <f t="shared" si="201"/>
        <v>52.498703670263524</v>
      </c>
      <c r="AQ241" s="475" t="e">
        <f t="shared" ca="1" si="226"/>
        <v>#NAME?</v>
      </c>
      <c r="AR241" s="475">
        <f t="shared" si="202"/>
        <v>11.94354564379573</v>
      </c>
      <c r="AS241" s="735" t="e">
        <f t="shared" ca="1" si="227"/>
        <v>#VALUE!</v>
      </c>
      <c r="AT241" s="475">
        <f t="shared" si="203"/>
        <v>22</v>
      </c>
      <c r="AU241" s="475">
        <f t="shared" si="153"/>
        <v>11.943545643795732</v>
      </c>
      <c r="AV241" s="735">
        <f t="shared" si="228"/>
        <v>52.498703670263524</v>
      </c>
      <c r="AW241" s="529">
        <f t="shared" si="155"/>
        <v>4</v>
      </c>
      <c r="AX241" s="735">
        <f t="shared" si="204"/>
        <v>1</v>
      </c>
      <c r="AY241" s="735">
        <f t="shared" si="156"/>
        <v>0</v>
      </c>
      <c r="AZ241" s="735">
        <f t="shared" si="205"/>
        <v>1</v>
      </c>
      <c r="BA241" s="735">
        <f t="shared" si="206"/>
        <v>0</v>
      </c>
      <c r="BB241" s="735">
        <f>IF($F$36=$D$36,IF(AW241=1,Fall1Tzul(AX241,AY241,BJ241,Q241),0),IF(AW241=1,Fall1Tzul(AX241,AY241,BJ241,W241),0))</f>
        <v>0</v>
      </c>
      <c r="BC241" s="735">
        <f>IF($F$36=$D$36,IF(AW241=1,Fall1xzul(AX241,AY241,BL241,R241),0),IF(AW241=1,Fall1xzul(AX241,AY241,BL241,X241),0))</f>
        <v>0</v>
      </c>
      <c r="BD241" s="735">
        <f>IF($F$36=$D$36,IF(AW241=2,Fall2Tzul(AX241, AZ241, BJ241,Q241, Z241),0),IF(AW241=2,Fall2Tzul(AX241, AZ241, BJ241,W241, Z241),0))</f>
        <v>0</v>
      </c>
      <c r="BE241" s="735">
        <f>IF($F$36=$D$36,IF(AW241=2,Fall2xzul(AX241,AZ241,BL241,R241,AA241),0),IF(AW241=2,Fall2xzul(AX241,AZ241,BL241,X241,AA241),0))</f>
        <v>0</v>
      </c>
      <c r="BF241" s="735">
        <f t="shared" si="157"/>
        <v>0</v>
      </c>
      <c r="BG241" s="735">
        <f t="shared" si="158"/>
        <v>0</v>
      </c>
      <c r="BH241" s="735">
        <f t="shared" si="159"/>
        <v>22</v>
      </c>
      <c r="BI241" s="735">
        <f t="shared" si="160"/>
        <v>10.858774107164152</v>
      </c>
      <c r="BJ241" s="473">
        <f t="shared" si="161"/>
        <v>22</v>
      </c>
      <c r="BK241" s="491">
        <f t="shared" si="229"/>
        <v>0.67607391106951975</v>
      </c>
      <c r="BL241" s="475">
        <f>AbsFeuchte(BJ241,BK241,$N$19)</f>
        <v>11.94354564379573</v>
      </c>
      <c r="BM241" s="735">
        <f t="shared" si="230"/>
        <v>52.498703670263524</v>
      </c>
      <c r="BN241" s="473">
        <f t="shared" si="207"/>
        <v>22</v>
      </c>
      <c r="BO241" s="491">
        <f t="shared" si="231"/>
        <v>0.61572314823362928</v>
      </c>
      <c r="BP241" s="475">
        <f t="shared" si="208"/>
        <v>10.858774107164152</v>
      </c>
      <c r="BQ241" s="735">
        <f t="shared" si="232"/>
        <v>49.740650342947006</v>
      </c>
      <c r="BR241" s="473">
        <f t="shared" si="166"/>
        <v>26</v>
      </c>
      <c r="BS241" s="491">
        <f t="shared" si="167"/>
        <v>0.53166892998554982</v>
      </c>
      <c r="BT241" s="475">
        <f>AbsFeuchte(BR241,BS241,$N$19)</f>
        <v>11.943545643795732</v>
      </c>
      <c r="BU241" s="576">
        <f>IF($J$21=0,IF(E$13=$S$10,BR241+$N$18,BR241),IF(E$13=$S$10,BR241+$N$18+#REF!,BR241+$J$21))</f>
        <v>26</v>
      </c>
      <c r="BV241" s="491">
        <f t="shared" si="233"/>
        <v>0.53166892998554982</v>
      </c>
      <c r="BW241" s="726">
        <f t="shared" si="169"/>
        <v>11.943545643795732</v>
      </c>
      <c r="BX241" s="475">
        <f t="shared" si="215"/>
        <v>7.2307885551204691</v>
      </c>
      <c r="BY241" s="475">
        <f t="shared" si="216"/>
        <v>0</v>
      </c>
      <c r="BZ241" s="475">
        <f t="shared" si="170"/>
        <v>7.2307885551204691</v>
      </c>
      <c r="CA241" s="475">
        <f t="shared" si="171"/>
        <v>0</v>
      </c>
      <c r="CB241" s="475">
        <f t="shared" si="172"/>
        <v>0</v>
      </c>
      <c r="CC241" s="475">
        <f t="shared" si="173"/>
        <v>0</v>
      </c>
      <c r="CD241" s="475">
        <f t="shared" si="174"/>
        <v>0</v>
      </c>
      <c r="CE241" s="621">
        <f t="shared" si="175"/>
        <v>0</v>
      </c>
      <c r="CF241" s="621">
        <f t="shared" si="176"/>
        <v>0</v>
      </c>
      <c r="CG241" s="621">
        <f t="shared" si="177"/>
        <v>0</v>
      </c>
      <c r="CH241" s="573">
        <f t="shared" si="178"/>
        <v>0</v>
      </c>
      <c r="CI241" s="621">
        <f t="shared" si="179"/>
        <v>0</v>
      </c>
      <c r="CJ241" s="621">
        <f t="shared" si="180"/>
        <v>0</v>
      </c>
      <c r="CK241" s="621">
        <f t="shared" si="181"/>
        <v>0</v>
      </c>
      <c r="CL241" s="737">
        <f t="shared" si="182"/>
        <v>0</v>
      </c>
      <c r="CM241" s="738">
        <f t="shared" si="183"/>
        <v>0</v>
      </c>
      <c r="CN241" s="475">
        <f t="shared" si="184"/>
        <v>0.67607391106951975</v>
      </c>
      <c r="CO241" s="475">
        <f t="shared" si="185"/>
        <v>0.61572314823362928</v>
      </c>
      <c r="CP241" s="475">
        <f t="shared" si="186"/>
        <v>26.35</v>
      </c>
      <c r="CQ241" s="475">
        <f t="shared" si="187"/>
        <v>26.35</v>
      </c>
      <c r="CR241" s="475">
        <f t="shared" si="188"/>
        <v>0</v>
      </c>
      <c r="CS241" s="475">
        <f t="shared" si="189"/>
        <v>7.2307885551204691</v>
      </c>
      <c r="CT241" s="475">
        <f t="shared" si="190"/>
        <v>0</v>
      </c>
      <c r="CU241" s="475">
        <f t="shared" si="191"/>
        <v>22</v>
      </c>
      <c r="CV241" s="475">
        <f t="shared" si="192"/>
        <v>22</v>
      </c>
      <c r="CW241" s="475">
        <f t="shared" si="209"/>
        <v>0</v>
      </c>
      <c r="CX241" s="573">
        <f t="shared" si="217"/>
        <v>0</v>
      </c>
      <c r="CY241" s="475">
        <f t="shared" si="219"/>
        <v>22</v>
      </c>
      <c r="CZ241" s="475">
        <f t="shared" si="218"/>
        <v>22</v>
      </c>
      <c r="DA241" s="475">
        <v>27</v>
      </c>
      <c r="DB241" s="475"/>
      <c r="DC241" s="410"/>
    </row>
    <row r="242" spans="1:107" s="619" customFormat="1" ht="12" hidden="1" customHeight="1" outlineLevel="1">
      <c r="A242" s="752">
        <v>28</v>
      </c>
      <c r="B242" s="573">
        <v>27.678571428571431</v>
      </c>
      <c r="C242" s="475">
        <v>12.403965971175108</v>
      </c>
      <c r="D242" s="741">
        <v>0.51215053763440865</v>
      </c>
      <c r="E242" s="491">
        <f t="shared" si="220"/>
        <v>0.55176388288400202</v>
      </c>
      <c r="F242" s="438">
        <f t="shared" si="133"/>
        <v>1</v>
      </c>
      <c r="G242" s="438"/>
      <c r="H242" s="475">
        <f t="shared" si="134"/>
        <v>-6</v>
      </c>
      <c r="I242" s="473">
        <f t="shared" si="135"/>
        <v>26.7</v>
      </c>
      <c r="J242" s="473">
        <f t="shared" si="136"/>
        <v>26.7</v>
      </c>
      <c r="K242" s="491">
        <f t="shared" si="137"/>
        <v>0.65000000000000036</v>
      </c>
      <c r="L242" s="473">
        <f t="shared" si="193"/>
        <v>26.7</v>
      </c>
      <c r="M242" s="473">
        <f t="shared" si="138"/>
        <v>12.403965971175108</v>
      </c>
      <c r="N242" s="473">
        <f t="shared" si="234"/>
        <v>58.505967031552146</v>
      </c>
      <c r="O242" s="473">
        <f t="shared" si="235"/>
        <v>58.505967031552146</v>
      </c>
      <c r="P242" s="734">
        <f t="shared" si="236"/>
        <v>0</v>
      </c>
      <c r="Q242" s="473">
        <f t="shared" si="211"/>
        <v>26.7</v>
      </c>
      <c r="R242" s="475">
        <f t="shared" si="212"/>
        <v>12.403965971175108</v>
      </c>
      <c r="S242" s="473">
        <f t="shared" si="213"/>
        <v>58.505967031552146</v>
      </c>
      <c r="T242" s="473">
        <f t="shared" si="139"/>
        <v>26.7</v>
      </c>
      <c r="U242" s="473">
        <f t="shared" si="140"/>
        <v>26.7</v>
      </c>
      <c r="V242" s="491">
        <f t="shared" si="141"/>
        <v>0</v>
      </c>
      <c r="W242" s="475">
        <f t="shared" si="194"/>
        <v>26.7</v>
      </c>
      <c r="X242" s="475">
        <f t="shared" si="195"/>
        <v>12.403965971175108</v>
      </c>
      <c r="Y242" s="735">
        <f t="shared" si="221"/>
        <v>58.505967031552146</v>
      </c>
      <c r="Z242" s="475">
        <f t="shared" si="196"/>
        <v>9</v>
      </c>
      <c r="AA242" s="475">
        <f>IF($F$36=$D$36,MIN(AbsFeuchte(Z242,100%,$N$19),R242),MIN(AbsFeuchte(Z242,100%,$N$19),X242))</f>
        <v>7.6169281356214986</v>
      </c>
      <c r="AB242" s="735">
        <f t="shared" si="222"/>
        <v>28.236014801061046</v>
      </c>
      <c r="AC242" s="475">
        <f t="shared" si="197"/>
        <v>9</v>
      </c>
      <c r="AD242" s="475">
        <v>0</v>
      </c>
      <c r="AE242" s="735">
        <f t="shared" si="223"/>
        <v>9.0540000000000003</v>
      </c>
      <c r="AF242" s="735">
        <f t="shared" si="198"/>
        <v>9</v>
      </c>
      <c r="AG242" s="735">
        <f t="shared" si="145"/>
        <v>3.6974848764597321</v>
      </c>
      <c r="AH242" s="475">
        <f t="shared" si="146"/>
        <v>26.7</v>
      </c>
      <c r="AI242" s="475">
        <f t="shared" si="199"/>
        <v>12.403965971175108</v>
      </c>
      <c r="AJ242" s="735">
        <f t="shared" si="224"/>
        <v>58.505967031552146</v>
      </c>
      <c r="AK242" s="475">
        <f t="shared" si="148"/>
        <v>22</v>
      </c>
      <c r="AL242" s="475">
        <f t="shared" si="200"/>
        <v>11.132831630660872</v>
      </c>
      <c r="AM242" s="735">
        <f t="shared" si="225"/>
        <v>50.437447077587876</v>
      </c>
      <c r="AN242" s="475">
        <f t="shared" si="214"/>
        <v>22</v>
      </c>
      <c r="AO242" s="475">
        <f t="shared" si="150"/>
        <v>12.403965971175108</v>
      </c>
      <c r="AP242" s="735">
        <f t="shared" si="201"/>
        <v>53.669331561032138</v>
      </c>
      <c r="AQ242" s="475" t="e">
        <f t="shared" ca="1" si="226"/>
        <v>#NAME?</v>
      </c>
      <c r="AR242" s="475">
        <f t="shared" si="202"/>
        <v>12.403965971175108</v>
      </c>
      <c r="AS242" s="735" t="e">
        <f t="shared" ca="1" si="227"/>
        <v>#VALUE!</v>
      </c>
      <c r="AT242" s="475">
        <f t="shared" si="203"/>
        <v>22</v>
      </c>
      <c r="AU242" s="475">
        <f t="shared" si="153"/>
        <v>12.403965971175108</v>
      </c>
      <c r="AV242" s="735">
        <f t="shared" si="228"/>
        <v>53.669331561032138</v>
      </c>
      <c r="AW242" s="529">
        <f t="shared" si="155"/>
        <v>4</v>
      </c>
      <c r="AX242" s="735">
        <f t="shared" si="204"/>
        <v>1</v>
      </c>
      <c r="AY242" s="735">
        <f t="shared" si="156"/>
        <v>0</v>
      </c>
      <c r="AZ242" s="735">
        <f t="shared" si="205"/>
        <v>1</v>
      </c>
      <c r="BA242" s="735">
        <f t="shared" si="206"/>
        <v>0</v>
      </c>
      <c r="BB242" s="735">
        <f>IF($F$36=$D$36,IF(AW242=1,Fall1Tzul(AX242,AY242,BJ242,Q242),0),IF(AW242=1,Fall1Tzul(AX242,AY242,BJ242,W242),0))</f>
        <v>0</v>
      </c>
      <c r="BC242" s="735">
        <f>IF($F$36=$D$36,IF(AW242=1,Fall1xzul(AX242,AY242,BL242,R242),0),IF(AW242=1,Fall1xzul(AX242,AY242,BL242,X242),0))</f>
        <v>0</v>
      </c>
      <c r="BD242" s="735">
        <f>IF($F$36=$D$36,IF(AW242=2,Fall2Tzul(AX242, AZ242, BJ242,Q242, Z242),0),IF(AW242=2,Fall2Tzul(AX242, AZ242, BJ242,W242, Z242),0))</f>
        <v>0</v>
      </c>
      <c r="BE242" s="735">
        <f>IF($F$36=$D$36,IF(AW242=2,Fall2xzul(AX242,AZ242,BL242,R242,AA242),0),IF(AW242=2,Fall2xzul(AX242,AZ242,BL242,X242,AA242),0))</f>
        <v>0</v>
      </c>
      <c r="BF242" s="735">
        <f t="shared" si="157"/>
        <v>0</v>
      </c>
      <c r="BG242" s="735">
        <f t="shared" si="158"/>
        <v>0</v>
      </c>
      <c r="BH242" s="735">
        <f t="shared" si="159"/>
        <v>22</v>
      </c>
      <c r="BI242" s="735">
        <f t="shared" si="160"/>
        <v>11.132831630660872</v>
      </c>
      <c r="BJ242" s="473">
        <f t="shared" si="161"/>
        <v>22</v>
      </c>
      <c r="BK242" s="491">
        <f t="shared" si="229"/>
        <v>0.70162679300900732</v>
      </c>
      <c r="BL242" s="475">
        <f>AbsFeuchte(BJ242,BK242,$N$19)</f>
        <v>12.403965971175108</v>
      </c>
      <c r="BM242" s="735">
        <f t="shared" si="230"/>
        <v>53.669331561032138</v>
      </c>
      <c r="BN242" s="473">
        <f t="shared" si="207"/>
        <v>22</v>
      </c>
      <c r="BO242" s="491">
        <f t="shared" si="231"/>
        <v>0.63098973538962677</v>
      </c>
      <c r="BP242" s="475">
        <f t="shared" si="208"/>
        <v>11.132831630660872</v>
      </c>
      <c r="BQ242" s="735">
        <f t="shared" si="232"/>
        <v>50.437447077587876</v>
      </c>
      <c r="BR242" s="473">
        <f t="shared" si="166"/>
        <v>26</v>
      </c>
      <c r="BS242" s="491">
        <f t="shared" si="167"/>
        <v>0.55176388288400202</v>
      </c>
      <c r="BT242" s="475">
        <f>AbsFeuchte(BR242,BS242,$N$19)</f>
        <v>12.403965971175108</v>
      </c>
      <c r="BU242" s="576">
        <f>IF($J$21=0,IF(E$13=$S$10,BR242+$N$18,BR242),IF(E$13=$S$10,BR242+$N$18+#REF!,BR242+$J$21))</f>
        <v>26</v>
      </c>
      <c r="BV242" s="491">
        <f t="shared" si="233"/>
        <v>0.55176388288400202</v>
      </c>
      <c r="BW242" s="726">
        <f t="shared" si="169"/>
        <v>12.403965971175108</v>
      </c>
      <c r="BX242" s="475">
        <f t="shared" si="215"/>
        <v>8.0685199539642696</v>
      </c>
      <c r="BY242" s="475">
        <f t="shared" si="216"/>
        <v>0</v>
      </c>
      <c r="BZ242" s="475">
        <f t="shared" si="170"/>
        <v>8.0685199539642696</v>
      </c>
      <c r="CA242" s="475">
        <f t="shared" si="171"/>
        <v>0</v>
      </c>
      <c r="CB242" s="475">
        <f t="shared" si="172"/>
        <v>0</v>
      </c>
      <c r="CC242" s="475">
        <f t="shared" si="173"/>
        <v>0</v>
      </c>
      <c r="CD242" s="475">
        <f t="shared" si="174"/>
        <v>0</v>
      </c>
      <c r="CE242" s="621">
        <f t="shared" si="175"/>
        <v>0</v>
      </c>
      <c r="CF242" s="621">
        <f t="shared" si="176"/>
        <v>0</v>
      </c>
      <c r="CG242" s="621">
        <f t="shared" si="177"/>
        <v>0</v>
      </c>
      <c r="CH242" s="573">
        <f t="shared" si="178"/>
        <v>0</v>
      </c>
      <c r="CI242" s="621">
        <f t="shared" si="179"/>
        <v>0</v>
      </c>
      <c r="CJ242" s="621">
        <f t="shared" si="180"/>
        <v>0</v>
      </c>
      <c r="CK242" s="621">
        <f t="shared" si="181"/>
        <v>0</v>
      </c>
      <c r="CL242" s="737">
        <f t="shared" si="182"/>
        <v>0</v>
      </c>
      <c r="CM242" s="738">
        <f t="shared" si="183"/>
        <v>0</v>
      </c>
      <c r="CN242" s="475">
        <f t="shared" si="184"/>
        <v>0.70162679300900732</v>
      </c>
      <c r="CO242" s="475">
        <f t="shared" si="185"/>
        <v>0.63098973538962677</v>
      </c>
      <c r="CP242" s="475">
        <f t="shared" si="186"/>
        <v>26.7</v>
      </c>
      <c r="CQ242" s="475">
        <f t="shared" si="187"/>
        <v>26.7</v>
      </c>
      <c r="CR242" s="475">
        <f t="shared" si="188"/>
        <v>0</v>
      </c>
      <c r="CS242" s="475">
        <f t="shared" si="189"/>
        <v>8.0685199539642696</v>
      </c>
      <c r="CT242" s="475">
        <f t="shared" si="190"/>
        <v>0</v>
      </c>
      <c r="CU242" s="475">
        <f t="shared" si="191"/>
        <v>22</v>
      </c>
      <c r="CV242" s="475">
        <f t="shared" si="192"/>
        <v>22</v>
      </c>
      <c r="CW242" s="475">
        <f t="shared" si="209"/>
        <v>0</v>
      </c>
      <c r="CX242" s="573">
        <f t="shared" si="217"/>
        <v>0</v>
      </c>
      <c r="CY242" s="475">
        <f t="shared" si="219"/>
        <v>22</v>
      </c>
      <c r="CZ242" s="475">
        <f t="shared" si="218"/>
        <v>22</v>
      </c>
      <c r="DA242" s="475">
        <v>28</v>
      </c>
      <c r="DB242" s="475"/>
      <c r="DC242" s="410"/>
    </row>
    <row r="243" spans="1:107" s="619" customFormat="1" ht="12" hidden="1" customHeight="1" outlineLevel="1">
      <c r="A243" s="752">
        <v>29</v>
      </c>
      <c r="B243" s="573">
        <v>19.345238095238095</v>
      </c>
      <c r="C243" s="475">
        <v>12.519820923975955</v>
      </c>
      <c r="D243" s="741">
        <v>0.48769230769230765</v>
      </c>
      <c r="E243" s="491">
        <f t="shared" si="220"/>
        <v>0.55681575675868988</v>
      </c>
      <c r="F243" s="438">
        <f t="shared" si="133"/>
        <v>1</v>
      </c>
      <c r="G243" s="438"/>
      <c r="H243" s="475">
        <f t="shared" si="134"/>
        <v>-7</v>
      </c>
      <c r="I243" s="473">
        <f t="shared" si="135"/>
        <v>27.05</v>
      </c>
      <c r="J243" s="473">
        <f t="shared" si="136"/>
        <v>27.05</v>
      </c>
      <c r="K243" s="491">
        <f t="shared" si="137"/>
        <v>0.6499999999999998</v>
      </c>
      <c r="L243" s="473">
        <f t="shared" si="193"/>
        <v>27.05</v>
      </c>
      <c r="M243" s="473">
        <f t="shared" si="138"/>
        <v>12.519820923975955</v>
      </c>
      <c r="N243" s="473">
        <f t="shared" si="234"/>
        <v>59.161793773566252</v>
      </c>
      <c r="O243" s="473">
        <f t="shared" si="235"/>
        <v>59.161793773566252</v>
      </c>
      <c r="P243" s="734">
        <f t="shared" si="236"/>
        <v>0</v>
      </c>
      <c r="Q243" s="473">
        <f t="shared" si="211"/>
        <v>27.05</v>
      </c>
      <c r="R243" s="475">
        <f t="shared" si="212"/>
        <v>12.519820923975955</v>
      </c>
      <c r="S243" s="473">
        <f t="shared" si="213"/>
        <v>59.161793773566252</v>
      </c>
      <c r="T243" s="473">
        <f t="shared" si="139"/>
        <v>27.05</v>
      </c>
      <c r="U243" s="473">
        <f t="shared" si="140"/>
        <v>27.05</v>
      </c>
      <c r="V243" s="491">
        <f t="shared" si="141"/>
        <v>0</v>
      </c>
      <c r="W243" s="475">
        <f t="shared" si="194"/>
        <v>27.05</v>
      </c>
      <c r="X243" s="475">
        <f t="shared" si="195"/>
        <v>12.519820923975955</v>
      </c>
      <c r="Y243" s="735">
        <f t="shared" si="221"/>
        <v>59.161793773566252</v>
      </c>
      <c r="Z243" s="475">
        <f t="shared" si="196"/>
        <v>9</v>
      </c>
      <c r="AA243" s="475">
        <f>IF($F$36=$D$36,MIN(AbsFeuchte(Z243,100%,$N$19),R243),MIN(AbsFeuchte(Z243,100%,$N$19),X243))</f>
        <v>7.6169281356214986</v>
      </c>
      <c r="AB243" s="735">
        <f t="shared" si="222"/>
        <v>28.236014801061046</v>
      </c>
      <c r="AC243" s="475">
        <f t="shared" si="197"/>
        <v>9</v>
      </c>
      <c r="AD243" s="475">
        <v>0</v>
      </c>
      <c r="AE243" s="735">
        <f t="shared" si="223"/>
        <v>9.0540000000000003</v>
      </c>
      <c r="AF243" s="735">
        <f t="shared" si="198"/>
        <v>9</v>
      </c>
      <c r="AG243" s="735">
        <f t="shared" si="145"/>
        <v>3.6815000407255636</v>
      </c>
      <c r="AH243" s="475">
        <f t="shared" si="146"/>
        <v>27.05</v>
      </c>
      <c r="AI243" s="475">
        <f t="shared" si="199"/>
        <v>12.519820923975955</v>
      </c>
      <c r="AJ243" s="735">
        <f t="shared" si="224"/>
        <v>59.161793773566252</v>
      </c>
      <c r="AK243" s="475">
        <f t="shared" si="148"/>
        <v>22</v>
      </c>
      <c r="AL243" s="475">
        <f t="shared" si="200"/>
        <v>11.148097456874016</v>
      </c>
      <c r="AM243" s="735">
        <f t="shared" si="225"/>
        <v>50.476260746051324</v>
      </c>
      <c r="AN243" s="475">
        <f t="shared" si="214"/>
        <v>22.000000000000004</v>
      </c>
      <c r="AO243" s="475">
        <f t="shared" si="150"/>
        <v>12.519820923975955</v>
      </c>
      <c r="AP243" s="735">
        <f t="shared" si="201"/>
        <v>53.963895095627343</v>
      </c>
      <c r="AQ243" s="475" t="e">
        <f t="shared" ca="1" si="226"/>
        <v>#NAME?</v>
      </c>
      <c r="AR243" s="475">
        <f t="shared" si="202"/>
        <v>12.519820923975955</v>
      </c>
      <c r="AS243" s="735" t="e">
        <f t="shared" ca="1" si="227"/>
        <v>#VALUE!</v>
      </c>
      <c r="AT243" s="475">
        <f t="shared" si="203"/>
        <v>22</v>
      </c>
      <c r="AU243" s="475">
        <f t="shared" si="153"/>
        <v>12.519820923975955</v>
      </c>
      <c r="AV243" s="735">
        <f t="shared" si="228"/>
        <v>53.963895095627343</v>
      </c>
      <c r="AW243" s="529">
        <f t="shared" si="155"/>
        <v>4</v>
      </c>
      <c r="AX243" s="735">
        <f t="shared" si="204"/>
        <v>1</v>
      </c>
      <c r="AY243" s="735">
        <f t="shared" si="156"/>
        <v>0</v>
      </c>
      <c r="AZ243" s="735">
        <f t="shared" si="205"/>
        <v>1</v>
      </c>
      <c r="BA243" s="735">
        <f t="shared" si="206"/>
        <v>0</v>
      </c>
      <c r="BB243" s="735">
        <f>IF($F$36=$D$36,IF(AW243=1,Fall1Tzul(AX243,AY243,BJ243,Q243),0),IF(AW243=1,Fall1Tzul(AX243,AY243,BJ243,W243),0))</f>
        <v>0</v>
      </c>
      <c r="BC243" s="735">
        <f>IF($F$36=$D$36,IF(AW243=1,Fall1xzul(AX243,AY243,BL243,R243),0),IF(AW243=1,Fall1xzul(AX243,AY243,BL243,X243),0))</f>
        <v>0</v>
      </c>
      <c r="BD243" s="735">
        <f>IF($F$36=$D$36,IF(AW243=2,Fall2Tzul(AX243, AZ243, BJ243,Q243, Z243),0),IF(AW243=2,Fall2Tzul(AX243, AZ243, BJ243,W243, Z243),0))</f>
        <v>0</v>
      </c>
      <c r="BE243" s="735">
        <f>IF($F$36=$D$36,IF(AW243=2,Fall2xzul(AX243,AZ243,BL243,R243,AA243),0),IF(AW243=2,Fall2xzul(AX243,AZ243,BL243,X243,AA243),0))</f>
        <v>0</v>
      </c>
      <c r="BF243" s="735">
        <f t="shared" si="157"/>
        <v>0</v>
      </c>
      <c r="BG243" s="735">
        <f t="shared" si="158"/>
        <v>0</v>
      </c>
      <c r="BH243" s="735">
        <f t="shared" si="159"/>
        <v>22</v>
      </c>
      <c r="BI243" s="735">
        <f t="shared" si="160"/>
        <v>11.148097456874016</v>
      </c>
      <c r="BJ243" s="473">
        <f t="shared" si="161"/>
        <v>22</v>
      </c>
      <c r="BK243" s="491">
        <f t="shared" si="229"/>
        <v>0.7080507909823005</v>
      </c>
      <c r="BL243" s="475">
        <f>AbsFeuchte(BJ243,BK243,$N$19)</f>
        <v>12.519820923975955</v>
      </c>
      <c r="BM243" s="735">
        <f t="shared" si="230"/>
        <v>53.963895095627343</v>
      </c>
      <c r="BN243" s="473">
        <f t="shared" si="207"/>
        <v>22</v>
      </c>
      <c r="BO243" s="491">
        <f t="shared" si="231"/>
        <v>0.63183974149660682</v>
      </c>
      <c r="BP243" s="475">
        <f t="shared" si="208"/>
        <v>11.148097456874016</v>
      </c>
      <c r="BQ243" s="735">
        <f t="shared" si="232"/>
        <v>50.476260746051324</v>
      </c>
      <c r="BR243" s="473">
        <f t="shared" si="166"/>
        <v>26</v>
      </c>
      <c r="BS243" s="491">
        <f t="shared" si="167"/>
        <v>0.55681575675868988</v>
      </c>
      <c r="BT243" s="475">
        <f>AbsFeuchte(BR243,BS243,$N$19)</f>
        <v>12.519820923975955</v>
      </c>
      <c r="BU243" s="576">
        <f>IF($J$21=0,IF(E$13=$S$10,BR243+$N$18,BR243),IF(E$13=$S$10,BR243+$N$18+#REF!,BR243+$J$21))</f>
        <v>26</v>
      </c>
      <c r="BV243" s="491">
        <f t="shared" si="233"/>
        <v>0.55681575675868988</v>
      </c>
      <c r="BW243" s="726">
        <f t="shared" si="169"/>
        <v>12.519820923975955</v>
      </c>
      <c r="BX243" s="475">
        <f t="shared" si="215"/>
        <v>8.6855330275149285</v>
      </c>
      <c r="BY243" s="475">
        <f t="shared" si="216"/>
        <v>0</v>
      </c>
      <c r="BZ243" s="475">
        <f t="shared" si="170"/>
        <v>8.6855330275149285</v>
      </c>
      <c r="CA243" s="475">
        <f t="shared" si="171"/>
        <v>0</v>
      </c>
      <c r="CB243" s="475">
        <f t="shared" si="172"/>
        <v>0</v>
      </c>
      <c r="CC243" s="475">
        <f t="shared" si="173"/>
        <v>0</v>
      </c>
      <c r="CD243" s="475">
        <f t="shared" si="174"/>
        <v>0</v>
      </c>
      <c r="CE243" s="621">
        <f t="shared" si="175"/>
        <v>0</v>
      </c>
      <c r="CF243" s="621">
        <f t="shared" si="176"/>
        <v>0</v>
      </c>
      <c r="CG243" s="621">
        <f t="shared" si="177"/>
        <v>0</v>
      </c>
      <c r="CH243" s="573">
        <f t="shared" si="178"/>
        <v>0</v>
      </c>
      <c r="CI243" s="621">
        <f t="shared" si="179"/>
        <v>0</v>
      </c>
      <c r="CJ243" s="621">
        <f t="shared" si="180"/>
        <v>0</v>
      </c>
      <c r="CK243" s="621">
        <f t="shared" si="181"/>
        <v>0</v>
      </c>
      <c r="CL243" s="737">
        <f t="shared" si="182"/>
        <v>0</v>
      </c>
      <c r="CM243" s="738">
        <f t="shared" si="183"/>
        <v>0</v>
      </c>
      <c r="CN243" s="475">
        <f t="shared" si="184"/>
        <v>0.7080507909823005</v>
      </c>
      <c r="CO243" s="475">
        <f t="shared" si="185"/>
        <v>0.63183974149660682</v>
      </c>
      <c r="CP243" s="475">
        <f t="shared" si="186"/>
        <v>27.05</v>
      </c>
      <c r="CQ243" s="475">
        <f t="shared" si="187"/>
        <v>27.05</v>
      </c>
      <c r="CR243" s="475">
        <f t="shared" si="188"/>
        <v>0</v>
      </c>
      <c r="CS243" s="475">
        <f t="shared" si="189"/>
        <v>8.6855330275149285</v>
      </c>
      <c r="CT243" s="475">
        <f t="shared" si="190"/>
        <v>0</v>
      </c>
      <c r="CU243" s="475">
        <f t="shared" si="191"/>
        <v>22</v>
      </c>
      <c r="CV243" s="475">
        <f t="shared" si="192"/>
        <v>22</v>
      </c>
      <c r="CW243" s="475">
        <f t="shared" si="209"/>
        <v>0</v>
      </c>
      <c r="CX243" s="573">
        <f t="shared" si="217"/>
        <v>0</v>
      </c>
      <c r="CY243" s="475">
        <f t="shared" si="219"/>
        <v>22</v>
      </c>
      <c r="CZ243" s="475">
        <f t="shared" si="218"/>
        <v>22</v>
      </c>
      <c r="DA243" s="475">
        <v>29</v>
      </c>
      <c r="DB243" s="475"/>
      <c r="DC243" s="410"/>
    </row>
    <row r="244" spans="1:107" s="619" customFormat="1" ht="12" hidden="1" customHeight="1" outlineLevel="1">
      <c r="A244" s="752">
        <v>30</v>
      </c>
      <c r="B244" s="573">
        <v>4.7619047619047619</v>
      </c>
      <c r="C244" s="475">
        <v>11.972004694348751</v>
      </c>
      <c r="D244" s="741">
        <v>0.44062499999999999</v>
      </c>
      <c r="E244" s="491">
        <f t="shared" si="220"/>
        <v>0.53291186584883676</v>
      </c>
      <c r="F244" s="438">
        <f t="shared" si="133"/>
        <v>1</v>
      </c>
      <c r="G244" s="438"/>
      <c r="H244" s="475">
        <f t="shared" si="134"/>
        <v>-8</v>
      </c>
      <c r="I244" s="473">
        <f t="shared" si="135"/>
        <v>27.4</v>
      </c>
      <c r="J244" s="473">
        <f t="shared" si="136"/>
        <v>27.4</v>
      </c>
      <c r="K244" s="491">
        <f t="shared" si="137"/>
        <v>0.65000000000000036</v>
      </c>
      <c r="L244" s="473">
        <f t="shared" si="193"/>
        <v>27.4</v>
      </c>
      <c r="M244" s="473">
        <f t="shared" si="138"/>
        <v>11.972004694348751</v>
      </c>
      <c r="N244" s="473">
        <f t="shared" si="234"/>
        <v>58.123708190625621</v>
      </c>
      <c r="O244" s="473">
        <f t="shared" si="235"/>
        <v>58.123708190625621</v>
      </c>
      <c r="P244" s="734">
        <f t="shared" si="236"/>
        <v>0</v>
      </c>
      <c r="Q244" s="473">
        <f t="shared" si="211"/>
        <v>27.4</v>
      </c>
      <c r="R244" s="475">
        <f t="shared" si="212"/>
        <v>11.972004694348751</v>
      </c>
      <c r="S244" s="473">
        <f t="shared" si="213"/>
        <v>58.123708190625621</v>
      </c>
      <c r="T244" s="473">
        <f t="shared" si="139"/>
        <v>27.4</v>
      </c>
      <c r="U244" s="473">
        <f t="shared" si="140"/>
        <v>27.4</v>
      </c>
      <c r="V244" s="491">
        <f t="shared" si="141"/>
        <v>0</v>
      </c>
      <c r="W244" s="475">
        <f t="shared" si="194"/>
        <v>27.4</v>
      </c>
      <c r="X244" s="475">
        <f t="shared" si="195"/>
        <v>11.972004694348751</v>
      </c>
      <c r="Y244" s="735">
        <f t="shared" si="221"/>
        <v>58.123708190625621</v>
      </c>
      <c r="Z244" s="475">
        <f t="shared" si="196"/>
        <v>9</v>
      </c>
      <c r="AA244" s="475">
        <f>IF($F$36=$D$36,MIN(AbsFeuchte(Z244,100%,$N$19),R244),MIN(AbsFeuchte(Z244,100%,$N$19),X244))</f>
        <v>7.6169281356214986</v>
      </c>
      <c r="AB244" s="735">
        <f t="shared" si="222"/>
        <v>28.236014801061046</v>
      </c>
      <c r="AC244" s="475">
        <f t="shared" si="197"/>
        <v>9</v>
      </c>
      <c r="AD244" s="475">
        <v>0</v>
      </c>
      <c r="AE244" s="735">
        <f t="shared" si="223"/>
        <v>9.0540000000000003</v>
      </c>
      <c r="AF244" s="735">
        <f t="shared" si="198"/>
        <v>9</v>
      </c>
      <c r="AG244" s="735">
        <f t="shared" si="145"/>
        <v>4.2249544300496291</v>
      </c>
      <c r="AH244" s="475">
        <f t="shared" si="146"/>
        <v>27.4</v>
      </c>
      <c r="AI244" s="475">
        <f t="shared" si="199"/>
        <v>11.972004694348755</v>
      </c>
      <c r="AJ244" s="735">
        <f t="shared" si="224"/>
        <v>58.123708190625635</v>
      </c>
      <c r="AK244" s="475">
        <f t="shared" si="148"/>
        <v>22</v>
      </c>
      <c r="AL244" s="475">
        <f t="shared" si="200"/>
        <v>10.693884399939666</v>
      </c>
      <c r="AM244" s="735">
        <f t="shared" si="225"/>
        <v>49.321414964534597</v>
      </c>
      <c r="AN244" s="475">
        <f t="shared" si="214"/>
        <v>22.000000000000007</v>
      </c>
      <c r="AO244" s="475">
        <f t="shared" si="150"/>
        <v>11.972004694348751</v>
      </c>
      <c r="AP244" s="735">
        <f t="shared" si="201"/>
        <v>52.571061375475594</v>
      </c>
      <c r="AQ244" s="475" t="e">
        <f t="shared" ca="1" si="226"/>
        <v>#NAME?</v>
      </c>
      <c r="AR244" s="475">
        <f t="shared" si="202"/>
        <v>11.972004694348755</v>
      </c>
      <c r="AS244" s="735" t="e">
        <f t="shared" ca="1" si="227"/>
        <v>#VALUE!</v>
      </c>
      <c r="AT244" s="475">
        <f t="shared" si="203"/>
        <v>22</v>
      </c>
      <c r="AU244" s="475">
        <f t="shared" si="153"/>
        <v>11.972004694348751</v>
      </c>
      <c r="AV244" s="735">
        <f t="shared" si="228"/>
        <v>52.571061375475594</v>
      </c>
      <c r="AW244" s="529">
        <f t="shared" si="155"/>
        <v>4</v>
      </c>
      <c r="AX244" s="735">
        <f t="shared" si="204"/>
        <v>1</v>
      </c>
      <c r="AY244" s="735">
        <f t="shared" si="156"/>
        <v>0</v>
      </c>
      <c r="AZ244" s="735">
        <f t="shared" si="205"/>
        <v>1</v>
      </c>
      <c r="BA244" s="735">
        <f t="shared" si="206"/>
        <v>0</v>
      </c>
      <c r="BB244" s="735">
        <f>IF($F$36=$D$36,IF(AW244=1,Fall1Tzul(AX244,AY244,BJ244,Q244),0),IF(AW244=1,Fall1Tzul(AX244,AY244,BJ244,W244),0))</f>
        <v>0</v>
      </c>
      <c r="BC244" s="735">
        <f>IF($F$36=$D$36,IF(AW244=1,Fall1xzul(AX244,AY244,BL244,R244),0),IF(AW244=1,Fall1xzul(AX244,AY244,BL244,X244),0))</f>
        <v>0</v>
      </c>
      <c r="BD244" s="735">
        <f>IF($F$36=$D$36,IF(AW244=2,Fall2Tzul(AX244, AZ244, BJ244,Q244, Z244),0),IF(AW244=2,Fall2Tzul(AX244, AZ244, BJ244,W244, Z244),0))</f>
        <v>0</v>
      </c>
      <c r="BE244" s="735">
        <f>IF($F$36=$D$36,IF(AW244=2,Fall2xzul(AX244,AZ244,BL244,R244,AA244),0),IF(AW244=2,Fall2xzul(AX244,AZ244,BL244,X244,AA244),0))</f>
        <v>0</v>
      </c>
      <c r="BF244" s="735">
        <f t="shared" si="157"/>
        <v>0</v>
      </c>
      <c r="BG244" s="735">
        <f t="shared" si="158"/>
        <v>0</v>
      </c>
      <c r="BH244" s="735">
        <f t="shared" si="159"/>
        <v>22</v>
      </c>
      <c r="BI244" s="735">
        <f t="shared" si="160"/>
        <v>10.693884399939666</v>
      </c>
      <c r="BJ244" s="473">
        <f t="shared" si="161"/>
        <v>22</v>
      </c>
      <c r="BK244" s="491">
        <f t="shared" si="229"/>
        <v>0.67765443696243577</v>
      </c>
      <c r="BL244" s="475">
        <f>AbsFeuchte(BJ244,BK244,$N$19)</f>
        <v>11.972004694348755</v>
      </c>
      <c r="BM244" s="735">
        <f t="shared" si="230"/>
        <v>52.571061375475594</v>
      </c>
      <c r="BN244" s="473">
        <f t="shared" si="207"/>
        <v>22</v>
      </c>
      <c r="BO244" s="491">
        <f t="shared" si="231"/>
        <v>0.60653146651513024</v>
      </c>
      <c r="BP244" s="475">
        <f t="shared" si="208"/>
        <v>10.693884399939666</v>
      </c>
      <c r="BQ244" s="735">
        <f t="shared" si="232"/>
        <v>49.321414964534597</v>
      </c>
      <c r="BR244" s="473">
        <f t="shared" si="166"/>
        <v>26</v>
      </c>
      <c r="BS244" s="491">
        <f t="shared" si="167"/>
        <v>0.53291186584883676</v>
      </c>
      <c r="BT244" s="475">
        <f>AbsFeuchte(BR244,BS244,$N$19)</f>
        <v>11.972004694348753</v>
      </c>
      <c r="BU244" s="576">
        <f>IF($J$21=0,IF(E$13=$S$10,BR244+$N$18,BR244),IF(E$13=$S$10,BR244+$N$18+#REF!,BR244+$J$21))</f>
        <v>26</v>
      </c>
      <c r="BV244" s="491">
        <f t="shared" si="233"/>
        <v>0.53291186584883687</v>
      </c>
      <c r="BW244" s="726">
        <f t="shared" si="169"/>
        <v>11.972004694348753</v>
      </c>
      <c r="BX244" s="475">
        <f t="shared" si="215"/>
        <v>8.8022932260910238</v>
      </c>
      <c r="BY244" s="475">
        <f t="shared" si="216"/>
        <v>0</v>
      </c>
      <c r="BZ244" s="475">
        <f t="shared" si="170"/>
        <v>8.8022932260910238</v>
      </c>
      <c r="CA244" s="475">
        <f t="shared" si="171"/>
        <v>0</v>
      </c>
      <c r="CB244" s="475">
        <f t="shared" si="172"/>
        <v>0</v>
      </c>
      <c r="CC244" s="475">
        <f t="shared" si="173"/>
        <v>0</v>
      </c>
      <c r="CD244" s="475">
        <f t="shared" si="174"/>
        <v>0</v>
      </c>
      <c r="CE244" s="621">
        <f t="shared" si="175"/>
        <v>0</v>
      </c>
      <c r="CF244" s="621">
        <f t="shared" si="176"/>
        <v>0</v>
      </c>
      <c r="CG244" s="621">
        <f t="shared" si="177"/>
        <v>0</v>
      </c>
      <c r="CH244" s="573">
        <f t="shared" si="178"/>
        <v>0</v>
      </c>
      <c r="CI244" s="621">
        <f t="shared" si="179"/>
        <v>0</v>
      </c>
      <c r="CJ244" s="621">
        <f t="shared" si="180"/>
        <v>0</v>
      </c>
      <c r="CK244" s="621">
        <f t="shared" si="181"/>
        <v>0</v>
      </c>
      <c r="CL244" s="737">
        <f t="shared" si="182"/>
        <v>0</v>
      </c>
      <c r="CM244" s="738">
        <f t="shared" si="183"/>
        <v>0</v>
      </c>
      <c r="CN244" s="475">
        <f t="shared" si="184"/>
        <v>0.67765443696243577</v>
      </c>
      <c r="CO244" s="475">
        <f t="shared" si="185"/>
        <v>0.60653146651513024</v>
      </c>
      <c r="CP244" s="475">
        <f t="shared" si="186"/>
        <v>27.4</v>
      </c>
      <c r="CQ244" s="475">
        <f t="shared" si="187"/>
        <v>27.4</v>
      </c>
      <c r="CR244" s="475">
        <f t="shared" si="188"/>
        <v>0</v>
      </c>
      <c r="CS244" s="475">
        <f t="shared" si="189"/>
        <v>8.8022932260910238</v>
      </c>
      <c r="CT244" s="475">
        <f t="shared" si="190"/>
        <v>0</v>
      </c>
      <c r="CU244" s="475">
        <f t="shared" si="191"/>
        <v>22</v>
      </c>
      <c r="CV244" s="475">
        <f t="shared" si="192"/>
        <v>22</v>
      </c>
      <c r="CW244" s="475">
        <f t="shared" si="209"/>
        <v>0</v>
      </c>
      <c r="CX244" s="573">
        <f t="shared" si="217"/>
        <v>0</v>
      </c>
      <c r="CY244" s="475">
        <f t="shared" si="219"/>
        <v>22</v>
      </c>
      <c r="CZ244" s="475">
        <f t="shared" si="218"/>
        <v>22</v>
      </c>
      <c r="DA244" s="475">
        <v>30</v>
      </c>
      <c r="DB244" s="475"/>
      <c r="DC244" s="410"/>
    </row>
    <row r="245" spans="1:107" s="619" customFormat="1" ht="12" hidden="1" customHeight="1" outlineLevel="1">
      <c r="A245" s="752">
        <v>31</v>
      </c>
      <c r="B245" s="573">
        <v>1.1904761904761905</v>
      </c>
      <c r="C245" s="475">
        <v>14.219159700021399</v>
      </c>
      <c r="D245" s="741">
        <v>0.49249999999999999</v>
      </c>
      <c r="E245" s="491">
        <f t="shared" si="220"/>
        <v>0.63070428358325059</v>
      </c>
      <c r="F245" s="438">
        <f t="shared" si="133"/>
        <v>1</v>
      </c>
      <c r="G245" s="438"/>
      <c r="H245" s="475">
        <f t="shared" si="134"/>
        <v>-9</v>
      </c>
      <c r="I245" s="473">
        <f t="shared" si="135"/>
        <v>27.75</v>
      </c>
      <c r="J245" s="473">
        <f t="shared" si="136"/>
        <v>27.75</v>
      </c>
      <c r="K245" s="491">
        <f t="shared" si="137"/>
        <v>0.65</v>
      </c>
      <c r="L245" s="473">
        <f t="shared" si="193"/>
        <v>27.75</v>
      </c>
      <c r="M245" s="473">
        <f t="shared" si="138"/>
        <v>14.219159700021399</v>
      </c>
      <c r="N245" s="473">
        <f t="shared" si="234"/>
        <v>64.221071833490129</v>
      </c>
      <c r="O245" s="473">
        <f t="shared" si="235"/>
        <v>64.221071833490129</v>
      </c>
      <c r="P245" s="734">
        <f t="shared" si="236"/>
        <v>0</v>
      </c>
      <c r="Q245" s="473">
        <f t="shared" si="211"/>
        <v>27.75</v>
      </c>
      <c r="R245" s="475">
        <f t="shared" si="212"/>
        <v>14.219159700021399</v>
      </c>
      <c r="S245" s="473">
        <f t="shared" si="213"/>
        <v>64.221071833490129</v>
      </c>
      <c r="T245" s="473">
        <f t="shared" si="139"/>
        <v>27.75</v>
      </c>
      <c r="U245" s="473">
        <f t="shared" si="140"/>
        <v>27.75</v>
      </c>
      <c r="V245" s="491">
        <f t="shared" si="141"/>
        <v>0</v>
      </c>
      <c r="W245" s="475">
        <f t="shared" si="194"/>
        <v>27.75</v>
      </c>
      <c r="X245" s="475">
        <f t="shared" si="195"/>
        <v>14.219159700021399</v>
      </c>
      <c r="Y245" s="735">
        <f t="shared" si="221"/>
        <v>64.221071833490129</v>
      </c>
      <c r="Z245" s="475">
        <f t="shared" si="196"/>
        <v>9</v>
      </c>
      <c r="AA245" s="475">
        <f>IF($F$36=$D$36,MIN(AbsFeuchte(Z245,100%,$N$19),R245),MIN(AbsFeuchte(Z245,100%,$N$19),X245))</f>
        <v>7.6169281356214986</v>
      </c>
      <c r="AB245" s="735">
        <f t="shared" si="222"/>
        <v>28.236014801061046</v>
      </c>
      <c r="AC245" s="475">
        <f t="shared" si="197"/>
        <v>9</v>
      </c>
      <c r="AD245" s="475">
        <v>0</v>
      </c>
      <c r="AE245" s="735">
        <f t="shared" si="223"/>
        <v>9.0540000000000003</v>
      </c>
      <c r="AF245" s="735">
        <f t="shared" si="198"/>
        <v>9</v>
      </c>
      <c r="AG245" s="735">
        <f t="shared" si="145"/>
        <v>2.8399488592769848</v>
      </c>
      <c r="AH245" s="475">
        <f t="shared" si="146"/>
        <v>27.75</v>
      </c>
      <c r="AI245" s="475">
        <f t="shared" si="199"/>
        <v>14.219159700021399</v>
      </c>
      <c r="AJ245" s="735">
        <f t="shared" si="224"/>
        <v>64.221071833490129</v>
      </c>
      <c r="AK245" s="475">
        <f t="shared" si="148"/>
        <v>22</v>
      </c>
      <c r="AL245" s="475">
        <f t="shared" si="200"/>
        <v>12.19447535360543</v>
      </c>
      <c r="AM245" s="735">
        <f t="shared" si="225"/>
        <v>53.13669747604888</v>
      </c>
      <c r="AN245" s="475">
        <f t="shared" si="214"/>
        <v>22</v>
      </c>
      <c r="AO245" s="475">
        <f t="shared" si="150"/>
        <v>14.219159700021399</v>
      </c>
      <c r="AP245" s="735">
        <f t="shared" si="201"/>
        <v>58.28449792049841</v>
      </c>
      <c r="AQ245" s="475" t="e">
        <f t="shared" ca="1" si="226"/>
        <v>#NAME?</v>
      </c>
      <c r="AR245" s="475">
        <f t="shared" si="202"/>
        <v>14.219159700021399</v>
      </c>
      <c r="AS245" s="735" t="e">
        <f t="shared" ca="1" si="227"/>
        <v>#VALUE!</v>
      </c>
      <c r="AT245" s="475">
        <f t="shared" si="203"/>
        <v>22</v>
      </c>
      <c r="AU245" s="475">
        <f t="shared" si="153"/>
        <v>14.219159700021399</v>
      </c>
      <c r="AV245" s="735">
        <f t="shared" si="228"/>
        <v>58.28449792049841</v>
      </c>
      <c r="AW245" s="529">
        <f t="shared" si="155"/>
        <v>4</v>
      </c>
      <c r="AX245" s="735">
        <f t="shared" si="204"/>
        <v>1</v>
      </c>
      <c r="AY245" s="735">
        <f t="shared" si="156"/>
        <v>0</v>
      </c>
      <c r="AZ245" s="735">
        <f t="shared" si="205"/>
        <v>1</v>
      </c>
      <c r="BA245" s="735">
        <f t="shared" si="206"/>
        <v>0</v>
      </c>
      <c r="BB245" s="735">
        <f>IF($F$36=$D$36,IF(AW245=1,Fall1Tzul(AX245,AY245,BJ245,Q245),0),IF(AW245=1,Fall1Tzul(AX245,AY245,BJ245,W245),0))</f>
        <v>0</v>
      </c>
      <c r="BC245" s="735">
        <f>IF($F$36=$D$36,IF(AW245=1,Fall1xzul(AX245,AY245,BL245,R245),0),IF(AW245=1,Fall1xzul(AX245,AY245,BL245,X245),0))</f>
        <v>0</v>
      </c>
      <c r="BD245" s="735">
        <f>IF($F$36=$D$36,IF(AW245=2,Fall2Tzul(AX245, AZ245, BJ245,Q245, Z245),0),IF(AW245=2,Fall2Tzul(AX245, AZ245, BJ245,W245, Z245),0))</f>
        <v>0</v>
      </c>
      <c r="BE245" s="735">
        <f>IF($F$36=$D$36,IF(AW245=2,Fall2xzul(AX245,AZ245,BL245,R245,AA245),0),IF(AW245=2,Fall2xzul(AX245,AZ245,BL245,X245,AA245),0))</f>
        <v>0</v>
      </c>
      <c r="BF245" s="735">
        <f t="shared" si="157"/>
        <v>0</v>
      </c>
      <c r="BG245" s="735">
        <f t="shared" si="158"/>
        <v>0</v>
      </c>
      <c r="BH245" s="735">
        <f t="shared" si="159"/>
        <v>22</v>
      </c>
      <c r="BI245" s="735">
        <f t="shared" si="160"/>
        <v>12.19447535360543</v>
      </c>
      <c r="BJ245" s="473">
        <f t="shared" si="161"/>
        <v>22</v>
      </c>
      <c r="BK245" s="491">
        <f t="shared" si="229"/>
        <v>0.80200795585707252</v>
      </c>
      <c r="BL245" s="475">
        <f>AbsFeuchte(BJ245,BK245,$N$19)</f>
        <v>14.219159700021399</v>
      </c>
      <c r="BM245" s="735">
        <f t="shared" si="230"/>
        <v>58.28449792049841</v>
      </c>
      <c r="BN245" s="473">
        <f t="shared" si="207"/>
        <v>22</v>
      </c>
      <c r="BO245" s="491">
        <f t="shared" si="231"/>
        <v>0.69000486699859687</v>
      </c>
      <c r="BP245" s="475">
        <f t="shared" si="208"/>
        <v>12.19447535360543</v>
      </c>
      <c r="BQ245" s="735">
        <f t="shared" si="232"/>
        <v>53.13669747604888</v>
      </c>
      <c r="BR245" s="473">
        <f t="shared" si="166"/>
        <v>26</v>
      </c>
      <c r="BS245" s="491">
        <f t="shared" si="167"/>
        <v>0.63070428358325059</v>
      </c>
      <c r="BT245" s="475">
        <f>AbsFeuchte(BR245,BS245,$N$19)</f>
        <v>14.219159700021399</v>
      </c>
      <c r="BU245" s="576">
        <f>IF($J$21=0,IF(E$13=$S$10,BR245+$N$18,BR245),IF(E$13=$S$10,BR245+$N$18+#REF!,BR245+$J$21))</f>
        <v>26</v>
      </c>
      <c r="BV245" s="491">
        <f t="shared" si="233"/>
        <v>0.63070428358325059</v>
      </c>
      <c r="BW245" s="726">
        <f t="shared" si="169"/>
        <v>14.219159700021399</v>
      </c>
      <c r="BX245" s="475">
        <f t="shared" si="215"/>
        <v>11.084374357441249</v>
      </c>
      <c r="BY245" s="475">
        <f t="shared" si="216"/>
        <v>0</v>
      </c>
      <c r="BZ245" s="475">
        <f t="shared" si="170"/>
        <v>11.084374357441249</v>
      </c>
      <c r="CA245" s="475">
        <f t="shared" si="171"/>
        <v>0</v>
      </c>
      <c r="CB245" s="475">
        <f t="shared" si="172"/>
        <v>0</v>
      </c>
      <c r="CC245" s="475">
        <f t="shared" si="173"/>
        <v>0</v>
      </c>
      <c r="CD245" s="475">
        <f t="shared" si="174"/>
        <v>0</v>
      </c>
      <c r="CE245" s="621">
        <f t="shared" si="175"/>
        <v>0</v>
      </c>
      <c r="CF245" s="621">
        <f t="shared" si="176"/>
        <v>0</v>
      </c>
      <c r="CG245" s="621">
        <f t="shared" si="177"/>
        <v>0</v>
      </c>
      <c r="CH245" s="573">
        <f t="shared" si="178"/>
        <v>0</v>
      </c>
      <c r="CI245" s="621">
        <f t="shared" si="179"/>
        <v>0</v>
      </c>
      <c r="CJ245" s="621">
        <f t="shared" si="180"/>
        <v>0</v>
      </c>
      <c r="CK245" s="621">
        <f t="shared" si="181"/>
        <v>0</v>
      </c>
      <c r="CL245" s="737">
        <f t="shared" si="182"/>
        <v>0</v>
      </c>
      <c r="CM245" s="738">
        <f t="shared" si="183"/>
        <v>0</v>
      </c>
      <c r="CN245" s="475">
        <f t="shared" si="184"/>
        <v>0.80200795585707252</v>
      </c>
      <c r="CO245" s="475">
        <f t="shared" si="185"/>
        <v>0.69000486699859687</v>
      </c>
      <c r="CP245" s="475">
        <f t="shared" si="186"/>
        <v>27.75</v>
      </c>
      <c r="CQ245" s="475">
        <f t="shared" si="187"/>
        <v>27.75</v>
      </c>
      <c r="CR245" s="475">
        <f t="shared" si="188"/>
        <v>0</v>
      </c>
      <c r="CS245" s="475">
        <f t="shared" si="189"/>
        <v>11.084374357441249</v>
      </c>
      <c r="CT245" s="475">
        <f t="shared" si="190"/>
        <v>0</v>
      </c>
      <c r="CU245" s="475">
        <f t="shared" si="191"/>
        <v>22</v>
      </c>
      <c r="CV245" s="475">
        <f t="shared" si="192"/>
        <v>22</v>
      </c>
      <c r="CW245" s="475">
        <f t="shared" si="209"/>
        <v>0</v>
      </c>
      <c r="CX245" s="573">
        <f t="shared" si="217"/>
        <v>0</v>
      </c>
      <c r="CY245" s="475">
        <f t="shared" si="219"/>
        <v>22</v>
      </c>
      <c r="CZ245" s="475">
        <f t="shared" si="218"/>
        <v>22</v>
      </c>
      <c r="DA245" s="475">
        <v>31</v>
      </c>
      <c r="DB245" s="475"/>
      <c r="DC245" s="410"/>
    </row>
    <row r="246" spans="1:107" s="619" customFormat="1" ht="12" hidden="1" customHeight="1" outlineLevel="1">
      <c r="A246" s="752">
        <v>32</v>
      </c>
      <c r="B246" s="573">
        <v>0</v>
      </c>
      <c r="C246" s="475">
        <v>0</v>
      </c>
      <c r="D246" s="741">
        <v>0</v>
      </c>
      <c r="E246" s="491">
        <f t="shared" si="220"/>
        <v>0</v>
      </c>
      <c r="F246" s="438">
        <f t="shared" si="133"/>
        <v>1</v>
      </c>
      <c r="G246" s="438"/>
      <c r="H246" s="475">
        <f t="shared" si="134"/>
        <v>-10</v>
      </c>
      <c r="I246" s="473">
        <f t="shared" si="135"/>
        <v>28.1</v>
      </c>
      <c r="J246" s="473">
        <f t="shared" si="136"/>
        <v>28.1</v>
      </c>
      <c r="K246" s="491">
        <f t="shared" si="137"/>
        <v>0.6499999999999998</v>
      </c>
      <c r="L246" s="473">
        <f t="shared" si="193"/>
        <v>28.1</v>
      </c>
      <c r="M246" s="473">
        <f t="shared" si="138"/>
        <v>0</v>
      </c>
      <c r="N246" s="473">
        <f t="shared" si="234"/>
        <v>28.268600000000003</v>
      </c>
      <c r="O246" s="473">
        <f t="shared" si="235"/>
        <v>28.268600000000003</v>
      </c>
      <c r="P246" s="734">
        <f t="shared" si="236"/>
        <v>0</v>
      </c>
      <c r="Q246" s="473">
        <f t="shared" si="211"/>
        <v>28.1</v>
      </c>
      <c r="R246" s="475">
        <f t="shared" si="212"/>
        <v>0</v>
      </c>
      <c r="S246" s="473">
        <f t="shared" si="213"/>
        <v>28.268600000000003</v>
      </c>
      <c r="T246" s="473">
        <f t="shared" si="139"/>
        <v>28.1</v>
      </c>
      <c r="U246" s="473">
        <f t="shared" si="140"/>
        <v>28.1</v>
      </c>
      <c r="V246" s="491">
        <f t="shared" si="141"/>
        <v>0</v>
      </c>
      <c r="W246" s="475">
        <f t="shared" si="194"/>
        <v>28.1</v>
      </c>
      <c r="X246" s="475">
        <f t="shared" si="195"/>
        <v>0</v>
      </c>
      <c r="Y246" s="735">
        <f t="shared" si="221"/>
        <v>28.268600000000003</v>
      </c>
      <c r="Z246" s="475">
        <f t="shared" si="196"/>
        <v>9</v>
      </c>
      <c r="AA246" s="475">
        <f>IF($F$36=$D$36,MIN(AbsFeuchte(Z246,100%,$N$19),R246),MIN(AbsFeuchte(Z246,100%,$N$19),X246))</f>
        <v>0</v>
      </c>
      <c r="AB246" s="735">
        <f t="shared" si="222"/>
        <v>9.0540000000000003</v>
      </c>
      <c r="AC246" s="475">
        <f t="shared" si="197"/>
        <v>9</v>
      </c>
      <c r="AD246" s="475">
        <v>0</v>
      </c>
      <c r="AE246" s="735">
        <f t="shared" si="223"/>
        <v>9.0540000000000003</v>
      </c>
      <c r="AF246" s="735">
        <f t="shared" si="198"/>
        <v>9</v>
      </c>
      <c r="AG246" s="735">
        <f t="shared" si="145"/>
        <v>9.9999999999999992E+22</v>
      </c>
      <c r="AH246" s="475">
        <f t="shared" si="146"/>
        <v>28.1</v>
      </c>
      <c r="AI246" s="475">
        <f t="shared" si="199"/>
        <v>0.22048838427917941</v>
      </c>
      <c r="AJ246" s="735">
        <f t="shared" si="224"/>
        <v>28.831697788005535</v>
      </c>
      <c r="AK246" s="475">
        <f t="shared" si="148"/>
        <v>22</v>
      </c>
      <c r="AL246" s="475">
        <f t="shared" si="200"/>
        <v>1.3E-22</v>
      </c>
      <c r="AM246" s="735">
        <f t="shared" si="225"/>
        <v>22.132000000000001</v>
      </c>
      <c r="AN246" s="475">
        <f t="shared" si="214"/>
        <v>22.557252611130718</v>
      </c>
      <c r="AO246" s="475">
        <f t="shared" si="150"/>
        <v>0</v>
      </c>
      <c r="AP246" s="735">
        <f t="shared" si="201"/>
        <v>22.6925961267975</v>
      </c>
      <c r="AQ246" s="475" t="e">
        <f t="shared" ca="1" si="226"/>
        <v>#NAME?</v>
      </c>
      <c r="AR246" s="475">
        <f t="shared" si="202"/>
        <v>0.22048838427917941</v>
      </c>
      <c r="AS246" s="735" t="e">
        <f t="shared" ca="1" si="227"/>
        <v>#VALUE!</v>
      </c>
      <c r="AT246" s="475">
        <f t="shared" si="203"/>
        <v>22</v>
      </c>
      <c r="AU246" s="475">
        <f t="shared" si="153"/>
        <v>0</v>
      </c>
      <c r="AV246" s="735">
        <f t="shared" si="228"/>
        <v>22.132000000000001</v>
      </c>
      <c r="AW246" s="529">
        <f t="shared" si="155"/>
        <v>4</v>
      </c>
      <c r="AX246" s="735">
        <f t="shared" si="204"/>
        <v>1</v>
      </c>
      <c r="AY246" s="735">
        <f t="shared" si="156"/>
        <v>0</v>
      </c>
      <c r="AZ246" s="735">
        <f t="shared" si="205"/>
        <v>1</v>
      </c>
      <c r="BA246" s="735">
        <f t="shared" si="206"/>
        <v>0</v>
      </c>
      <c r="BB246" s="735">
        <f>IF($F$36=$D$36,IF(AW246=1,Fall1Tzul(AX246,AY246,BJ246,Q246),0),IF(AW246=1,Fall1Tzul(AX246,AY246,BJ246,W246),0))</f>
        <v>0</v>
      </c>
      <c r="BC246" s="735">
        <f>IF($F$36=$D$36,IF(AW246=1,Fall1xzul(AX246,AY246,BL246,R246),0),IF(AW246=1,Fall1xzul(AX246,AY246,BL246,X246),0))</f>
        <v>0</v>
      </c>
      <c r="BD246" s="735">
        <f>IF($F$36=$D$36,IF(AW246=2,Fall2Tzul(AX246, AZ246, BJ246,Q246, Z246),0),IF(AW246=2,Fall2Tzul(AX246, AZ246, BJ246,W246, Z246),0))</f>
        <v>0</v>
      </c>
      <c r="BE246" s="735">
        <f>IF($F$36=$D$36,IF(AW246=2,Fall2xzul(AX246,AZ246,BL246,R246,AA246),0),IF(AW246=2,Fall2xzul(AX246,AZ246,BL246,X246,AA246),0))</f>
        <v>0</v>
      </c>
      <c r="BF246" s="735">
        <f t="shared" si="157"/>
        <v>0</v>
      </c>
      <c r="BG246" s="735">
        <f t="shared" si="158"/>
        <v>0</v>
      </c>
      <c r="BH246" s="735">
        <f t="shared" si="159"/>
        <v>22</v>
      </c>
      <c r="BI246" s="735">
        <f t="shared" si="160"/>
        <v>1.3E-22</v>
      </c>
      <c r="BJ246" s="473">
        <f t="shared" si="161"/>
        <v>22</v>
      </c>
      <c r="BK246" s="491">
        <f t="shared" si="229"/>
        <v>1.2716069586535643E-2</v>
      </c>
      <c r="BL246" s="475">
        <f>AbsFeuchte(BJ246,BK246,$N$19)</f>
        <v>0.22048838427917941</v>
      </c>
      <c r="BM246" s="735">
        <f t="shared" si="230"/>
        <v>22.6925961267975</v>
      </c>
      <c r="BN246" s="473">
        <f t="shared" si="207"/>
        <v>22</v>
      </c>
      <c r="BO246" s="491">
        <f t="shared" si="231"/>
        <v>7.5000551321981338E-24</v>
      </c>
      <c r="BP246" s="475">
        <f t="shared" si="208"/>
        <v>1.3E-22</v>
      </c>
      <c r="BQ246" s="735">
        <f t="shared" si="232"/>
        <v>22.132000000000001</v>
      </c>
      <c r="BR246" s="473">
        <f t="shared" si="166"/>
        <v>26</v>
      </c>
      <c r="BS246" s="491">
        <f t="shared" si="167"/>
        <v>0.01</v>
      </c>
      <c r="BT246" s="475">
        <f>AbsFeuchte(BR246,BS246,$N$19)</f>
        <v>0.22048838427917941</v>
      </c>
      <c r="BU246" s="576">
        <f>IF($J$21=0,IF(E$13=$S$10,BR246+$N$18,BR246),IF(E$13=$S$10,BR246+$N$18+#REF!,BR246+$J$21))</f>
        <v>26</v>
      </c>
      <c r="BV246" s="491">
        <f t="shared" si="233"/>
        <v>0.01</v>
      </c>
      <c r="BW246" s="726">
        <f t="shared" si="169"/>
        <v>0.22048838427917941</v>
      </c>
      <c r="BX246" s="475">
        <f t="shared" si="215"/>
        <v>6.1366000000000014</v>
      </c>
      <c r="BY246" s="475">
        <f t="shared" si="216"/>
        <v>0</v>
      </c>
      <c r="BZ246" s="475">
        <f t="shared" si="170"/>
        <v>6.1366000000000014</v>
      </c>
      <c r="CA246" s="475">
        <f t="shared" si="171"/>
        <v>0</v>
      </c>
      <c r="CB246" s="475">
        <f t="shared" si="172"/>
        <v>0</v>
      </c>
      <c r="CC246" s="475">
        <f t="shared" si="173"/>
        <v>0</v>
      </c>
      <c r="CD246" s="475">
        <f t="shared" si="174"/>
        <v>0</v>
      </c>
      <c r="CE246" s="621">
        <f t="shared" si="175"/>
        <v>0</v>
      </c>
      <c r="CF246" s="621">
        <f t="shared" si="176"/>
        <v>0</v>
      </c>
      <c r="CG246" s="621">
        <f t="shared" si="177"/>
        <v>0</v>
      </c>
      <c r="CH246" s="573">
        <f t="shared" si="178"/>
        <v>0</v>
      </c>
      <c r="CI246" s="621">
        <f t="shared" si="179"/>
        <v>0</v>
      </c>
      <c r="CJ246" s="621">
        <f t="shared" si="180"/>
        <v>0</v>
      </c>
      <c r="CK246" s="621">
        <f t="shared" si="181"/>
        <v>0</v>
      </c>
      <c r="CL246" s="737">
        <f t="shared" si="182"/>
        <v>0</v>
      </c>
      <c r="CM246" s="738">
        <f t="shared" si="183"/>
        <v>0</v>
      </c>
      <c r="CN246" s="475">
        <f t="shared" si="184"/>
        <v>222</v>
      </c>
      <c r="CO246" s="475">
        <f t="shared" si="185"/>
        <v>222</v>
      </c>
      <c r="CP246" s="475">
        <f t="shared" si="186"/>
        <v>222</v>
      </c>
      <c r="CQ246" s="475">
        <f t="shared" si="187"/>
        <v>-222</v>
      </c>
      <c r="CR246" s="475">
        <f t="shared" si="188"/>
        <v>-222</v>
      </c>
      <c r="CS246" s="475">
        <f t="shared" si="189"/>
        <v>-222</v>
      </c>
      <c r="CT246" s="475">
        <f t="shared" si="190"/>
        <v>0</v>
      </c>
      <c r="CU246" s="475">
        <f t="shared" si="191"/>
        <v>222</v>
      </c>
      <c r="CV246" s="475">
        <f t="shared" si="192"/>
        <v>-222</v>
      </c>
      <c r="CW246" s="475">
        <f t="shared" si="209"/>
        <v>0</v>
      </c>
      <c r="CX246" s="573">
        <f t="shared" si="217"/>
        <v>0</v>
      </c>
      <c r="CY246" s="475">
        <f t="shared" si="219"/>
        <v>22</v>
      </c>
      <c r="CZ246" s="475">
        <f t="shared" si="218"/>
        <v>22</v>
      </c>
      <c r="DA246" s="475">
        <v>32</v>
      </c>
      <c r="DB246" s="475"/>
      <c r="DC246" s="410"/>
    </row>
    <row r="247" spans="1:107" s="619" customFormat="1" ht="12" hidden="1" customHeight="1" outlineLevel="1">
      <c r="A247" s="752">
        <v>33</v>
      </c>
      <c r="B247" s="573">
        <v>0</v>
      </c>
      <c r="C247" s="475">
        <v>0</v>
      </c>
      <c r="D247" s="741">
        <v>0</v>
      </c>
      <c r="E247" s="491">
        <f t="shared" si="220"/>
        <v>0</v>
      </c>
      <c r="F247" s="438">
        <f t="shared" si="133"/>
        <v>1</v>
      </c>
      <c r="G247" s="438"/>
      <c r="H247" s="475">
        <f t="shared" si="134"/>
        <v>-11</v>
      </c>
      <c r="I247" s="473">
        <f t="shared" si="135"/>
        <v>28.45</v>
      </c>
      <c r="J247" s="473">
        <f t="shared" si="136"/>
        <v>28.45</v>
      </c>
      <c r="K247" s="491">
        <f t="shared" si="137"/>
        <v>0.65000000000000013</v>
      </c>
      <c r="L247" s="473">
        <f t="shared" si="193"/>
        <v>28.45</v>
      </c>
      <c r="M247" s="473">
        <f t="shared" si="138"/>
        <v>0</v>
      </c>
      <c r="N247" s="473">
        <f t="shared" si="234"/>
        <v>28.620699999999999</v>
      </c>
      <c r="O247" s="473">
        <f t="shared" si="235"/>
        <v>28.620699999999999</v>
      </c>
      <c r="P247" s="734">
        <f t="shared" si="236"/>
        <v>0</v>
      </c>
      <c r="Q247" s="473">
        <f t="shared" si="211"/>
        <v>28.45</v>
      </c>
      <c r="R247" s="475">
        <f t="shared" si="212"/>
        <v>0</v>
      </c>
      <c r="S247" s="473">
        <f t="shared" si="213"/>
        <v>28.620699999999999</v>
      </c>
      <c r="T247" s="473">
        <f t="shared" si="139"/>
        <v>28.45</v>
      </c>
      <c r="U247" s="473">
        <f t="shared" si="140"/>
        <v>28.45</v>
      </c>
      <c r="V247" s="491">
        <f t="shared" si="141"/>
        <v>0</v>
      </c>
      <c r="W247" s="475">
        <f t="shared" si="194"/>
        <v>28.45</v>
      </c>
      <c r="X247" s="475">
        <f t="shared" si="195"/>
        <v>0</v>
      </c>
      <c r="Y247" s="735">
        <f t="shared" si="221"/>
        <v>28.620699999999999</v>
      </c>
      <c r="Z247" s="475">
        <f t="shared" si="196"/>
        <v>9</v>
      </c>
      <c r="AA247" s="475">
        <f>IF($F$36=$D$36,MIN(AbsFeuchte(Z247,100%,$N$19),R247),MIN(AbsFeuchte(Z247,100%,$N$19),X247))</f>
        <v>0</v>
      </c>
      <c r="AB247" s="735">
        <f t="shared" si="222"/>
        <v>9.0540000000000003</v>
      </c>
      <c r="AC247" s="475">
        <f t="shared" si="197"/>
        <v>9</v>
      </c>
      <c r="AD247" s="475">
        <v>0</v>
      </c>
      <c r="AE247" s="735">
        <f t="shared" si="223"/>
        <v>9.0540000000000003</v>
      </c>
      <c r="AF247" s="735">
        <f t="shared" si="198"/>
        <v>9</v>
      </c>
      <c r="AG247" s="735">
        <f t="shared" si="145"/>
        <v>9.9999999999999992E+22</v>
      </c>
      <c r="AH247" s="475">
        <f t="shared" si="146"/>
        <v>28.45</v>
      </c>
      <c r="AI247" s="475">
        <f t="shared" si="199"/>
        <v>0.22048838427917941</v>
      </c>
      <c r="AJ247" s="735">
        <f t="shared" si="224"/>
        <v>29.183941325943696</v>
      </c>
      <c r="AK247" s="475">
        <f t="shared" si="148"/>
        <v>22</v>
      </c>
      <c r="AL247" s="475">
        <f t="shared" si="200"/>
        <v>1.3E-22</v>
      </c>
      <c r="AM247" s="735">
        <f t="shared" si="225"/>
        <v>22.132000000000001</v>
      </c>
      <c r="AN247" s="475">
        <f t="shared" si="214"/>
        <v>22.557252611130718</v>
      </c>
      <c r="AO247" s="475">
        <f t="shared" si="150"/>
        <v>0</v>
      </c>
      <c r="AP247" s="735">
        <f t="shared" si="201"/>
        <v>22.6925961267975</v>
      </c>
      <c r="AQ247" s="475" t="e">
        <f t="shared" ca="1" si="226"/>
        <v>#NAME?</v>
      </c>
      <c r="AR247" s="475">
        <f t="shared" si="202"/>
        <v>0.22048838427917941</v>
      </c>
      <c r="AS247" s="735" t="e">
        <f t="shared" ca="1" si="227"/>
        <v>#VALUE!</v>
      </c>
      <c r="AT247" s="475">
        <f t="shared" si="203"/>
        <v>22</v>
      </c>
      <c r="AU247" s="475">
        <f t="shared" si="153"/>
        <v>0</v>
      </c>
      <c r="AV247" s="735">
        <f t="shared" si="228"/>
        <v>22.132000000000001</v>
      </c>
      <c r="AW247" s="529">
        <f t="shared" si="155"/>
        <v>4</v>
      </c>
      <c r="AX247" s="735">
        <f t="shared" si="204"/>
        <v>1</v>
      </c>
      <c r="AY247" s="735">
        <f t="shared" si="156"/>
        <v>0</v>
      </c>
      <c r="AZ247" s="735">
        <f t="shared" si="205"/>
        <v>1</v>
      </c>
      <c r="BA247" s="735">
        <f t="shared" si="206"/>
        <v>0</v>
      </c>
      <c r="BB247" s="735">
        <f>IF($F$36=$D$36,IF(AW247=1,Fall1Tzul(AX247,AY247,BJ247,Q247),0),IF(AW247=1,Fall1Tzul(AX247,AY247,BJ247,W247),0))</f>
        <v>0</v>
      </c>
      <c r="BC247" s="735">
        <f>IF($F$36=$D$36,IF(AW247=1,Fall1xzul(AX247,AY247,BL247,R247),0),IF(AW247=1,Fall1xzul(AX247,AY247,BL247,X247),0))</f>
        <v>0</v>
      </c>
      <c r="BD247" s="735">
        <f>IF($F$36=$D$36,IF(AW247=2,Fall2Tzul(AX247, AZ247, BJ247,Q247, Z247),0),IF(AW247=2,Fall2Tzul(AX247, AZ247, BJ247,W247, Z247),0))</f>
        <v>0</v>
      </c>
      <c r="BE247" s="735">
        <f>IF($F$36=$D$36,IF(AW247=2,Fall2xzul(AX247,AZ247,BL247,R247,AA247),0),IF(AW247=2,Fall2xzul(AX247,AZ247,BL247,X247,AA247),0))</f>
        <v>0</v>
      </c>
      <c r="BF247" s="735">
        <f t="shared" si="157"/>
        <v>0</v>
      </c>
      <c r="BG247" s="735">
        <f t="shared" si="158"/>
        <v>0</v>
      </c>
      <c r="BH247" s="735">
        <f t="shared" si="159"/>
        <v>22</v>
      </c>
      <c r="BI247" s="735">
        <f t="shared" si="160"/>
        <v>1.3E-22</v>
      </c>
      <c r="BJ247" s="473">
        <f t="shared" si="161"/>
        <v>22</v>
      </c>
      <c r="BK247" s="491">
        <f t="shared" si="229"/>
        <v>1.2716069586535643E-2</v>
      </c>
      <c r="BL247" s="475">
        <f>AbsFeuchte(BJ247,BK247,$N$19)</f>
        <v>0.22048838427917941</v>
      </c>
      <c r="BM247" s="735">
        <f t="shared" si="230"/>
        <v>22.6925961267975</v>
      </c>
      <c r="BN247" s="473">
        <f t="shared" si="207"/>
        <v>22</v>
      </c>
      <c r="BO247" s="491">
        <f t="shared" si="231"/>
        <v>7.5000551321981338E-24</v>
      </c>
      <c r="BP247" s="475">
        <f t="shared" si="208"/>
        <v>1.3E-22</v>
      </c>
      <c r="BQ247" s="735">
        <f t="shared" si="232"/>
        <v>22.132000000000001</v>
      </c>
      <c r="BR247" s="473">
        <f t="shared" si="166"/>
        <v>26</v>
      </c>
      <c r="BS247" s="491">
        <f t="shared" si="167"/>
        <v>0.01</v>
      </c>
      <c r="BT247" s="475">
        <f>AbsFeuchte(BR247,BS247,$N$19)</f>
        <v>0.22048838427917941</v>
      </c>
      <c r="BU247" s="576">
        <f>IF($J$21=0,IF(E$13=$S$10,BR247+$N$18,BR247),IF(E$13=$S$10,BR247+$N$18+#REF!,BR247+$J$21))</f>
        <v>26</v>
      </c>
      <c r="BV247" s="491">
        <f t="shared" si="233"/>
        <v>0.01</v>
      </c>
      <c r="BW247" s="726">
        <f t="shared" si="169"/>
        <v>0.22048838427917941</v>
      </c>
      <c r="BX247" s="475">
        <f t="shared" si="215"/>
        <v>6.4886999999999979</v>
      </c>
      <c r="BY247" s="475">
        <f t="shared" si="216"/>
        <v>0</v>
      </c>
      <c r="BZ247" s="475">
        <f t="shared" si="170"/>
        <v>6.4886999999999979</v>
      </c>
      <c r="CA247" s="475">
        <f t="shared" si="171"/>
        <v>0</v>
      </c>
      <c r="CB247" s="475">
        <f t="shared" si="172"/>
        <v>0</v>
      </c>
      <c r="CC247" s="475">
        <f t="shared" si="173"/>
        <v>0</v>
      </c>
      <c r="CD247" s="475">
        <f t="shared" si="174"/>
        <v>0</v>
      </c>
      <c r="CE247" s="621">
        <f t="shared" si="175"/>
        <v>0</v>
      </c>
      <c r="CF247" s="621">
        <f t="shared" si="176"/>
        <v>0</v>
      </c>
      <c r="CG247" s="621">
        <f t="shared" si="177"/>
        <v>0</v>
      </c>
      <c r="CH247" s="573">
        <f t="shared" si="178"/>
        <v>0</v>
      </c>
      <c r="CI247" s="621">
        <f t="shared" si="179"/>
        <v>0</v>
      </c>
      <c r="CJ247" s="621">
        <f t="shared" si="180"/>
        <v>0</v>
      </c>
      <c r="CK247" s="621">
        <f t="shared" si="181"/>
        <v>0</v>
      </c>
      <c r="CL247" s="737">
        <f t="shared" si="182"/>
        <v>0</v>
      </c>
      <c r="CM247" s="738">
        <f t="shared" si="183"/>
        <v>0</v>
      </c>
      <c r="CN247" s="475">
        <f t="shared" si="184"/>
        <v>222</v>
      </c>
      <c r="CO247" s="475">
        <f t="shared" si="185"/>
        <v>222</v>
      </c>
      <c r="CP247" s="475">
        <f t="shared" si="186"/>
        <v>222</v>
      </c>
      <c r="CQ247" s="475">
        <f t="shared" si="187"/>
        <v>-222</v>
      </c>
      <c r="CR247" s="475">
        <f t="shared" si="188"/>
        <v>-222</v>
      </c>
      <c r="CS247" s="475">
        <f t="shared" si="189"/>
        <v>-222</v>
      </c>
      <c r="CT247" s="475">
        <f t="shared" si="190"/>
        <v>0</v>
      </c>
      <c r="CU247" s="475">
        <f t="shared" si="191"/>
        <v>222</v>
      </c>
      <c r="CV247" s="475">
        <f t="shared" si="192"/>
        <v>-222</v>
      </c>
      <c r="CW247" s="475">
        <f t="shared" si="209"/>
        <v>0</v>
      </c>
      <c r="CX247" s="573">
        <f t="shared" si="217"/>
        <v>0</v>
      </c>
      <c r="CY247" s="475">
        <f t="shared" si="219"/>
        <v>22</v>
      </c>
      <c r="CZ247" s="475">
        <f t="shared" si="218"/>
        <v>22</v>
      </c>
      <c r="DA247" s="475">
        <v>33</v>
      </c>
      <c r="DB247" s="475"/>
      <c r="DC247" s="410"/>
    </row>
    <row r="248" spans="1:107" s="619" customFormat="1" ht="12" hidden="1" customHeight="1" outlineLevel="1">
      <c r="A248" s="752">
        <v>34</v>
      </c>
      <c r="B248" s="573">
        <v>0</v>
      </c>
      <c r="C248" s="475">
        <v>0</v>
      </c>
      <c r="D248" s="741">
        <v>0</v>
      </c>
      <c r="E248" s="491">
        <f t="shared" si="220"/>
        <v>0</v>
      </c>
      <c r="F248" s="438">
        <f t="shared" si="133"/>
        <v>1</v>
      </c>
      <c r="G248" s="438"/>
      <c r="H248" s="475">
        <f t="shared" si="134"/>
        <v>-12</v>
      </c>
      <c r="I248" s="473">
        <f t="shared" si="135"/>
        <v>28.8</v>
      </c>
      <c r="J248" s="473">
        <f t="shared" si="136"/>
        <v>28.8</v>
      </c>
      <c r="K248" s="491">
        <f t="shared" si="137"/>
        <v>0.64999999999999991</v>
      </c>
      <c r="L248" s="473">
        <f t="shared" si="193"/>
        <v>28.8</v>
      </c>
      <c r="M248" s="473">
        <f t="shared" si="138"/>
        <v>0</v>
      </c>
      <c r="N248" s="473">
        <f t="shared" si="234"/>
        <v>28.972799999999999</v>
      </c>
      <c r="O248" s="473">
        <f t="shared" si="235"/>
        <v>28.972799999999999</v>
      </c>
      <c r="P248" s="734">
        <f t="shared" si="236"/>
        <v>0</v>
      </c>
      <c r="Q248" s="473">
        <f t="shared" si="211"/>
        <v>28.8</v>
      </c>
      <c r="R248" s="475">
        <f t="shared" si="212"/>
        <v>0</v>
      </c>
      <c r="S248" s="473">
        <f t="shared" si="213"/>
        <v>28.972799999999999</v>
      </c>
      <c r="T248" s="473">
        <f t="shared" si="139"/>
        <v>28.8</v>
      </c>
      <c r="U248" s="473">
        <f t="shared" si="140"/>
        <v>28.8</v>
      </c>
      <c r="V248" s="491">
        <f t="shared" si="141"/>
        <v>0</v>
      </c>
      <c r="W248" s="475">
        <f t="shared" si="194"/>
        <v>28.8</v>
      </c>
      <c r="X248" s="475">
        <f t="shared" si="195"/>
        <v>0</v>
      </c>
      <c r="Y248" s="735">
        <f t="shared" si="221"/>
        <v>28.972799999999999</v>
      </c>
      <c r="Z248" s="475">
        <f t="shared" si="196"/>
        <v>9</v>
      </c>
      <c r="AA248" s="475">
        <f>IF($F$36=$D$36,MIN(AbsFeuchte(Z248,100%,$N$19),R248),MIN(AbsFeuchte(Z248,100%,$N$19),X248))</f>
        <v>0</v>
      </c>
      <c r="AB248" s="735">
        <f t="shared" si="222"/>
        <v>9.0540000000000003</v>
      </c>
      <c r="AC248" s="475">
        <f t="shared" si="197"/>
        <v>9</v>
      </c>
      <c r="AD248" s="475">
        <v>0</v>
      </c>
      <c r="AE248" s="735">
        <f t="shared" si="223"/>
        <v>9.0540000000000003</v>
      </c>
      <c r="AF248" s="735">
        <f t="shared" si="198"/>
        <v>9</v>
      </c>
      <c r="AG248" s="735">
        <f t="shared" si="145"/>
        <v>9.9999999999999992E+22</v>
      </c>
      <c r="AH248" s="475">
        <f t="shared" si="146"/>
        <v>28.8</v>
      </c>
      <c r="AI248" s="475">
        <f t="shared" si="199"/>
        <v>0.22048838427917941</v>
      </c>
      <c r="AJ248" s="735">
        <f t="shared" si="224"/>
        <v>29.536184863881861</v>
      </c>
      <c r="AK248" s="475">
        <f t="shared" si="148"/>
        <v>22</v>
      </c>
      <c r="AL248" s="475">
        <f t="shared" si="200"/>
        <v>1.3E-22</v>
      </c>
      <c r="AM248" s="735">
        <f t="shared" si="225"/>
        <v>22.132000000000001</v>
      </c>
      <c r="AN248" s="475">
        <f t="shared" si="214"/>
        <v>22.557252611130718</v>
      </c>
      <c r="AO248" s="475">
        <f t="shared" si="150"/>
        <v>0</v>
      </c>
      <c r="AP248" s="735">
        <f t="shared" si="201"/>
        <v>22.6925961267975</v>
      </c>
      <c r="AQ248" s="475" t="e">
        <f t="shared" ca="1" si="226"/>
        <v>#NAME?</v>
      </c>
      <c r="AR248" s="475">
        <f t="shared" si="202"/>
        <v>0.22048838427917941</v>
      </c>
      <c r="AS248" s="735" t="e">
        <f t="shared" ca="1" si="227"/>
        <v>#VALUE!</v>
      </c>
      <c r="AT248" s="475">
        <f t="shared" si="203"/>
        <v>22</v>
      </c>
      <c r="AU248" s="475">
        <f t="shared" si="153"/>
        <v>0</v>
      </c>
      <c r="AV248" s="735">
        <f t="shared" si="228"/>
        <v>22.132000000000001</v>
      </c>
      <c r="AW248" s="529">
        <f t="shared" si="155"/>
        <v>4</v>
      </c>
      <c r="AX248" s="735">
        <f t="shared" si="204"/>
        <v>1</v>
      </c>
      <c r="AY248" s="735">
        <f t="shared" si="156"/>
        <v>0</v>
      </c>
      <c r="AZ248" s="735">
        <f t="shared" si="205"/>
        <v>1</v>
      </c>
      <c r="BA248" s="735">
        <f t="shared" si="206"/>
        <v>0</v>
      </c>
      <c r="BB248" s="735">
        <f>IF($F$36=$D$36,IF(AW248=1,Fall1Tzul(AX248,AY248,BJ248,Q248),0),IF(AW248=1,Fall1Tzul(AX248,AY248,BJ248,W248),0))</f>
        <v>0</v>
      </c>
      <c r="BC248" s="735">
        <f>IF($F$36=$D$36,IF(AW248=1,Fall1xzul(AX248,AY248,BL248,R248),0),IF(AW248=1,Fall1xzul(AX248,AY248,BL248,X248),0))</f>
        <v>0</v>
      </c>
      <c r="BD248" s="735">
        <f>IF($F$36=$D$36,IF(AW248=2,Fall2Tzul(AX248, AZ248, BJ248,Q248, Z248),0),IF(AW248=2,Fall2Tzul(AX248, AZ248, BJ248,W248, Z248),0))</f>
        <v>0</v>
      </c>
      <c r="BE248" s="735">
        <f>IF($F$36=$D$36,IF(AW248=2,Fall2xzul(AX248,AZ248,BL248,R248,AA248),0),IF(AW248=2,Fall2xzul(AX248,AZ248,BL248,X248,AA248),0))</f>
        <v>0</v>
      </c>
      <c r="BF248" s="735">
        <f t="shared" si="157"/>
        <v>0</v>
      </c>
      <c r="BG248" s="735">
        <f t="shared" si="158"/>
        <v>0</v>
      </c>
      <c r="BH248" s="735">
        <f t="shared" si="159"/>
        <v>22</v>
      </c>
      <c r="BI248" s="735">
        <f t="shared" si="160"/>
        <v>1.3E-22</v>
      </c>
      <c r="BJ248" s="473">
        <f t="shared" si="161"/>
        <v>22</v>
      </c>
      <c r="BK248" s="491">
        <f t="shared" si="229"/>
        <v>1.2716069586535643E-2</v>
      </c>
      <c r="BL248" s="475">
        <f>AbsFeuchte(BJ248,BK248,$N$19)</f>
        <v>0.22048838427917941</v>
      </c>
      <c r="BM248" s="735">
        <f t="shared" si="230"/>
        <v>22.6925961267975</v>
      </c>
      <c r="BN248" s="473">
        <f t="shared" si="207"/>
        <v>22</v>
      </c>
      <c r="BO248" s="491">
        <f t="shared" si="231"/>
        <v>7.5000551321981338E-24</v>
      </c>
      <c r="BP248" s="475">
        <f t="shared" si="208"/>
        <v>1.3E-22</v>
      </c>
      <c r="BQ248" s="735">
        <f t="shared" si="232"/>
        <v>22.132000000000001</v>
      </c>
      <c r="BR248" s="473">
        <f t="shared" si="166"/>
        <v>26</v>
      </c>
      <c r="BS248" s="491">
        <f t="shared" si="167"/>
        <v>0.01</v>
      </c>
      <c r="BT248" s="475">
        <f>AbsFeuchte(BR248,BS248,$N$19)</f>
        <v>0.22048838427917941</v>
      </c>
      <c r="BU248" s="576">
        <f>IF($J$21=0,IF(E$13=$S$10,BR248+$N$18,BR248),IF(E$13=$S$10,BR248+$N$18+#REF!,BR248+$J$21))</f>
        <v>26</v>
      </c>
      <c r="BV248" s="491">
        <f t="shared" si="233"/>
        <v>0.01</v>
      </c>
      <c r="BW248" s="726">
        <f t="shared" si="169"/>
        <v>0.22048838427917941</v>
      </c>
      <c r="BX248" s="475">
        <f t="shared" si="215"/>
        <v>6.840799999999998</v>
      </c>
      <c r="BY248" s="475">
        <f t="shared" si="216"/>
        <v>0</v>
      </c>
      <c r="BZ248" s="475">
        <f t="shared" si="170"/>
        <v>6.840799999999998</v>
      </c>
      <c r="CA248" s="475">
        <f t="shared" si="171"/>
        <v>0</v>
      </c>
      <c r="CB248" s="475">
        <f t="shared" si="172"/>
        <v>0</v>
      </c>
      <c r="CC248" s="475">
        <f t="shared" si="173"/>
        <v>0</v>
      </c>
      <c r="CD248" s="475">
        <f t="shared" si="174"/>
        <v>0</v>
      </c>
      <c r="CE248" s="621">
        <f t="shared" si="175"/>
        <v>0</v>
      </c>
      <c r="CF248" s="621">
        <f t="shared" si="176"/>
        <v>0</v>
      </c>
      <c r="CG248" s="621">
        <f t="shared" si="177"/>
        <v>0</v>
      </c>
      <c r="CH248" s="573">
        <f t="shared" si="178"/>
        <v>0</v>
      </c>
      <c r="CI248" s="621">
        <f t="shared" si="179"/>
        <v>0</v>
      </c>
      <c r="CJ248" s="621">
        <f t="shared" si="180"/>
        <v>0</v>
      </c>
      <c r="CK248" s="621">
        <f t="shared" si="181"/>
        <v>0</v>
      </c>
      <c r="CL248" s="737">
        <f t="shared" si="182"/>
        <v>0</v>
      </c>
      <c r="CM248" s="738">
        <f t="shared" si="183"/>
        <v>0</v>
      </c>
      <c r="CN248" s="475">
        <f t="shared" si="184"/>
        <v>222</v>
      </c>
      <c r="CO248" s="475">
        <f t="shared" si="185"/>
        <v>222</v>
      </c>
      <c r="CP248" s="475">
        <f t="shared" si="186"/>
        <v>222</v>
      </c>
      <c r="CQ248" s="475">
        <f t="shared" si="187"/>
        <v>-222</v>
      </c>
      <c r="CR248" s="475">
        <f t="shared" si="188"/>
        <v>-222</v>
      </c>
      <c r="CS248" s="475">
        <f t="shared" si="189"/>
        <v>-222</v>
      </c>
      <c r="CT248" s="475">
        <f t="shared" si="190"/>
        <v>0</v>
      </c>
      <c r="CU248" s="475">
        <f t="shared" si="191"/>
        <v>222</v>
      </c>
      <c r="CV248" s="475">
        <f t="shared" si="192"/>
        <v>-222</v>
      </c>
      <c r="CW248" s="475">
        <f t="shared" si="209"/>
        <v>0</v>
      </c>
      <c r="CX248" s="573">
        <f t="shared" si="217"/>
        <v>0</v>
      </c>
      <c r="CY248" s="475">
        <f t="shared" si="219"/>
        <v>22</v>
      </c>
      <c r="CZ248" s="475">
        <f t="shared" si="218"/>
        <v>22</v>
      </c>
      <c r="DA248" s="475">
        <v>34</v>
      </c>
      <c r="DB248" s="475"/>
      <c r="DC248" s="410"/>
    </row>
    <row r="249" spans="1:107" s="619" customFormat="1" ht="12" hidden="1" customHeight="1" outlineLevel="1">
      <c r="A249" s="752">
        <v>35</v>
      </c>
      <c r="B249" s="573">
        <v>0</v>
      </c>
      <c r="C249" s="475">
        <v>0</v>
      </c>
      <c r="D249" s="741">
        <v>0</v>
      </c>
      <c r="E249" s="491">
        <f t="shared" si="220"/>
        <v>0</v>
      </c>
      <c r="F249" s="438">
        <f t="shared" si="133"/>
        <v>1</v>
      </c>
      <c r="G249" s="438"/>
      <c r="H249" s="475">
        <f t="shared" si="134"/>
        <v>-13</v>
      </c>
      <c r="I249" s="473">
        <f t="shared" si="135"/>
        <v>29.15</v>
      </c>
      <c r="J249" s="473">
        <f t="shared" si="136"/>
        <v>29.15</v>
      </c>
      <c r="K249" s="491">
        <f t="shared" si="137"/>
        <v>0.65000000000000013</v>
      </c>
      <c r="L249" s="473">
        <f t="shared" si="193"/>
        <v>29.15</v>
      </c>
      <c r="M249" s="473">
        <f t="shared" si="138"/>
        <v>0</v>
      </c>
      <c r="N249" s="473">
        <f t="shared" si="234"/>
        <v>29.3249</v>
      </c>
      <c r="O249" s="473">
        <f t="shared" si="235"/>
        <v>29.3249</v>
      </c>
      <c r="P249" s="734">
        <f t="shared" si="236"/>
        <v>0</v>
      </c>
      <c r="Q249" s="473">
        <f t="shared" si="211"/>
        <v>29.15</v>
      </c>
      <c r="R249" s="475">
        <f t="shared" si="212"/>
        <v>0</v>
      </c>
      <c r="S249" s="473">
        <f t="shared" si="213"/>
        <v>29.3249</v>
      </c>
      <c r="T249" s="473">
        <f t="shared" si="139"/>
        <v>29.15</v>
      </c>
      <c r="U249" s="473">
        <f t="shared" si="140"/>
        <v>29.15</v>
      </c>
      <c r="V249" s="491">
        <f t="shared" si="141"/>
        <v>0</v>
      </c>
      <c r="W249" s="475">
        <f t="shared" si="194"/>
        <v>29.15</v>
      </c>
      <c r="X249" s="475">
        <f t="shared" si="195"/>
        <v>0</v>
      </c>
      <c r="Y249" s="735">
        <f t="shared" si="221"/>
        <v>29.3249</v>
      </c>
      <c r="Z249" s="475">
        <f t="shared" si="196"/>
        <v>9</v>
      </c>
      <c r="AA249" s="475">
        <f>IF($F$36=$D$36,MIN(AbsFeuchte(Z249,100%,$N$19),R249),MIN(AbsFeuchte(Z249,100%,$N$19),X249))</f>
        <v>0</v>
      </c>
      <c r="AB249" s="735">
        <f t="shared" si="222"/>
        <v>9.0540000000000003</v>
      </c>
      <c r="AC249" s="475">
        <f t="shared" si="197"/>
        <v>9</v>
      </c>
      <c r="AD249" s="475">
        <v>0</v>
      </c>
      <c r="AE249" s="735">
        <f t="shared" si="223"/>
        <v>9.0540000000000003</v>
      </c>
      <c r="AF249" s="735">
        <f t="shared" si="198"/>
        <v>9</v>
      </c>
      <c r="AG249" s="735">
        <f t="shared" si="145"/>
        <v>9.9999999999999992E+22</v>
      </c>
      <c r="AH249" s="475">
        <f t="shared" si="146"/>
        <v>29.15</v>
      </c>
      <c r="AI249" s="475">
        <f t="shared" si="199"/>
        <v>0.22048838427917941</v>
      </c>
      <c r="AJ249" s="735">
        <f t="shared" si="224"/>
        <v>29.888428401820029</v>
      </c>
      <c r="AK249" s="475">
        <f t="shared" si="148"/>
        <v>22</v>
      </c>
      <c r="AL249" s="475">
        <f t="shared" si="200"/>
        <v>1.3E-22</v>
      </c>
      <c r="AM249" s="735">
        <f t="shared" si="225"/>
        <v>22.132000000000001</v>
      </c>
      <c r="AN249" s="475">
        <f t="shared" si="214"/>
        <v>22.557252611130718</v>
      </c>
      <c r="AO249" s="475">
        <f t="shared" si="150"/>
        <v>0</v>
      </c>
      <c r="AP249" s="735">
        <f t="shared" si="201"/>
        <v>22.6925961267975</v>
      </c>
      <c r="AQ249" s="475" t="e">
        <f t="shared" ca="1" si="226"/>
        <v>#NAME?</v>
      </c>
      <c r="AR249" s="475">
        <f t="shared" si="202"/>
        <v>0.22048838427917941</v>
      </c>
      <c r="AS249" s="735" t="e">
        <f t="shared" ca="1" si="227"/>
        <v>#VALUE!</v>
      </c>
      <c r="AT249" s="475">
        <f t="shared" si="203"/>
        <v>22</v>
      </c>
      <c r="AU249" s="475">
        <f t="shared" si="153"/>
        <v>0</v>
      </c>
      <c r="AV249" s="735">
        <f t="shared" si="228"/>
        <v>22.132000000000001</v>
      </c>
      <c r="AW249" s="529">
        <f t="shared" si="155"/>
        <v>4</v>
      </c>
      <c r="AX249" s="735">
        <f t="shared" si="204"/>
        <v>1</v>
      </c>
      <c r="AY249" s="735">
        <f t="shared" si="156"/>
        <v>0</v>
      </c>
      <c r="AZ249" s="735">
        <f t="shared" si="205"/>
        <v>1</v>
      </c>
      <c r="BA249" s="735">
        <f t="shared" si="206"/>
        <v>0</v>
      </c>
      <c r="BB249" s="735">
        <f>IF($F$36=$D$36,IF(AW249=1,Fall1Tzul(AX249,AY249,BJ249,Q249),0),IF(AW249=1,Fall1Tzul(AX249,AY249,BJ249,W249),0))</f>
        <v>0</v>
      </c>
      <c r="BC249" s="735">
        <f>IF($F$36=$D$36,IF(AW249=1,Fall1xzul(AX249,AY249,BL249,R249),0),IF(AW249=1,Fall1xzul(AX249,AY249,BL249,X249),0))</f>
        <v>0</v>
      </c>
      <c r="BD249" s="735">
        <f>IF($F$36=$D$36,IF(AW249=2,Fall2Tzul(AX249, AZ249, BJ249,Q249, Z249),0),IF(AW249=2,Fall2Tzul(AX249, AZ249, BJ249,W249, Z249),0))</f>
        <v>0</v>
      </c>
      <c r="BE249" s="735">
        <f>IF($F$36=$D$36,IF(AW249=2,Fall2xzul(AX249,AZ249,BL249,R249,AA249),0),IF(AW249=2,Fall2xzul(AX249,AZ249,BL249,X249,AA249),0))</f>
        <v>0</v>
      </c>
      <c r="BF249" s="735">
        <f t="shared" si="157"/>
        <v>0</v>
      </c>
      <c r="BG249" s="735">
        <f t="shared" si="158"/>
        <v>0</v>
      </c>
      <c r="BH249" s="735">
        <f t="shared" si="159"/>
        <v>22</v>
      </c>
      <c r="BI249" s="735">
        <f t="shared" si="160"/>
        <v>1.3E-22</v>
      </c>
      <c r="BJ249" s="473">
        <f t="shared" si="161"/>
        <v>22</v>
      </c>
      <c r="BK249" s="491">
        <f t="shared" si="229"/>
        <v>1.2716069586535643E-2</v>
      </c>
      <c r="BL249" s="475">
        <f>AbsFeuchte(BJ249,BK249,$N$19)</f>
        <v>0.22048838427917941</v>
      </c>
      <c r="BM249" s="735">
        <f t="shared" si="230"/>
        <v>22.6925961267975</v>
      </c>
      <c r="BN249" s="473">
        <f t="shared" si="207"/>
        <v>22</v>
      </c>
      <c r="BO249" s="491">
        <f t="shared" si="231"/>
        <v>7.5000551321981338E-24</v>
      </c>
      <c r="BP249" s="475">
        <f t="shared" si="208"/>
        <v>1.3E-22</v>
      </c>
      <c r="BQ249" s="735">
        <f t="shared" si="232"/>
        <v>22.132000000000001</v>
      </c>
      <c r="BR249" s="473">
        <f t="shared" si="166"/>
        <v>26</v>
      </c>
      <c r="BS249" s="491">
        <f t="shared" si="167"/>
        <v>0.01</v>
      </c>
      <c r="BT249" s="475">
        <f>AbsFeuchte(BR249,BS249,$N$19)</f>
        <v>0.22048838427917941</v>
      </c>
      <c r="BU249" s="576">
        <f>IF($J$21=0,IF(E$13=$S$10,BR249+$N$18,BR249),IF(E$13=$S$10,BR249+$N$18+#REF!,BR249+$J$21))</f>
        <v>26</v>
      </c>
      <c r="BV249" s="491">
        <f t="shared" si="233"/>
        <v>0.01</v>
      </c>
      <c r="BW249" s="726">
        <f t="shared" si="169"/>
        <v>0.22048838427917941</v>
      </c>
      <c r="BX249" s="475">
        <f t="shared" si="215"/>
        <v>7.1928999999999981</v>
      </c>
      <c r="BY249" s="475">
        <f t="shared" si="216"/>
        <v>0</v>
      </c>
      <c r="BZ249" s="475">
        <f t="shared" si="170"/>
        <v>7.1928999999999981</v>
      </c>
      <c r="CA249" s="475">
        <f t="shared" si="171"/>
        <v>0</v>
      </c>
      <c r="CB249" s="475">
        <f t="shared" si="172"/>
        <v>0</v>
      </c>
      <c r="CC249" s="475">
        <f t="shared" si="173"/>
        <v>0</v>
      </c>
      <c r="CD249" s="475">
        <f t="shared" si="174"/>
        <v>0</v>
      </c>
      <c r="CE249" s="621">
        <f t="shared" si="175"/>
        <v>0</v>
      </c>
      <c r="CF249" s="621">
        <f t="shared" si="176"/>
        <v>0</v>
      </c>
      <c r="CG249" s="621">
        <f t="shared" si="177"/>
        <v>0</v>
      </c>
      <c r="CH249" s="573">
        <f t="shared" si="178"/>
        <v>0</v>
      </c>
      <c r="CI249" s="621">
        <f t="shared" si="179"/>
        <v>0</v>
      </c>
      <c r="CJ249" s="621">
        <f t="shared" si="180"/>
        <v>0</v>
      </c>
      <c r="CK249" s="621">
        <f t="shared" si="181"/>
        <v>0</v>
      </c>
      <c r="CL249" s="737">
        <f t="shared" si="182"/>
        <v>0</v>
      </c>
      <c r="CM249" s="738">
        <f t="shared" si="183"/>
        <v>0</v>
      </c>
      <c r="CN249" s="475">
        <f t="shared" si="184"/>
        <v>222</v>
      </c>
      <c r="CO249" s="475">
        <f t="shared" si="185"/>
        <v>222</v>
      </c>
      <c r="CP249" s="475">
        <f t="shared" si="186"/>
        <v>222</v>
      </c>
      <c r="CQ249" s="475">
        <f t="shared" si="187"/>
        <v>-222</v>
      </c>
      <c r="CR249" s="475">
        <f t="shared" si="188"/>
        <v>-222</v>
      </c>
      <c r="CS249" s="475">
        <f t="shared" si="189"/>
        <v>-222</v>
      </c>
      <c r="CT249" s="475">
        <f t="shared" si="190"/>
        <v>0</v>
      </c>
      <c r="CU249" s="475">
        <f t="shared" si="191"/>
        <v>222</v>
      </c>
      <c r="CV249" s="475">
        <f t="shared" si="192"/>
        <v>-222</v>
      </c>
      <c r="CW249" s="475">
        <f t="shared" si="209"/>
        <v>0</v>
      </c>
      <c r="CX249" s="573">
        <f t="shared" si="217"/>
        <v>0</v>
      </c>
      <c r="CY249" s="475">
        <f t="shared" si="219"/>
        <v>22</v>
      </c>
      <c r="CZ249" s="475">
        <f t="shared" si="218"/>
        <v>22</v>
      </c>
      <c r="DA249" s="475">
        <v>35</v>
      </c>
      <c r="DB249" s="475"/>
      <c r="DC249" s="410"/>
    </row>
    <row r="250" spans="1:107" s="619" customFormat="1" ht="12" customHeight="1" collapsed="1">
      <c r="A250" s="410"/>
      <c r="B250" s="410"/>
      <c r="C250" s="410"/>
      <c r="D250" s="410"/>
      <c r="E250" s="410"/>
      <c r="F250" s="410"/>
      <c r="G250" s="410"/>
      <c r="H250" s="410"/>
      <c r="I250" s="410"/>
      <c r="J250" s="410"/>
      <c r="K250" s="410"/>
      <c r="L250" s="410"/>
      <c r="M250" s="473"/>
      <c r="N250" s="410"/>
      <c r="O250" s="410"/>
      <c r="P250" s="410"/>
      <c r="Q250" s="410"/>
      <c r="R250" s="410"/>
      <c r="S250" s="410"/>
      <c r="T250" s="410"/>
      <c r="U250" s="410"/>
      <c r="V250" s="410"/>
      <c r="W250" s="410"/>
      <c r="X250" s="410"/>
      <c r="Y250" s="410"/>
      <c r="Z250" s="410"/>
      <c r="AA250" s="410"/>
      <c r="AB250" s="410"/>
      <c r="AC250" s="410"/>
      <c r="AD250" s="410"/>
      <c r="AE250" s="410"/>
      <c r="AF250" s="410"/>
      <c r="AG250" s="410"/>
      <c r="AH250" s="410"/>
      <c r="AI250" s="410"/>
      <c r="AJ250" s="410"/>
      <c r="AK250" s="410"/>
      <c r="AL250" s="410"/>
      <c r="AM250" s="410"/>
      <c r="AN250" s="410"/>
      <c r="AO250" s="410"/>
      <c r="AP250" s="410"/>
      <c r="AQ250" s="410"/>
      <c r="AR250" s="410"/>
      <c r="AS250" s="410"/>
      <c r="AT250" s="410"/>
      <c r="AU250" s="410"/>
      <c r="AV250" s="410"/>
      <c r="AW250" s="410"/>
      <c r="AX250" s="410"/>
      <c r="AY250" s="410"/>
      <c r="AZ250" s="410"/>
      <c r="BA250" s="410"/>
      <c r="BB250" s="410"/>
      <c r="BC250" s="410"/>
      <c r="BD250" s="410"/>
      <c r="BE250" s="410"/>
      <c r="BF250" s="621"/>
      <c r="BG250" s="410"/>
      <c r="BH250" s="410"/>
      <c r="BI250" s="410"/>
      <c r="BJ250" s="410"/>
      <c r="BK250" s="410"/>
      <c r="BL250" s="621"/>
      <c r="BM250" s="621"/>
      <c r="BN250" s="410"/>
      <c r="BO250" s="410"/>
      <c r="BP250" s="410"/>
      <c r="BQ250" s="410"/>
      <c r="BR250" s="410"/>
      <c r="BS250" s="410"/>
      <c r="BT250" s="410"/>
      <c r="BU250" s="410"/>
      <c r="BV250" s="410"/>
      <c r="BW250" s="410"/>
      <c r="BX250" s="410"/>
      <c r="BY250" s="410"/>
      <c r="BZ250" s="410"/>
      <c r="CA250" s="410"/>
      <c r="CB250" s="410"/>
      <c r="CC250" s="410"/>
      <c r="CD250" s="410"/>
      <c r="CE250" s="621">
        <f>SUM(CE190:CE249)</f>
        <v>0</v>
      </c>
      <c r="CF250" s="621">
        <f t="shared" ref="CF250:CM250" si="237">SUM(CF190:CF249)</f>
        <v>0</v>
      </c>
      <c r="CG250" s="621">
        <f t="shared" si="237"/>
        <v>0</v>
      </c>
      <c r="CH250" s="621">
        <f t="shared" si="237"/>
        <v>0</v>
      </c>
      <c r="CI250" s="621">
        <f t="shared" si="237"/>
        <v>0</v>
      </c>
      <c r="CJ250" s="621">
        <f t="shared" si="237"/>
        <v>0</v>
      </c>
      <c r="CK250" s="621">
        <f t="shared" si="237"/>
        <v>0</v>
      </c>
      <c r="CL250" s="573">
        <f t="shared" si="237"/>
        <v>0</v>
      </c>
      <c r="CM250" s="621">
        <f t="shared" si="237"/>
        <v>0</v>
      </c>
      <c r="CN250" s="410"/>
      <c r="CO250" s="410"/>
      <c r="CP250" s="410"/>
      <c r="CQ250" s="410"/>
      <c r="CR250" s="410"/>
      <c r="CS250" s="473">
        <f>BJ249</f>
        <v>22</v>
      </c>
      <c r="CT250" s="475">
        <f>SUM(CT190:CT249)</f>
        <v>0</v>
      </c>
      <c r="CU250" s="410"/>
      <c r="CV250" s="410"/>
      <c r="CW250" s="475">
        <f>ROUND(MAX(CW190:CW249),0)</f>
        <v>0</v>
      </c>
      <c r="CX250" s="410"/>
      <c r="CY250" s="473">
        <f>BJ249</f>
        <v>22</v>
      </c>
      <c r="CZ250" s="473">
        <f>BN249</f>
        <v>22</v>
      </c>
      <c r="DA250" s="473"/>
      <c r="DB250" s="473"/>
      <c r="DC250" s="410"/>
    </row>
    <row r="251" spans="1:107" s="619" customFormat="1" ht="12" customHeight="1">
      <c r="A251" s="570" t="s">
        <v>979</v>
      </c>
      <c r="B251" s="436"/>
      <c r="C251" s="556" t="s">
        <v>822</v>
      </c>
      <c r="D251" s="436"/>
      <c r="E251" s="556" t="s">
        <v>838</v>
      </c>
      <c r="F251" s="434"/>
      <c r="H251" s="623" t="s">
        <v>647</v>
      </c>
      <c r="I251" s="501" t="s">
        <v>980</v>
      </c>
      <c r="J251" s="501" t="s">
        <v>980</v>
      </c>
      <c r="K251" s="410"/>
      <c r="L251" s="410"/>
      <c r="M251" s="473"/>
      <c r="N251" s="410"/>
      <c r="O251" s="410"/>
      <c r="P251" s="410"/>
      <c r="Q251" s="410"/>
      <c r="R251" s="410"/>
      <c r="S251" s="410"/>
      <c r="T251" s="410"/>
      <c r="U251" s="410"/>
      <c r="V251" s="410"/>
      <c r="W251" s="410"/>
      <c r="X251" s="410"/>
      <c r="Y251" s="410"/>
      <c r="Z251" s="410"/>
      <c r="AA251" s="410"/>
      <c r="AB251" s="410"/>
      <c r="AC251" s="410"/>
      <c r="AD251" s="410"/>
      <c r="AE251" s="410"/>
      <c r="AF251" s="410"/>
      <c r="AG251" s="410"/>
      <c r="AH251" s="410"/>
      <c r="AI251" s="410"/>
      <c r="AJ251" s="410"/>
      <c r="AK251" s="410"/>
      <c r="AL251" s="410"/>
      <c r="AM251" s="410"/>
      <c r="AN251" s="410"/>
      <c r="AO251" s="410"/>
      <c r="AP251" s="410"/>
      <c r="AQ251" s="410"/>
      <c r="AR251" s="410"/>
      <c r="AS251" s="410"/>
      <c r="AT251" s="410"/>
      <c r="AU251" s="410"/>
      <c r="AV251" s="410"/>
      <c r="AW251" s="410"/>
      <c r="AX251" s="410"/>
      <c r="AY251" s="410"/>
      <c r="AZ251" s="410"/>
      <c r="BA251" s="410"/>
      <c r="BB251" s="410"/>
      <c r="BC251" s="410"/>
      <c r="BD251" s="410"/>
      <c r="BE251" s="410"/>
      <c r="BF251" s="410"/>
      <c r="BG251" s="410"/>
      <c r="BH251" s="410"/>
      <c r="BI251" s="410"/>
      <c r="BJ251" s="410"/>
      <c r="BK251" s="410"/>
      <c r="BL251" s="410"/>
      <c r="BM251" s="410"/>
      <c r="BN251" s="410"/>
      <c r="BO251" s="410"/>
      <c r="BP251" s="410"/>
      <c r="BQ251" s="410"/>
      <c r="BR251" s="410"/>
      <c r="BS251" s="410"/>
      <c r="BT251" s="410"/>
      <c r="BU251" s="410"/>
      <c r="BV251" s="410"/>
      <c r="BW251" s="410"/>
      <c r="BX251" s="410"/>
      <c r="BY251" s="410"/>
      <c r="BZ251" s="410"/>
      <c r="CA251" s="410"/>
      <c r="CB251" s="410"/>
      <c r="CC251" s="410"/>
      <c r="CD251" s="410"/>
      <c r="CE251" s="410"/>
      <c r="CF251" s="410"/>
      <c r="CG251" s="410"/>
      <c r="CH251" s="410"/>
      <c r="CI251" s="410"/>
      <c r="CJ251" s="410"/>
      <c r="CK251" s="410"/>
      <c r="CL251" s="410"/>
      <c r="CM251" s="410"/>
      <c r="CN251" s="410"/>
      <c r="CO251" s="410"/>
      <c r="CP251" s="410"/>
      <c r="CQ251" s="410"/>
      <c r="CR251" s="410"/>
      <c r="CS251" s="410"/>
      <c r="CT251" s="410"/>
      <c r="CU251" s="410"/>
      <c r="CV251" s="410"/>
      <c r="CW251" s="410"/>
      <c r="CX251" s="410"/>
      <c r="CY251" s="410"/>
      <c r="CZ251" s="410"/>
      <c r="DA251" s="410"/>
      <c r="DB251" s="410"/>
      <c r="DC251" s="410"/>
    </row>
    <row r="252" spans="1:107" s="619" customFormat="1" ht="12" customHeight="1">
      <c r="A252" s="624"/>
      <c r="B252" s="508"/>
      <c r="C252" s="480" t="s">
        <v>981</v>
      </c>
      <c r="D252" s="750" t="s">
        <v>110</v>
      </c>
      <c r="E252" s="480" t="s">
        <v>981</v>
      </c>
      <c r="F252" s="575" t="s">
        <v>982</v>
      </c>
      <c r="H252" s="625" t="s">
        <v>983</v>
      </c>
      <c r="I252" s="602" t="s">
        <v>984</v>
      </c>
      <c r="J252" s="626" t="s">
        <v>985</v>
      </c>
      <c r="L252" s="410"/>
      <c r="M252" s="473"/>
      <c r="N252" s="410"/>
      <c r="O252" s="410"/>
      <c r="P252" s="410"/>
      <c r="Q252" s="410"/>
      <c r="R252" s="410"/>
      <c r="S252" s="410"/>
      <c r="T252" s="410"/>
      <c r="U252" s="410"/>
      <c r="V252" s="410"/>
      <c r="W252" s="410"/>
      <c r="X252" s="410"/>
      <c r="Y252" s="410"/>
      <c r="Z252" s="410"/>
      <c r="AA252" s="410"/>
      <c r="AB252" s="410"/>
      <c r="AC252" s="410"/>
      <c r="AD252" s="410"/>
      <c r="AE252" s="410"/>
      <c r="AF252" s="410"/>
      <c r="AG252" s="410"/>
      <c r="AH252" s="410"/>
      <c r="AI252" s="410"/>
      <c r="AJ252" s="410"/>
      <c r="AK252" s="410"/>
      <c r="AL252" s="410"/>
      <c r="AM252" s="410"/>
      <c r="AN252" s="410"/>
      <c r="AO252" s="410"/>
      <c r="AP252" s="410"/>
      <c r="AQ252" s="410"/>
      <c r="AR252" s="410"/>
      <c r="AS252" s="410"/>
      <c r="AT252" s="410"/>
      <c r="AU252" s="410"/>
      <c r="AV252" s="410"/>
      <c r="AW252" s="410"/>
      <c r="AX252" s="410"/>
      <c r="AY252" s="410"/>
      <c r="AZ252" s="410"/>
      <c r="BA252" s="410"/>
      <c r="BB252" s="410"/>
      <c r="BC252" s="410"/>
      <c r="BD252" s="410"/>
      <c r="BE252" s="410"/>
      <c r="BF252" s="410"/>
      <c r="BG252" s="410"/>
      <c r="BH252" s="410"/>
      <c r="BI252" s="410"/>
      <c r="BJ252" s="410"/>
      <c r="BK252" s="410"/>
      <c r="BL252" s="410"/>
      <c r="BM252" s="410"/>
      <c r="BN252" s="410"/>
      <c r="BO252" s="410"/>
      <c r="BP252" s="410"/>
      <c r="BQ252" s="410"/>
      <c r="BR252" s="410"/>
      <c r="BS252" s="410"/>
      <c r="BT252" s="410"/>
      <c r="BU252" s="410"/>
      <c r="BV252" s="410"/>
      <c r="BW252" s="410"/>
      <c r="BX252" s="410"/>
      <c r="BY252" s="410"/>
      <c r="BZ252" s="410"/>
      <c r="CA252" s="410"/>
      <c r="CB252" s="410"/>
      <c r="CC252" s="410"/>
      <c r="CD252" s="410"/>
      <c r="CE252" s="410"/>
      <c r="CF252" s="410"/>
      <c r="CG252" s="410"/>
      <c r="CH252" s="410"/>
      <c r="CI252" s="410"/>
      <c r="CJ252" s="410"/>
      <c r="CK252" s="410"/>
      <c r="CL252" s="410"/>
      <c r="CM252" s="410"/>
      <c r="CN252" s="410"/>
      <c r="CO252" s="410"/>
      <c r="CP252" s="410"/>
      <c r="CQ252" s="410"/>
      <c r="CR252" s="410"/>
      <c r="CS252" s="410"/>
      <c r="CT252" s="410"/>
      <c r="CU252" s="410"/>
      <c r="CV252" s="410"/>
      <c r="CW252" s="410"/>
      <c r="CX252" s="410"/>
      <c r="CY252" s="410"/>
      <c r="CZ252" s="410"/>
      <c r="DA252" s="410"/>
      <c r="DB252" s="410"/>
      <c r="DC252" s="410"/>
    </row>
    <row r="253" spans="1:107" s="619" customFormat="1" ht="12" customHeight="1">
      <c r="A253" s="437"/>
      <c r="B253" s="508" t="s">
        <v>986</v>
      </c>
      <c r="C253" s="480" t="s">
        <v>987</v>
      </c>
      <c r="D253" s="438" t="s">
        <v>1076</v>
      </c>
      <c r="E253" s="480" t="s">
        <v>987</v>
      </c>
      <c r="F253" s="575" t="s">
        <v>988</v>
      </c>
      <c r="H253" s="627">
        <f>LOOKUP(B88,$DA$122:$DA$181,$BU$122:$BU$181)</f>
        <v>22</v>
      </c>
      <c r="I253" s="628">
        <f>LOOKUP(B88,$DA$122:$DA$181,$BS$122:$BS$181)</f>
        <v>0</v>
      </c>
      <c r="J253" s="629">
        <f>AbsFeuchte(D88,I253,$N$19)</f>
        <v>0</v>
      </c>
      <c r="L253" s="410"/>
      <c r="M253" s="473"/>
      <c r="N253" s="410"/>
      <c r="O253" s="410"/>
      <c r="P253" s="410"/>
      <c r="Q253" s="410"/>
      <c r="R253" s="410"/>
      <c r="S253" s="410"/>
      <c r="T253" s="410"/>
      <c r="U253" s="410"/>
      <c r="V253" s="410"/>
      <c r="W253" s="410"/>
      <c r="X253" s="410"/>
      <c r="Y253" s="410"/>
      <c r="Z253" s="410"/>
      <c r="AA253" s="410"/>
      <c r="AB253" s="410"/>
      <c r="AC253" s="410"/>
      <c r="AD253" s="410"/>
      <c r="AE253" s="410"/>
      <c r="AF253" s="410"/>
      <c r="AG253" s="410"/>
      <c r="AH253" s="410"/>
      <c r="AI253" s="410"/>
      <c r="AJ253" s="410"/>
      <c r="AK253" s="410"/>
      <c r="AL253" s="410"/>
      <c r="AM253" s="410"/>
      <c r="AN253" s="410"/>
      <c r="AO253" s="410"/>
      <c r="AP253" s="410"/>
      <c r="AQ253" s="410"/>
      <c r="AR253" s="410"/>
      <c r="AS253" s="410"/>
      <c r="AT253" s="410"/>
      <c r="AU253" s="410"/>
      <c r="AV253" s="410"/>
      <c r="AW253" s="410"/>
      <c r="AX253" s="410"/>
      <c r="AY253" s="410"/>
      <c r="AZ253" s="410"/>
      <c r="BA253" s="410"/>
      <c r="BB253" s="410"/>
      <c r="BC253" s="410"/>
      <c r="BD253" s="410"/>
      <c r="BE253" s="410"/>
      <c r="BF253" s="410"/>
      <c r="BG253" s="410"/>
      <c r="BH253" s="410"/>
      <c r="BI253" s="410"/>
      <c r="BJ253" s="410"/>
      <c r="BK253" s="410"/>
      <c r="BL253" s="410"/>
      <c r="BM253" s="410"/>
      <c r="BN253" s="410"/>
      <c r="BO253" s="410"/>
      <c r="BP253" s="410"/>
      <c r="BQ253" s="410"/>
      <c r="BR253" s="410"/>
      <c r="BS253" s="410"/>
      <c r="BT253" s="410"/>
      <c r="BU253" s="410"/>
      <c r="BV253" s="410"/>
      <c r="BW253" s="410"/>
      <c r="BX253" s="410"/>
      <c r="BY253" s="410"/>
      <c r="BZ253" s="410"/>
      <c r="CA253" s="410"/>
      <c r="CB253" s="410"/>
      <c r="CC253" s="410"/>
      <c r="CD253" s="410"/>
      <c r="CE253" s="410"/>
      <c r="CF253" s="410"/>
      <c r="CG253" s="410"/>
      <c r="CH253" s="410"/>
      <c r="CI253" s="410"/>
      <c r="CJ253" s="410"/>
      <c r="CK253" s="410"/>
      <c r="CL253" s="410"/>
      <c r="CM253" s="410"/>
      <c r="CN253" s="410"/>
      <c r="CO253" s="410"/>
      <c r="CP253" s="410"/>
      <c r="CQ253" s="410"/>
      <c r="CR253" s="410"/>
      <c r="CS253" s="410"/>
      <c r="CT253" s="410"/>
      <c r="CU253" s="410"/>
      <c r="CV253" s="410"/>
      <c r="CW253" s="410"/>
      <c r="CX253" s="410"/>
      <c r="CY253" s="410"/>
      <c r="CZ253" s="410"/>
      <c r="DA253" s="410"/>
      <c r="DB253" s="410"/>
      <c r="DC253" s="410"/>
    </row>
    <row r="254" spans="1:107" s="619" customFormat="1" ht="12" customHeight="1">
      <c r="A254" s="437" t="s">
        <v>153</v>
      </c>
      <c r="B254" s="410"/>
      <c r="C254" s="573">
        <f>IFERROR(CJ182*1000,0)</f>
        <v>1750.15970360182</v>
      </c>
      <c r="D254" s="576">
        <f>BZ183</f>
        <v>25.780852141231509</v>
      </c>
      <c r="E254" s="573">
        <f>IFERROR(CJ250*1000,0)</f>
        <v>0</v>
      </c>
      <c r="F254" s="630">
        <f>IFERROR(E254*J28/100,0)</f>
        <v>0</v>
      </c>
      <c r="H254" s="627">
        <f>LOOKUP(B89,$DA$122:$DA$181,$BU$122:$BU$181)</f>
        <v>24</v>
      </c>
      <c r="I254" s="628">
        <f>LOOKUP(B89,$DA$122:$DA$181,$BS$122:$BS$181)</f>
        <v>0.50487709059335162</v>
      </c>
      <c r="J254" s="629">
        <f>AbsFeuchte(D89,I254,$N$19)</f>
        <v>10.036723173953218</v>
      </c>
      <c r="L254" s="410"/>
      <c r="M254" s="410"/>
      <c r="N254" s="410"/>
      <c r="O254" s="410"/>
      <c r="P254" s="410"/>
      <c r="Q254" s="410"/>
      <c r="R254" s="410"/>
      <c r="S254" s="410"/>
      <c r="T254" s="410"/>
      <c r="U254" s="410"/>
      <c r="V254" s="410"/>
      <c r="W254" s="410"/>
      <c r="X254" s="410"/>
      <c r="Y254" s="410"/>
      <c r="Z254" s="410"/>
      <c r="AA254" s="410"/>
      <c r="AB254" s="410"/>
      <c r="AC254" s="410"/>
      <c r="AD254" s="410"/>
      <c r="AE254" s="410"/>
      <c r="AF254" s="410"/>
      <c r="AG254" s="410"/>
      <c r="AH254" s="410"/>
      <c r="AI254" s="410"/>
      <c r="AJ254" s="410"/>
      <c r="AK254" s="410"/>
      <c r="AL254" s="410"/>
      <c r="AM254" s="410"/>
      <c r="AN254" s="410"/>
      <c r="AO254" s="410"/>
      <c r="AP254" s="410"/>
      <c r="AQ254" s="410"/>
      <c r="AR254" s="410"/>
      <c r="AS254" s="410"/>
      <c r="AT254" s="410"/>
      <c r="AU254" s="410"/>
      <c r="AV254" s="410"/>
      <c r="AW254" s="410"/>
      <c r="AX254" s="410"/>
      <c r="AY254" s="410"/>
      <c r="AZ254" s="410"/>
      <c r="BA254" s="410"/>
      <c r="BB254" s="410"/>
      <c r="BC254" s="410"/>
      <c r="BD254" s="410"/>
      <c r="BE254" s="410"/>
      <c r="BF254" s="410"/>
      <c r="BG254" s="410"/>
      <c r="BH254" s="410"/>
      <c r="BI254" s="410"/>
      <c r="BJ254" s="410"/>
      <c r="BK254" s="410"/>
      <c r="BL254" s="410"/>
      <c r="BM254" s="410"/>
      <c r="BN254" s="410"/>
      <c r="BO254" s="410"/>
      <c r="BP254" s="410"/>
      <c r="BQ254" s="631"/>
      <c r="BR254" s="410"/>
      <c r="BS254" s="410"/>
      <c r="BT254" s="410"/>
      <c r="BU254" s="410"/>
      <c r="BV254" s="410"/>
      <c r="BW254" s="410"/>
      <c r="BX254" s="410"/>
      <c r="BY254" s="410"/>
      <c r="BZ254" s="410"/>
      <c r="CA254" s="410"/>
      <c r="CB254" s="410"/>
      <c r="CC254" s="410"/>
      <c r="CD254" s="410"/>
      <c r="CE254" s="410"/>
      <c r="CF254" s="410"/>
      <c r="CG254" s="410"/>
      <c r="CH254" s="410"/>
      <c r="CI254" s="410"/>
      <c r="CJ254" s="410"/>
      <c r="CK254" s="410"/>
      <c r="CL254" s="410"/>
      <c r="CM254" s="410"/>
      <c r="CN254" s="410"/>
      <c r="CO254" s="410"/>
      <c r="CP254" s="410"/>
      <c r="CQ254" s="410"/>
      <c r="CR254" s="410"/>
      <c r="CS254" s="410"/>
      <c r="CT254" s="410"/>
      <c r="CU254" s="410"/>
      <c r="CV254" s="410"/>
      <c r="CW254" s="410"/>
      <c r="CX254" s="410"/>
      <c r="CY254" s="410"/>
      <c r="CZ254" s="410"/>
      <c r="DA254" s="410"/>
      <c r="DB254" s="410"/>
      <c r="DC254" s="410"/>
    </row>
    <row r="255" spans="1:107" s="619" customFormat="1" ht="12" customHeight="1">
      <c r="A255" s="437" t="s">
        <v>177</v>
      </c>
      <c r="B255" s="410"/>
      <c r="C255" s="573">
        <f>IFERROR(CK182*1000,0)</f>
        <v>3786.2957285656107</v>
      </c>
      <c r="D255" s="576">
        <f>CC183</f>
        <v>16.153470609180598</v>
      </c>
      <c r="E255" s="573">
        <f>IFERROR(CK250*1000,0)</f>
        <v>0</v>
      </c>
      <c r="F255" s="630">
        <f>IFERROR(E255*J27/100,0)</f>
        <v>0</v>
      </c>
      <c r="H255" s="627">
        <f>LOOKUP(B90,$DA$122:$DA$181,$BU$122:$BU$181)</f>
        <v>25</v>
      </c>
      <c r="I255" s="628">
        <f>LOOKUP(B90,$DA$122:$DA$181,$BS$122:$BS$181)</f>
        <v>0.47882297533369572</v>
      </c>
      <c r="J255" s="629">
        <f>AbsFeuchte(D90,I255,$N$19)</f>
        <v>10.106875028410922</v>
      </c>
      <c r="L255" s="410"/>
      <c r="M255" s="410"/>
      <c r="N255" s="410"/>
      <c r="O255" s="410"/>
      <c r="P255" s="410"/>
      <c r="Q255" s="410"/>
      <c r="R255" s="410"/>
      <c r="S255" s="410"/>
      <c r="T255" s="410"/>
      <c r="U255" s="410"/>
      <c r="V255" s="410"/>
      <c r="W255" s="410"/>
      <c r="X255" s="410"/>
      <c r="Y255" s="410"/>
      <c r="Z255" s="410"/>
      <c r="AA255" s="410"/>
      <c r="AB255" s="410"/>
      <c r="AC255" s="410"/>
      <c r="AD255" s="410"/>
      <c r="AE255" s="410"/>
      <c r="AF255" s="410"/>
      <c r="AG255" s="410"/>
      <c r="AH255" s="410"/>
      <c r="AI255" s="410"/>
      <c r="AJ255" s="410"/>
      <c r="AK255" s="410"/>
      <c r="AL255" s="410"/>
      <c r="AM255" s="410"/>
      <c r="AN255" s="410"/>
      <c r="AO255" s="410"/>
      <c r="AP255" s="410"/>
      <c r="AQ255" s="410"/>
      <c r="AR255" s="410"/>
      <c r="AS255" s="410"/>
      <c r="AT255" s="410"/>
      <c r="AU255" s="410"/>
      <c r="AV255" s="410"/>
      <c r="AW255" s="410"/>
      <c r="AX255" s="410"/>
      <c r="AY255" s="410"/>
      <c r="AZ255" s="410"/>
      <c r="BA255" s="410"/>
      <c r="BB255" s="410"/>
      <c r="BC255" s="410"/>
      <c r="BD255" s="410"/>
      <c r="BE255" s="410"/>
      <c r="BF255" s="410"/>
      <c r="BG255" s="410"/>
      <c r="BH255" s="410"/>
      <c r="BI255" s="410"/>
      <c r="BJ255" s="410"/>
      <c r="BK255" s="410"/>
      <c r="BL255" s="410"/>
      <c r="BM255" s="410"/>
      <c r="BN255" s="410"/>
      <c r="BO255" s="410"/>
      <c r="BP255" s="410"/>
      <c r="BQ255" s="410"/>
      <c r="BR255" s="410"/>
      <c r="BS255" s="410"/>
      <c r="BT255" s="410"/>
      <c r="BU255" s="410"/>
      <c r="BV255" s="410"/>
      <c r="BW255" s="410"/>
      <c r="BX255" s="410"/>
      <c r="BY255" s="410"/>
      <c r="BZ255" s="410"/>
      <c r="CA255" s="410"/>
      <c r="CB255" s="410"/>
      <c r="CC255" s="410"/>
      <c r="CD255" s="410"/>
      <c r="CE255" s="410"/>
      <c r="CF255" s="410"/>
      <c r="CG255" s="410"/>
      <c r="CH255" s="410"/>
      <c r="CI255" s="410"/>
      <c r="CJ255" s="410"/>
      <c r="CK255" s="410"/>
      <c r="CL255" s="410"/>
      <c r="CM255" s="410"/>
      <c r="CN255" s="410"/>
      <c r="CO255" s="410"/>
      <c r="CP255" s="410"/>
      <c r="CQ255" s="410"/>
      <c r="CR255" s="410"/>
      <c r="CS255" s="410"/>
      <c r="CT255" s="410"/>
      <c r="CU255" s="410"/>
      <c r="CV255" s="410"/>
      <c r="CW255" s="410"/>
      <c r="CX255" s="410"/>
      <c r="CY255" s="410"/>
      <c r="CZ255" s="410"/>
      <c r="DA255" s="410"/>
      <c r="DB255" s="410"/>
      <c r="DC255" s="410"/>
    </row>
    <row r="256" spans="1:107" s="619" customFormat="1" ht="12" customHeight="1">
      <c r="A256" s="437" t="s">
        <v>989</v>
      </c>
      <c r="B256" s="410"/>
      <c r="C256" s="573">
        <f>IFERROR(CM182*1000,0)</f>
        <v>-3.2534871175269233E-12</v>
      </c>
      <c r="D256" s="576">
        <f>CD183</f>
        <v>3.8943099186312001E-14</v>
      </c>
      <c r="E256" s="573">
        <f>IFERROR(CM250*1000,0)</f>
        <v>0</v>
      </c>
      <c r="F256" s="630">
        <f>IFERROR(E256*J27/100,0)</f>
        <v>0</v>
      </c>
      <c r="H256" s="632">
        <f>LOOKUP(B91,$DA$122:$DA$181,$BU$122:$BU$181)</f>
        <v>25</v>
      </c>
      <c r="I256" s="633">
        <f>LOOKUP(B91,$DA$122:$DA$181,$BS$122:$BS$181)</f>
        <v>0.51663252176745744</v>
      </c>
      <c r="J256" s="634">
        <f>AbsFeuchte(D91,I256,$N$19)</f>
        <v>10.918959306969693</v>
      </c>
      <c r="L256" s="410"/>
      <c r="M256" s="410"/>
      <c r="N256" s="410"/>
      <c r="O256" s="410"/>
      <c r="P256" s="410"/>
      <c r="Q256" s="410"/>
      <c r="R256" s="410"/>
      <c r="S256" s="410"/>
      <c r="T256" s="410"/>
      <c r="U256" s="410"/>
      <c r="V256" s="410"/>
      <c r="W256" s="410"/>
      <c r="X256" s="410"/>
      <c r="Y256" s="410"/>
      <c r="Z256" s="410"/>
      <c r="AA256" s="410"/>
      <c r="AB256" s="410"/>
      <c r="AC256" s="410"/>
      <c r="AD256" s="410"/>
      <c r="AE256" s="410"/>
      <c r="AF256" s="410"/>
      <c r="AG256" s="410"/>
      <c r="AH256" s="410"/>
      <c r="AI256" s="410"/>
      <c r="AJ256" s="410"/>
      <c r="AK256" s="410"/>
      <c r="AL256" s="410"/>
      <c r="AM256" s="410"/>
      <c r="AN256" s="410"/>
      <c r="AO256" s="410"/>
      <c r="AP256" s="410"/>
      <c r="AQ256" s="410"/>
      <c r="AR256" s="410"/>
      <c r="AS256" s="410"/>
      <c r="AT256" s="410"/>
      <c r="AU256" s="410"/>
      <c r="AV256" s="410"/>
      <c r="AW256" s="410"/>
      <c r="AX256" s="410"/>
      <c r="AY256" s="410"/>
      <c r="AZ256" s="410"/>
      <c r="BA256" s="410"/>
      <c r="BB256" s="410"/>
      <c r="BC256" s="410"/>
      <c r="BD256" s="410"/>
      <c r="BE256" s="410"/>
      <c r="BF256" s="410"/>
      <c r="BG256" s="410"/>
      <c r="BH256" s="410"/>
      <c r="BI256" s="410"/>
      <c r="BJ256" s="410"/>
      <c r="BK256" s="410"/>
      <c r="BL256" s="410"/>
      <c r="BM256" s="410"/>
      <c r="BN256" s="410"/>
      <c r="BO256" s="410"/>
      <c r="BP256" s="410"/>
      <c r="BQ256" s="410"/>
      <c r="BR256" s="410"/>
      <c r="BS256" s="410"/>
      <c r="BT256" s="410"/>
      <c r="BU256" s="410"/>
      <c r="BV256" s="410"/>
      <c r="BW256" s="410"/>
      <c r="BX256" s="410"/>
      <c r="BY256" s="410"/>
      <c r="BZ256" s="410"/>
      <c r="CA256" s="410"/>
      <c r="CB256" s="410"/>
      <c r="CC256" s="410"/>
      <c r="CD256" s="410"/>
      <c r="CE256" s="410"/>
      <c r="CF256" s="410"/>
      <c r="CG256" s="410"/>
      <c r="CH256" s="410"/>
      <c r="CI256" s="410"/>
      <c r="CJ256" s="410"/>
      <c r="CK256" s="410"/>
      <c r="CL256" s="410"/>
      <c r="CM256" s="410"/>
      <c r="CN256" s="410"/>
      <c r="CO256" s="410"/>
      <c r="CP256" s="410"/>
      <c r="CQ256" s="410"/>
      <c r="CR256" s="410"/>
      <c r="CS256" s="410"/>
      <c r="CT256" s="410"/>
      <c r="CU256" s="410"/>
      <c r="CV256" s="410"/>
      <c r="CW256" s="410"/>
      <c r="CX256" s="410"/>
      <c r="CY256" s="410"/>
      <c r="CZ256" s="410"/>
      <c r="DA256" s="410"/>
      <c r="DB256" s="410"/>
      <c r="DC256" s="410"/>
    </row>
    <row r="257" spans="1:107" s="619" customFormat="1" ht="12" customHeight="1">
      <c r="A257" s="437" t="s">
        <v>149</v>
      </c>
      <c r="B257" s="410" t="s">
        <v>990</v>
      </c>
      <c r="C257" s="573">
        <f>IFERROR(CE182*1000,0)</f>
        <v>0</v>
      </c>
      <c r="D257" s="576">
        <f>CA183</f>
        <v>0</v>
      </c>
      <c r="E257" s="573">
        <f>IFERROR(CE250*1000,0)</f>
        <v>0</v>
      </c>
      <c r="F257" s="630">
        <f>IFERROR(E257*J28/100,0)</f>
        <v>0</v>
      </c>
      <c r="H257" s="623" t="s">
        <v>647</v>
      </c>
      <c r="I257" s="501" t="s">
        <v>980</v>
      </c>
      <c r="J257" s="501" t="s">
        <v>980</v>
      </c>
      <c r="L257" s="410"/>
      <c r="M257" s="410"/>
      <c r="N257" s="410"/>
      <c r="O257" s="410"/>
      <c r="P257" s="410"/>
      <c r="Q257" s="410"/>
      <c r="R257" s="410"/>
      <c r="S257" s="410"/>
      <c r="T257" s="410"/>
      <c r="U257" s="410"/>
      <c r="V257" s="410"/>
      <c r="W257" s="410"/>
      <c r="X257" s="410"/>
      <c r="Y257" s="410"/>
      <c r="Z257" s="410"/>
      <c r="AA257" s="410"/>
      <c r="AB257" s="410"/>
      <c r="AC257" s="410"/>
      <c r="AD257" s="410"/>
      <c r="AE257" s="410"/>
      <c r="AF257" s="410"/>
      <c r="AG257" s="410"/>
      <c r="AH257" s="410"/>
      <c r="AI257" s="410"/>
      <c r="AJ257" s="410"/>
      <c r="AK257" s="410"/>
      <c r="AL257" s="410"/>
      <c r="AM257" s="410"/>
      <c r="AN257" s="410"/>
      <c r="AO257" s="410"/>
      <c r="AP257" s="410"/>
      <c r="AQ257" s="410"/>
      <c r="AR257" s="410"/>
      <c r="AS257" s="410"/>
      <c r="AT257" s="410"/>
      <c r="AU257" s="410"/>
      <c r="AV257" s="410"/>
      <c r="AW257" s="410"/>
      <c r="AX257" s="410"/>
      <c r="AY257" s="410"/>
      <c r="AZ257" s="410"/>
      <c r="BA257" s="410"/>
      <c r="BB257" s="410"/>
      <c r="BC257" s="410"/>
      <c r="BD257" s="410"/>
      <c r="BE257" s="410"/>
      <c r="BF257" s="410"/>
      <c r="BG257" s="410"/>
      <c r="BH257" s="410"/>
      <c r="BI257" s="410"/>
      <c r="BJ257" s="410"/>
      <c r="BK257" s="410"/>
      <c r="BL257" s="410"/>
      <c r="BM257" s="410"/>
      <c r="BN257" s="410"/>
      <c r="BO257" s="410"/>
      <c r="BP257" s="410"/>
      <c r="BQ257" s="410"/>
      <c r="BR257" s="410"/>
      <c r="BS257" s="410"/>
      <c r="BT257" s="410"/>
      <c r="BU257" s="410"/>
      <c r="BV257" s="410"/>
      <c r="BW257" s="410"/>
      <c r="BX257" s="410"/>
      <c r="BY257" s="410"/>
      <c r="BZ257" s="410"/>
      <c r="CA257" s="410"/>
      <c r="CB257" s="410"/>
      <c r="CC257" s="410"/>
      <c r="CD257" s="410"/>
      <c r="CE257" s="410"/>
      <c r="CF257" s="410"/>
      <c r="CG257" s="410"/>
      <c r="CH257" s="410"/>
      <c r="CI257" s="410"/>
      <c r="CJ257" s="410"/>
      <c r="CK257" s="410"/>
      <c r="CL257" s="410"/>
      <c r="CM257" s="410"/>
      <c r="CN257" s="410"/>
      <c r="CO257" s="410"/>
      <c r="CP257" s="410"/>
      <c r="CQ257" s="410"/>
      <c r="CR257" s="410"/>
      <c r="CS257" s="410"/>
      <c r="CT257" s="410"/>
      <c r="CU257" s="410"/>
      <c r="CV257" s="410"/>
      <c r="CW257" s="410"/>
      <c r="CX257" s="410"/>
      <c r="CY257" s="410"/>
      <c r="CZ257" s="410"/>
      <c r="DA257" s="410"/>
      <c r="DB257" s="410"/>
      <c r="DC257" s="410"/>
    </row>
    <row r="258" spans="1:107" s="619" customFormat="1" ht="12" customHeight="1">
      <c r="A258" s="437"/>
      <c r="B258" s="410" t="s">
        <v>991</v>
      </c>
      <c r="C258" s="573">
        <f>IFERROR(CF182*1000,0)</f>
        <v>0</v>
      </c>
      <c r="D258" s="576">
        <f>CB183</f>
        <v>0</v>
      </c>
      <c r="E258" s="573">
        <f>IFERROR(CF250*1000,0)</f>
        <v>0</v>
      </c>
      <c r="F258" s="630">
        <f>IFERROR(E258*J27/100,0)</f>
        <v>0</v>
      </c>
      <c r="H258" s="625" t="s">
        <v>983</v>
      </c>
      <c r="I258" s="602" t="s">
        <v>984</v>
      </c>
      <c r="J258" s="626" t="s">
        <v>985</v>
      </c>
      <c r="L258" s="410"/>
      <c r="M258" s="410"/>
      <c r="N258" s="410"/>
      <c r="O258" s="410"/>
      <c r="P258" s="410"/>
      <c r="Q258" s="410"/>
      <c r="R258" s="410"/>
      <c r="S258" s="410"/>
      <c r="T258" s="410"/>
      <c r="U258" s="410"/>
      <c r="V258" s="410"/>
      <c r="W258" s="410"/>
      <c r="X258" s="410"/>
      <c r="Y258" s="410"/>
      <c r="Z258" s="410"/>
      <c r="AA258" s="410"/>
      <c r="AB258" s="410"/>
      <c r="AC258" s="410"/>
      <c r="AD258" s="410"/>
      <c r="AE258" s="410"/>
      <c r="AF258" s="410"/>
      <c r="AG258" s="410"/>
      <c r="AH258" s="410"/>
      <c r="AI258" s="410"/>
      <c r="AJ258" s="410"/>
      <c r="AK258" s="410"/>
      <c r="AL258" s="410"/>
      <c r="AM258" s="410"/>
      <c r="AN258" s="410"/>
      <c r="AO258" s="410"/>
      <c r="AP258" s="410"/>
      <c r="AQ258" s="410"/>
      <c r="AR258" s="410"/>
      <c r="AS258" s="410"/>
      <c r="AT258" s="410"/>
      <c r="AU258" s="410"/>
      <c r="AV258" s="410"/>
      <c r="AW258" s="410"/>
      <c r="AX258" s="410"/>
      <c r="AY258" s="410"/>
      <c r="AZ258" s="410"/>
      <c r="BA258" s="410"/>
      <c r="BB258" s="410"/>
      <c r="BC258" s="410"/>
      <c r="BD258" s="410"/>
      <c r="BE258" s="410"/>
      <c r="BF258" s="410"/>
      <c r="BG258" s="410"/>
      <c r="BH258" s="410"/>
      <c r="BI258" s="410"/>
      <c r="BJ258" s="410"/>
      <c r="BK258" s="410"/>
      <c r="BL258" s="410"/>
      <c r="BM258" s="410"/>
      <c r="BN258" s="410"/>
      <c r="BO258" s="410"/>
      <c r="BP258" s="410"/>
      <c r="BQ258" s="410"/>
      <c r="BR258" s="410"/>
      <c r="BS258" s="410"/>
      <c r="BT258" s="410"/>
      <c r="BU258" s="410"/>
      <c r="BV258" s="410"/>
      <c r="BW258" s="410"/>
      <c r="BX258" s="410"/>
      <c r="BY258" s="410"/>
      <c r="BZ258" s="410"/>
      <c r="CA258" s="410"/>
      <c r="CB258" s="410"/>
      <c r="CC258" s="410"/>
      <c r="CD258" s="410"/>
      <c r="CE258" s="410"/>
      <c r="CF258" s="410"/>
      <c r="CG258" s="410"/>
      <c r="CH258" s="410"/>
      <c r="CI258" s="410"/>
      <c r="CJ258" s="410"/>
      <c r="CK258" s="410"/>
      <c r="CL258" s="410"/>
      <c r="CM258" s="410"/>
      <c r="CN258" s="410"/>
      <c r="CO258" s="410"/>
      <c r="CP258" s="410"/>
      <c r="CQ258" s="410"/>
      <c r="CR258" s="410"/>
      <c r="CS258" s="410"/>
      <c r="CT258" s="410"/>
      <c r="CU258" s="410"/>
      <c r="CV258" s="410"/>
      <c r="CW258" s="410"/>
      <c r="CX258" s="410"/>
      <c r="CY258" s="410"/>
      <c r="CZ258" s="410"/>
      <c r="DA258" s="410"/>
      <c r="DB258" s="410"/>
      <c r="DC258" s="410"/>
    </row>
    <row r="259" spans="1:107" s="619" customFormat="1" ht="12" customHeight="1">
      <c r="A259" s="437" t="s">
        <v>992</v>
      </c>
      <c r="B259" s="410" t="s">
        <v>144</v>
      </c>
      <c r="C259" s="573">
        <f>IFERROR(CT182*1000,0)</f>
        <v>26765.14285714287</v>
      </c>
      <c r="D259" s="576">
        <f>G6</f>
        <v>6.8628571428571439</v>
      </c>
      <c r="E259" s="573">
        <f>IFERROR(CT250*1000,0)</f>
        <v>0</v>
      </c>
      <c r="F259" s="630">
        <f>IFERROR(E259*J26/100,0)</f>
        <v>0</v>
      </c>
      <c r="H259" s="627">
        <f>LOOKUP(B94,$DA$190:$DA$249,$BU$190:$BU$249)</f>
        <v>24</v>
      </c>
      <c r="I259" s="628">
        <f>LOOKUP(B94,$DA$190:$DA$249,$BS$190:$BS$249)</f>
        <v>0.01</v>
      </c>
      <c r="J259" s="629">
        <f>AbsFeuchte(D94,I259,$N$19)</f>
        <v>0.19570006685493199</v>
      </c>
      <c r="L259" s="410"/>
      <c r="M259" s="410"/>
      <c r="N259" s="410"/>
      <c r="O259" s="410"/>
      <c r="P259" s="410"/>
      <c r="Q259" s="410"/>
      <c r="R259" s="410"/>
      <c r="S259" s="410"/>
      <c r="T259" s="410"/>
      <c r="U259" s="410"/>
      <c r="V259" s="410"/>
      <c r="W259" s="410"/>
      <c r="X259" s="410"/>
      <c r="Y259" s="410"/>
      <c r="Z259" s="410"/>
      <c r="AA259" s="410"/>
      <c r="AB259" s="410"/>
      <c r="AC259" s="410"/>
      <c r="AD259" s="410"/>
      <c r="AE259" s="410"/>
      <c r="AF259" s="410"/>
      <c r="AG259" s="410"/>
      <c r="AH259" s="410"/>
      <c r="AI259" s="410"/>
      <c r="AJ259" s="410"/>
      <c r="AK259" s="410"/>
      <c r="AL259" s="410"/>
      <c r="AM259" s="410"/>
      <c r="AN259" s="410"/>
      <c r="AO259" s="410"/>
      <c r="AP259" s="410"/>
      <c r="AQ259" s="410"/>
      <c r="AR259" s="410"/>
      <c r="AS259" s="410"/>
      <c r="AT259" s="410"/>
      <c r="AU259" s="410"/>
      <c r="AV259" s="410"/>
      <c r="AW259" s="410"/>
      <c r="AX259" s="410"/>
      <c r="AY259" s="410"/>
      <c r="AZ259" s="410"/>
      <c r="BA259" s="410"/>
      <c r="BB259" s="410"/>
      <c r="BC259" s="410"/>
      <c r="BD259" s="410"/>
      <c r="BE259" s="410"/>
      <c r="BF259" s="410"/>
      <c r="BG259" s="410"/>
      <c r="BH259" s="410"/>
      <c r="BI259" s="410"/>
      <c r="BJ259" s="410"/>
      <c r="BK259" s="410"/>
      <c r="BL259" s="410"/>
      <c r="BM259" s="410"/>
      <c r="BN259" s="410"/>
      <c r="BO259" s="410"/>
      <c r="BP259" s="410"/>
      <c r="BQ259" s="410"/>
      <c r="BR259" s="410"/>
      <c r="BS259" s="410"/>
      <c r="BT259" s="410"/>
      <c r="BU259" s="410"/>
      <c r="BV259" s="410"/>
      <c r="BW259" s="410"/>
      <c r="BX259" s="410"/>
      <c r="BY259" s="410"/>
      <c r="BZ259" s="410"/>
      <c r="CA259" s="410"/>
      <c r="CB259" s="410"/>
      <c r="CC259" s="410"/>
      <c r="CD259" s="410"/>
      <c r="CE259" s="410"/>
      <c r="CF259" s="410"/>
      <c r="CG259" s="410"/>
      <c r="CH259" s="410"/>
      <c r="CI259" s="410"/>
      <c r="CJ259" s="410"/>
      <c r="CK259" s="410"/>
      <c r="CL259" s="410"/>
      <c r="CM259" s="410"/>
      <c r="CN259" s="410"/>
      <c r="CO259" s="410"/>
      <c r="CP259" s="410"/>
      <c r="CQ259" s="410"/>
      <c r="CR259" s="410"/>
      <c r="CS259" s="410"/>
      <c r="CT259" s="410"/>
      <c r="CU259" s="410"/>
      <c r="CV259" s="410"/>
      <c r="CW259" s="410"/>
      <c r="CX259" s="410"/>
      <c r="CY259" s="410"/>
      <c r="CZ259" s="410"/>
      <c r="DA259" s="410"/>
      <c r="DB259" s="410"/>
      <c r="DC259" s="410"/>
    </row>
    <row r="260" spans="1:107" s="619" customFormat="1" ht="12" customHeight="1">
      <c r="A260" s="572" t="s">
        <v>146</v>
      </c>
      <c r="B260" s="508"/>
      <c r="C260" s="635">
        <f>SUM(C254:C259)</f>
        <v>32301.598289310296</v>
      </c>
      <c r="D260" s="862">
        <f>SUM(D254:D259)</f>
        <v>48.797179893269288</v>
      </c>
      <c r="E260" s="635">
        <f>SUM(E254:E259)</f>
        <v>0</v>
      </c>
      <c r="F260" s="636">
        <f>SUM(F254:F259)</f>
        <v>0</v>
      </c>
      <c r="H260" s="627">
        <f>LOOKUP(B95,$DA$190:$DA$249,$BU$190:$BU$249)</f>
        <v>24</v>
      </c>
      <c r="I260" s="628">
        <f>LOOKUP(B95,$DA$190:$DA$249,$BS$190:$BS$249)</f>
        <v>0.52882864354886816</v>
      </c>
      <c r="J260" s="629">
        <f>AbsFeuchte(D95,I260,$N$19)</f>
        <v>10.520922822366909</v>
      </c>
      <c r="L260" s="410"/>
      <c r="M260" s="410"/>
      <c r="N260" s="410"/>
      <c r="O260" s="410"/>
      <c r="P260" s="410"/>
      <c r="Q260" s="410"/>
      <c r="R260" s="410"/>
      <c r="S260" s="410"/>
      <c r="T260" s="410"/>
      <c r="U260" s="410"/>
      <c r="V260" s="410"/>
      <c r="W260" s="410"/>
      <c r="X260" s="410"/>
      <c r="Y260" s="410"/>
      <c r="Z260" s="410"/>
      <c r="AA260" s="410"/>
      <c r="AB260" s="410"/>
      <c r="AC260" s="410"/>
      <c r="AD260" s="410"/>
      <c r="AE260" s="410"/>
      <c r="AF260" s="410"/>
      <c r="AG260" s="410"/>
      <c r="AH260" s="410"/>
      <c r="AI260" s="410"/>
      <c r="AJ260" s="410"/>
      <c r="AK260" s="410"/>
      <c r="AL260" s="410"/>
      <c r="AM260" s="410"/>
      <c r="AN260" s="410"/>
      <c r="AO260" s="410"/>
      <c r="AP260" s="410"/>
      <c r="AQ260" s="410"/>
      <c r="AR260" s="410"/>
      <c r="AS260" s="410"/>
      <c r="AT260" s="410"/>
      <c r="AU260" s="410"/>
      <c r="AV260" s="410"/>
      <c r="AW260" s="410"/>
      <c r="AX260" s="410"/>
      <c r="AY260" s="410"/>
      <c r="AZ260" s="410"/>
      <c r="BA260" s="410"/>
      <c r="BB260" s="410"/>
      <c r="BC260" s="410"/>
      <c r="BD260" s="410"/>
      <c r="BE260" s="410"/>
      <c r="BF260" s="410"/>
      <c r="BG260" s="410"/>
      <c r="BH260" s="410"/>
      <c r="BI260" s="410"/>
      <c r="BJ260" s="410"/>
      <c r="BK260" s="410"/>
      <c r="BL260" s="410"/>
      <c r="BM260" s="410"/>
      <c r="BN260" s="410"/>
      <c r="BO260" s="410"/>
      <c r="BP260" s="410"/>
      <c r="BQ260" s="410"/>
      <c r="BR260" s="410"/>
      <c r="BS260" s="410"/>
      <c r="BT260" s="410"/>
      <c r="BU260" s="410"/>
      <c r="BV260" s="410"/>
      <c r="BW260" s="410"/>
      <c r="BX260" s="410"/>
      <c r="BY260" s="410"/>
      <c r="BZ260" s="410"/>
      <c r="CA260" s="410"/>
      <c r="CB260" s="410"/>
      <c r="CC260" s="410"/>
      <c r="CD260" s="410"/>
      <c r="CE260" s="410"/>
      <c r="CF260" s="410"/>
      <c r="CG260" s="410"/>
      <c r="CH260" s="410"/>
      <c r="CI260" s="410"/>
      <c r="CJ260" s="410"/>
      <c r="CK260" s="410"/>
      <c r="CL260" s="410"/>
      <c r="CM260" s="410"/>
      <c r="CN260" s="410"/>
      <c r="CO260" s="410"/>
      <c r="CP260" s="410"/>
      <c r="CQ260" s="410"/>
      <c r="CR260" s="410"/>
      <c r="CS260" s="410"/>
      <c r="CT260" s="410"/>
      <c r="CU260" s="410"/>
      <c r="CV260" s="410"/>
      <c r="CW260" s="410"/>
      <c r="CX260" s="410"/>
      <c r="CY260" s="410"/>
      <c r="CZ260" s="410"/>
      <c r="DA260" s="410"/>
      <c r="DB260" s="410"/>
      <c r="DC260" s="410"/>
    </row>
    <row r="261" spans="1:107" s="619" customFormat="1" ht="12" customHeight="1">
      <c r="A261" s="463"/>
      <c r="B261" s="410"/>
      <c r="C261" s="410" t="s">
        <v>993</v>
      </c>
      <c r="D261" s="438" t="s">
        <v>988</v>
      </c>
      <c r="E261" s="410" t="s">
        <v>993</v>
      </c>
      <c r="F261" s="575" t="s">
        <v>988</v>
      </c>
      <c r="H261" s="627">
        <f>LOOKUP(B96,$DA$190:$DA$249,$BU$190:$BU$249)</f>
        <v>26</v>
      </c>
      <c r="I261" s="628">
        <f>LOOKUP(B96,$DA$190:$DA$249,$BS$190:$BS$249)</f>
        <v>0.4796803738788023</v>
      </c>
      <c r="J261" s="629">
        <f>AbsFeuchte(D96,I261,$N$19)</f>
        <v>10.755466781354569</v>
      </c>
      <c r="L261" s="410"/>
      <c r="M261" s="410"/>
      <c r="N261" s="410"/>
      <c r="O261" s="410"/>
      <c r="P261" s="410"/>
      <c r="Q261" s="410"/>
      <c r="R261" s="410"/>
      <c r="S261" s="410"/>
      <c r="T261" s="410"/>
      <c r="U261" s="410"/>
      <c r="V261" s="410"/>
      <c r="W261" s="410"/>
      <c r="X261" s="410"/>
      <c r="Y261" s="410"/>
      <c r="Z261" s="410"/>
      <c r="AA261" s="410"/>
      <c r="AB261" s="410"/>
      <c r="AC261" s="410"/>
      <c r="AD261" s="410"/>
      <c r="AE261" s="410"/>
      <c r="AF261" s="410"/>
      <c r="AG261" s="410"/>
      <c r="AH261" s="410"/>
      <c r="AI261" s="410"/>
      <c r="AJ261" s="410"/>
      <c r="AK261" s="410"/>
      <c r="AL261" s="410"/>
      <c r="AM261" s="410"/>
      <c r="AN261" s="410"/>
      <c r="AO261" s="410"/>
      <c r="AP261" s="410"/>
      <c r="AQ261" s="410"/>
      <c r="AR261" s="410"/>
      <c r="AS261" s="410"/>
      <c r="AT261" s="410"/>
      <c r="AU261" s="410"/>
      <c r="AV261" s="410"/>
      <c r="AW261" s="410"/>
      <c r="AX261" s="410"/>
      <c r="AY261" s="410"/>
      <c r="AZ261" s="410"/>
      <c r="BA261" s="410"/>
      <c r="BB261" s="410"/>
      <c r="BC261" s="410"/>
      <c r="BD261" s="410"/>
      <c r="BE261" s="410"/>
      <c r="BF261" s="410"/>
      <c r="BG261" s="410"/>
      <c r="BH261" s="410"/>
      <c r="BI261" s="410"/>
      <c r="BJ261" s="410"/>
      <c r="BK261" s="410"/>
      <c r="BL261" s="410"/>
      <c r="BM261" s="410"/>
      <c r="BN261" s="410"/>
      <c r="BO261" s="410"/>
      <c r="BP261" s="410"/>
      <c r="BQ261" s="410"/>
      <c r="BR261" s="410"/>
      <c r="BS261" s="410"/>
      <c r="BT261" s="410"/>
      <c r="BU261" s="410"/>
      <c r="BV261" s="410"/>
      <c r="BW261" s="410"/>
      <c r="BX261" s="410"/>
      <c r="BY261" s="410"/>
      <c r="BZ261" s="410"/>
      <c r="CA261" s="410"/>
      <c r="CB261" s="410"/>
      <c r="CC261" s="410"/>
      <c r="CD261" s="410"/>
      <c r="CE261" s="410"/>
      <c r="CF261" s="410"/>
      <c r="CG261" s="410"/>
      <c r="CH261" s="410"/>
      <c r="CI261" s="410"/>
      <c r="CJ261" s="410"/>
      <c r="CK261" s="410"/>
      <c r="CL261" s="410"/>
      <c r="CM261" s="410"/>
      <c r="CN261" s="410"/>
      <c r="CO261" s="410"/>
      <c r="CP261" s="410"/>
      <c r="CQ261" s="410"/>
      <c r="CR261" s="410"/>
      <c r="CS261" s="410"/>
      <c r="CT261" s="410"/>
      <c r="CU261" s="410"/>
      <c r="CV261" s="410"/>
      <c r="CW261" s="410"/>
      <c r="CX261" s="410"/>
      <c r="CY261" s="410"/>
      <c r="CZ261" s="410"/>
      <c r="DA261" s="410"/>
      <c r="DB261" s="410"/>
      <c r="DC261" s="410"/>
    </row>
    <row r="262" spans="1:107" s="619" customFormat="1" ht="12" customHeight="1">
      <c r="A262" s="437" t="s">
        <v>994</v>
      </c>
      <c r="B262" s="410"/>
      <c r="C262" s="573">
        <f>IFERROR(CH182,0)</f>
        <v>9.98623714899278E-12</v>
      </c>
      <c r="D262" s="573">
        <f>IFERROR(C262/1000*I29/100,0)</f>
        <v>1.8474538725636644E-14</v>
      </c>
      <c r="E262" s="573">
        <f>IFERROR(CH250,0)</f>
        <v>0</v>
      </c>
      <c r="F262" s="630">
        <f>IFERROR(E262/1000*J29/100,0)</f>
        <v>0</v>
      </c>
      <c r="H262" s="632">
        <f>LOOKUP(B97,$DA$190:$DA$249,$BU$190:$BU$249)</f>
        <v>26</v>
      </c>
      <c r="I262" s="633">
        <f>LOOKUP(B97,$DA$190:$DA$249,$BS$190:$BS$249)</f>
        <v>0.53291186584883676</v>
      </c>
      <c r="J262" s="634">
        <f>AbsFeuchte(D97,I262,$N$19)</f>
        <v>11.972004694348753</v>
      </c>
      <c r="L262" s="410"/>
      <c r="M262" s="410"/>
      <c r="N262" s="410"/>
      <c r="O262" s="410"/>
      <c r="P262" s="410"/>
      <c r="Q262" s="410"/>
      <c r="R262" s="410"/>
      <c r="S262" s="410"/>
      <c r="T262" s="410"/>
      <c r="U262" s="410"/>
      <c r="V262" s="410"/>
      <c r="W262" s="410"/>
      <c r="X262" s="410"/>
      <c r="Y262" s="410"/>
      <c r="Z262" s="410"/>
      <c r="AA262" s="410"/>
      <c r="AB262" s="410"/>
      <c r="AC262" s="410"/>
      <c r="AD262" s="410"/>
      <c r="AE262" s="410"/>
      <c r="AF262" s="410"/>
      <c r="AG262" s="410"/>
      <c r="AH262" s="410"/>
      <c r="AI262" s="410"/>
      <c r="AJ262" s="410"/>
      <c r="AK262" s="410"/>
      <c r="AL262" s="410"/>
      <c r="AM262" s="410"/>
      <c r="AN262" s="410"/>
      <c r="AO262" s="410"/>
      <c r="AP262" s="410"/>
      <c r="AQ262" s="410"/>
      <c r="AR262" s="410"/>
      <c r="AS262" s="410"/>
      <c r="AT262" s="410"/>
      <c r="AU262" s="410"/>
      <c r="AV262" s="410"/>
      <c r="AW262" s="410"/>
      <c r="AX262" s="410"/>
      <c r="AY262" s="410"/>
      <c r="AZ262" s="410"/>
      <c r="BA262" s="410"/>
      <c r="BB262" s="410"/>
      <c r="BC262" s="410"/>
      <c r="BD262" s="410"/>
      <c r="BE262" s="410"/>
      <c r="BF262" s="410"/>
      <c r="BG262" s="410"/>
      <c r="BH262" s="410"/>
      <c r="BI262" s="410"/>
      <c r="BJ262" s="410"/>
      <c r="BK262" s="410"/>
      <c r="BL262" s="410"/>
      <c r="BM262" s="410"/>
      <c r="BN262" s="410"/>
      <c r="BO262" s="410"/>
      <c r="BP262" s="410"/>
      <c r="BQ262" s="410"/>
      <c r="BR262" s="410"/>
      <c r="BS262" s="410"/>
      <c r="BT262" s="410"/>
      <c r="BU262" s="410"/>
      <c r="BV262" s="410"/>
      <c r="BW262" s="410"/>
      <c r="BX262" s="410"/>
      <c r="BY262" s="410"/>
      <c r="BZ262" s="410"/>
      <c r="CA262" s="410"/>
      <c r="CB262" s="410"/>
      <c r="CC262" s="410"/>
      <c r="CD262" s="410"/>
      <c r="CE262" s="410"/>
      <c r="CF262" s="410"/>
      <c r="CG262" s="410"/>
      <c r="CH262" s="410"/>
      <c r="CI262" s="410"/>
      <c r="CJ262" s="410"/>
      <c r="CK262" s="410"/>
      <c r="CL262" s="410"/>
      <c r="CM262" s="410"/>
      <c r="CN262" s="410"/>
      <c r="CO262" s="410"/>
      <c r="CP262" s="410"/>
      <c r="CQ262" s="410"/>
      <c r="CR262" s="410"/>
      <c r="CS262" s="410"/>
      <c r="CT262" s="410"/>
      <c r="CU262" s="410"/>
      <c r="CV262" s="410"/>
      <c r="CW262" s="410"/>
      <c r="CX262" s="410"/>
      <c r="CY262" s="410"/>
      <c r="CZ262" s="410"/>
      <c r="DA262" s="410"/>
      <c r="DB262" s="410"/>
      <c r="DC262" s="410"/>
    </row>
    <row r="263" spans="1:107" s="619" customFormat="1" ht="12" customHeight="1">
      <c r="A263" s="517" t="s">
        <v>149</v>
      </c>
      <c r="B263" s="518"/>
      <c r="C263" s="637">
        <f>IFERROR(CL182,0)</f>
        <v>8.8773306412307155E-12</v>
      </c>
      <c r="D263" s="637">
        <v>0</v>
      </c>
      <c r="E263" s="637">
        <f>IFERROR(CL250,0)</f>
        <v>0</v>
      </c>
      <c r="F263" s="638">
        <v>0</v>
      </c>
      <c r="G263" s="573"/>
      <c r="H263" s="410"/>
      <c r="I263" s="410"/>
      <c r="J263" s="410"/>
      <c r="L263" s="410"/>
      <c r="M263" s="410"/>
      <c r="N263" s="410"/>
      <c r="O263" s="410"/>
      <c r="P263" s="410"/>
      <c r="Q263" s="410"/>
      <c r="R263" s="410"/>
      <c r="S263" s="410"/>
      <c r="T263" s="410"/>
      <c r="U263" s="410"/>
      <c r="V263" s="410"/>
      <c r="W263" s="410"/>
      <c r="X263" s="410"/>
      <c r="Y263" s="410"/>
      <c r="Z263" s="410"/>
      <c r="AA263" s="410"/>
      <c r="AB263" s="410"/>
      <c r="AC263" s="410"/>
      <c r="AD263" s="410"/>
      <c r="AE263" s="410"/>
      <c r="AF263" s="410"/>
      <c r="AG263" s="410"/>
      <c r="AH263" s="410"/>
      <c r="AI263" s="410"/>
      <c r="AJ263" s="410"/>
      <c r="AK263" s="410"/>
      <c r="AL263" s="410"/>
      <c r="AM263" s="410"/>
      <c r="AN263" s="410"/>
      <c r="AO263" s="410"/>
      <c r="AP263" s="410"/>
      <c r="AQ263" s="410"/>
      <c r="AR263" s="410"/>
      <c r="AS263" s="410"/>
      <c r="AT263" s="410"/>
      <c r="AU263" s="410"/>
      <c r="AV263" s="410"/>
      <c r="AW263" s="410"/>
      <c r="AX263" s="410"/>
      <c r="AY263" s="410"/>
      <c r="AZ263" s="410"/>
      <c r="BA263" s="410"/>
      <c r="BB263" s="410"/>
      <c r="BC263" s="410"/>
      <c r="BD263" s="410"/>
      <c r="BE263" s="410"/>
      <c r="BF263" s="410"/>
      <c r="BG263" s="410"/>
      <c r="BH263" s="410"/>
      <c r="BI263" s="410"/>
      <c r="BJ263" s="410"/>
      <c r="BK263" s="410"/>
      <c r="BL263" s="410"/>
      <c r="BM263" s="410"/>
      <c r="BN263" s="410"/>
      <c r="BO263" s="410"/>
      <c r="BP263" s="410"/>
      <c r="BQ263" s="410"/>
      <c r="BR263" s="410"/>
      <c r="BS263" s="410"/>
      <c r="BT263" s="410"/>
      <c r="BU263" s="410"/>
      <c r="BV263" s="410"/>
      <c r="BW263" s="410"/>
      <c r="BX263" s="410"/>
      <c r="BY263" s="410"/>
      <c r="BZ263" s="410"/>
      <c r="CA263" s="410"/>
      <c r="CB263" s="410"/>
      <c r="CC263" s="410"/>
      <c r="CD263" s="410"/>
      <c r="CE263" s="410"/>
      <c r="CF263" s="410"/>
      <c r="CG263" s="410"/>
      <c r="CH263" s="410"/>
      <c r="CI263" s="410"/>
      <c r="CJ263" s="410"/>
      <c r="CK263" s="410"/>
      <c r="CL263" s="410"/>
      <c r="CM263" s="410"/>
      <c r="CN263" s="410"/>
      <c r="CO263" s="410"/>
      <c r="CP263" s="410"/>
      <c r="CQ263" s="410"/>
      <c r="CR263" s="410"/>
      <c r="CS263" s="410"/>
      <c r="CT263" s="410"/>
      <c r="CU263" s="410"/>
      <c r="CV263" s="410"/>
      <c r="CW263" s="410"/>
      <c r="CX263" s="410"/>
      <c r="CY263" s="410"/>
      <c r="CZ263" s="410"/>
      <c r="DA263" s="410"/>
      <c r="DB263" s="410"/>
      <c r="DC263" s="410"/>
    </row>
    <row r="264" spans="1:107" s="619" customFormat="1" ht="12" customHeight="1">
      <c r="A264" s="572" t="s">
        <v>995</v>
      </c>
      <c r="B264" s="639" t="s">
        <v>996</v>
      </c>
      <c r="C264" s="441"/>
      <c r="D264" s="570" t="s">
        <v>997</v>
      </c>
      <c r="E264" s="640"/>
      <c r="H264" s="641" t="s">
        <v>916</v>
      </c>
      <c r="I264" s="642"/>
      <c r="J264" s="642"/>
      <c r="K264" s="436"/>
      <c r="L264" s="436"/>
      <c r="M264" s="436"/>
      <c r="N264" s="434"/>
      <c r="O264" s="818"/>
      <c r="P264" s="819"/>
      <c r="Q264" s="410"/>
      <c r="R264" s="410"/>
      <c r="S264" s="410"/>
      <c r="T264" s="410"/>
      <c r="U264" s="410"/>
      <c r="V264" s="410"/>
      <c r="W264" s="410"/>
      <c r="X264" s="410"/>
      <c r="Y264" s="410"/>
      <c r="Z264" s="410"/>
      <c r="AA264" s="410"/>
      <c r="AB264" s="410"/>
      <c r="AC264" s="410"/>
      <c r="AD264" s="410"/>
      <c r="AE264" s="410"/>
      <c r="AF264" s="410"/>
      <c r="AG264" s="410"/>
      <c r="AH264" s="410"/>
      <c r="AI264" s="410"/>
      <c r="AJ264" s="410"/>
      <c r="AK264" s="410"/>
      <c r="AL264" s="410"/>
      <c r="AM264" s="410"/>
      <c r="AN264" s="410"/>
      <c r="AO264" s="410"/>
      <c r="AP264" s="410"/>
      <c r="AQ264" s="410"/>
      <c r="AR264" s="410"/>
      <c r="AS264" s="410"/>
      <c r="AT264" s="410"/>
      <c r="AU264" s="410"/>
      <c r="AV264" s="410"/>
      <c r="AW264" s="410"/>
      <c r="AX264" s="410"/>
      <c r="AY264" s="410"/>
      <c r="AZ264" s="410"/>
      <c r="BA264" s="410"/>
      <c r="BB264" s="410"/>
      <c r="BC264" s="410"/>
      <c r="BD264" s="410"/>
      <c r="BE264" s="410"/>
      <c r="BF264" s="410"/>
      <c r="BG264" s="410"/>
      <c r="BH264" s="410"/>
      <c r="BI264" s="410"/>
      <c r="BJ264" s="410"/>
      <c r="BK264" s="410"/>
      <c r="BL264" s="410"/>
      <c r="BM264" s="410"/>
      <c r="BN264" s="410"/>
      <c r="BO264" s="410"/>
      <c r="BP264" s="410"/>
      <c r="BQ264" s="410"/>
      <c r="BR264" s="410"/>
      <c r="BS264" s="410"/>
      <c r="BT264" s="410"/>
      <c r="BU264" s="410"/>
      <c r="BV264" s="410"/>
      <c r="BW264" s="410"/>
      <c r="BX264" s="410"/>
      <c r="BY264" s="410"/>
      <c r="BZ264" s="410"/>
      <c r="CA264" s="410"/>
      <c r="CB264" s="410"/>
      <c r="CC264" s="410"/>
      <c r="CD264" s="410"/>
      <c r="CE264" s="410"/>
      <c r="CF264" s="410"/>
      <c r="CG264" s="410"/>
      <c r="CH264" s="410"/>
      <c r="CI264" s="410"/>
      <c r="CJ264" s="410"/>
      <c r="CK264" s="410"/>
      <c r="CL264" s="410"/>
      <c r="CM264" s="410"/>
      <c r="CN264" s="410"/>
      <c r="CO264" s="410"/>
      <c r="CP264" s="410"/>
      <c r="CQ264" s="410"/>
      <c r="CR264" s="410"/>
      <c r="CS264" s="410"/>
      <c r="CT264" s="410"/>
      <c r="CU264" s="410"/>
      <c r="CV264" s="410"/>
      <c r="CW264" s="410"/>
      <c r="CX264" s="410"/>
      <c r="CY264" s="410"/>
      <c r="CZ264" s="410"/>
      <c r="DA264" s="410"/>
      <c r="DB264" s="410"/>
      <c r="DC264" s="410"/>
    </row>
    <row r="265" spans="1:107" s="619" customFormat="1" ht="12" customHeight="1">
      <c r="A265" s="437" t="s">
        <v>998</v>
      </c>
      <c r="B265" s="643" t="s">
        <v>736</v>
      </c>
      <c r="C265" s="644" t="s">
        <v>737</v>
      </c>
      <c r="D265" s="645" t="s">
        <v>736</v>
      </c>
      <c r="E265" s="644" t="s">
        <v>737</v>
      </c>
      <c r="G265" s="410"/>
      <c r="H265" s="437" t="str">
        <f>Begriffe!F152</f>
        <v>Aussentemperatur</v>
      </c>
      <c r="I265" s="410" t="str">
        <f>Begriffe!F153</f>
        <v>Luftförderung</v>
      </c>
      <c r="J265" s="410" t="str">
        <f>Begriffe!F154</f>
        <v>Lufterwärmung</v>
      </c>
      <c r="K265" s="410" t="str">
        <f>Begriffe!F155</f>
        <v>Erwärmung Befeuchtung</v>
      </c>
      <c r="L265" s="410" t="str">
        <f>Begriffe!F156</f>
        <v>Luftkühlung</v>
      </c>
      <c r="M265" s="410" t="str">
        <f>Begriffe!F157</f>
        <v>Kühlung Entfeuchtung</v>
      </c>
      <c r="N265" s="441" t="str">
        <f>Begriffe!F158</f>
        <v>Erwärmung Entfeuchtung</v>
      </c>
      <c r="O265" s="437" t="s">
        <v>1092</v>
      </c>
      <c r="P265" s="441" t="s">
        <v>1093</v>
      </c>
      <c r="Q265" s="410"/>
      <c r="R265" s="410"/>
      <c r="S265" s="410"/>
      <c r="T265" s="410"/>
      <c r="U265" s="410"/>
      <c r="V265" s="410"/>
      <c r="W265" s="410"/>
      <c r="X265" s="410"/>
      <c r="Y265" s="410"/>
      <c r="Z265" s="410"/>
      <c r="AA265" s="410"/>
      <c r="AB265" s="410"/>
      <c r="AC265" s="410"/>
      <c r="AD265" s="410"/>
      <c r="AE265" s="410"/>
      <c r="AF265" s="410"/>
      <c r="AG265" s="410"/>
      <c r="AH265" s="410"/>
      <c r="AI265" s="410"/>
      <c r="AJ265" s="410"/>
      <c r="AK265" s="410"/>
      <c r="AL265" s="410"/>
      <c r="AM265" s="410"/>
      <c r="AN265" s="410"/>
      <c r="AO265" s="410"/>
      <c r="AP265" s="410"/>
      <c r="AQ265" s="410"/>
      <c r="AR265" s="410"/>
      <c r="AS265" s="410"/>
      <c r="AT265" s="410"/>
      <c r="AU265" s="410"/>
      <c r="AV265" s="410"/>
      <c r="AW265" s="410"/>
      <c r="AX265" s="410"/>
      <c r="AY265" s="410"/>
      <c r="AZ265" s="410"/>
      <c r="BA265" s="410"/>
      <c r="BB265" s="410"/>
      <c r="BC265" s="410"/>
      <c r="BD265" s="410"/>
      <c r="BE265" s="410"/>
      <c r="BF265" s="410"/>
      <c r="BG265" s="410"/>
      <c r="BH265" s="410"/>
      <c r="BI265" s="410"/>
      <c r="BJ265" s="410"/>
      <c r="BK265" s="410"/>
      <c r="BL265" s="410"/>
      <c r="BM265" s="410"/>
      <c r="BN265" s="410"/>
      <c r="BO265" s="410"/>
      <c r="BP265" s="410"/>
      <c r="BQ265" s="410"/>
      <c r="BR265" s="410"/>
      <c r="BS265" s="410"/>
      <c r="BT265" s="410"/>
      <c r="BU265" s="410"/>
      <c r="BV265" s="410"/>
      <c r="BW265" s="410"/>
      <c r="BX265" s="410"/>
      <c r="BY265" s="410"/>
      <c r="BZ265" s="410"/>
      <c r="CA265" s="410"/>
      <c r="CB265" s="410"/>
      <c r="CC265" s="410"/>
      <c r="CD265" s="410"/>
      <c r="CE265" s="410"/>
      <c r="CF265" s="410"/>
      <c r="CG265" s="410"/>
      <c r="CH265" s="410"/>
      <c r="CI265" s="410"/>
      <c r="CJ265" s="410"/>
      <c r="CK265" s="410"/>
      <c r="CL265" s="410"/>
      <c r="CM265" s="410"/>
      <c r="CN265" s="410"/>
      <c r="CO265" s="410"/>
      <c r="CP265" s="410"/>
      <c r="CQ265" s="410"/>
      <c r="CR265" s="410"/>
      <c r="CS265" s="410"/>
      <c r="CT265" s="410"/>
      <c r="CU265" s="410"/>
      <c r="CV265" s="410"/>
      <c r="CW265" s="410"/>
      <c r="CX265" s="410"/>
      <c r="CY265" s="410"/>
      <c r="CZ265" s="410"/>
      <c r="DA265" s="410"/>
      <c r="DB265" s="410"/>
      <c r="DC265" s="410"/>
    </row>
    <row r="266" spans="1:107" s="619" customFormat="1" ht="12" customHeight="1">
      <c r="A266" s="646" t="s">
        <v>132</v>
      </c>
      <c r="B266" s="619" t="s">
        <v>112</v>
      </c>
      <c r="C266" s="647" t="s">
        <v>112</v>
      </c>
      <c r="D266" s="646" t="s">
        <v>112</v>
      </c>
      <c r="E266" s="647" t="s">
        <v>112</v>
      </c>
      <c r="G266" s="410"/>
      <c r="H266" s="646" t="s">
        <v>132</v>
      </c>
      <c r="I266" s="410" t="s">
        <v>629</v>
      </c>
      <c r="J266" s="410" t="s">
        <v>629</v>
      </c>
      <c r="K266" s="410" t="s">
        <v>629</v>
      </c>
      <c r="L266" s="410" t="s">
        <v>629</v>
      </c>
      <c r="M266" s="410" t="s">
        <v>629</v>
      </c>
      <c r="N266" s="441" t="s">
        <v>629</v>
      </c>
      <c r="O266" s="437" t="s">
        <v>132</v>
      </c>
      <c r="P266" s="441" t="s">
        <v>653</v>
      </c>
      <c r="Q266" s="410"/>
      <c r="R266" s="410"/>
      <c r="S266" s="410"/>
      <c r="T266" s="410"/>
      <c r="U266" s="410"/>
      <c r="V266" s="410"/>
      <c r="W266" s="410"/>
      <c r="X266" s="410"/>
      <c r="Y266" s="410"/>
      <c r="Z266" s="410"/>
      <c r="AA266" s="410"/>
      <c r="AB266" s="410"/>
      <c r="AC266" s="410"/>
      <c r="AD266" s="410"/>
      <c r="AE266" s="410"/>
      <c r="AF266" s="410"/>
      <c r="AG266" s="410"/>
      <c r="AH266" s="410"/>
      <c r="AI266" s="410"/>
      <c r="AJ266" s="410"/>
      <c r="AK266" s="410"/>
      <c r="AL266" s="410"/>
      <c r="AM266" s="410"/>
      <c r="AN266" s="410"/>
      <c r="AO266" s="410"/>
      <c r="AP266" s="410"/>
      <c r="AQ266" s="410"/>
      <c r="AR266" s="410"/>
      <c r="AS266" s="410"/>
      <c r="AT266" s="410"/>
      <c r="AU266" s="410"/>
      <c r="AV266" s="410"/>
      <c r="AW266" s="410"/>
      <c r="AX266" s="410"/>
      <c r="AY266" s="410"/>
      <c r="AZ266" s="410"/>
      <c r="BA266" s="410"/>
      <c r="BB266" s="410"/>
      <c r="BC266" s="410"/>
      <c r="BD266" s="410"/>
      <c r="BE266" s="410"/>
      <c r="BF266" s="410"/>
      <c r="BG266" s="410"/>
      <c r="BH266" s="410"/>
      <c r="BI266" s="410"/>
      <c r="BJ266" s="410"/>
      <c r="BK266" s="410"/>
      <c r="BL266" s="410"/>
      <c r="BM266" s="410"/>
      <c r="BN266" s="410"/>
      <c r="BO266" s="410"/>
      <c r="BP266" s="410"/>
      <c r="BQ266" s="410"/>
      <c r="BR266" s="410"/>
      <c r="BS266" s="410"/>
      <c r="BT266" s="410"/>
      <c r="BU266" s="410"/>
      <c r="BV266" s="410"/>
      <c r="BW266" s="410"/>
      <c r="BX266" s="410"/>
      <c r="BY266" s="410"/>
      <c r="BZ266" s="410"/>
      <c r="CA266" s="410"/>
      <c r="CB266" s="410"/>
      <c r="CC266" s="410"/>
      <c r="CD266" s="410"/>
      <c r="CE266" s="410"/>
      <c r="CF266" s="410"/>
      <c r="CG266" s="410"/>
      <c r="CH266" s="410"/>
      <c r="CI266" s="410"/>
      <c r="CJ266" s="410"/>
      <c r="CK266" s="410"/>
      <c r="CL266" s="410"/>
      <c r="CM266" s="410"/>
      <c r="CN266" s="410"/>
      <c r="CO266" s="410"/>
      <c r="CP266" s="410"/>
      <c r="CQ266" s="410"/>
      <c r="CR266" s="410"/>
      <c r="CS266" s="410"/>
      <c r="CT266" s="410"/>
      <c r="CU266" s="410"/>
      <c r="CV266" s="410"/>
      <c r="CW266" s="410"/>
      <c r="CX266" s="410"/>
      <c r="CY266" s="410"/>
      <c r="CZ266" s="410"/>
      <c r="DA266" s="410"/>
      <c r="DB266" s="410"/>
      <c r="DC266" s="410"/>
    </row>
    <row r="267" spans="1:107" s="619" customFormat="1" ht="12" customHeight="1">
      <c r="A267" s="648">
        <v>-25</v>
      </c>
      <c r="B267" s="573">
        <f>IFERROR((CK121+CF121)*1000/Klimadaten!O5,0)</f>
        <v>0</v>
      </c>
      <c r="C267" s="630">
        <f>IFERROR((CK189+CF189)*1000/Klimadaten!O5,0)</f>
        <v>0</v>
      </c>
      <c r="D267" s="645">
        <f>IFERROR((CE121+CJ121)*1000/Klimadaten!O5,0)</f>
        <v>0</v>
      </c>
      <c r="E267" s="644">
        <f>IFERROR((CE189+CJ189)*1000/Klimadaten!O5,0)</f>
        <v>0</v>
      </c>
      <c r="F267" s="410"/>
      <c r="G267" s="410"/>
      <c r="H267" s="648">
        <f>A267</f>
        <v>-25</v>
      </c>
      <c r="I267" s="649">
        <f>CT121*1000</f>
        <v>0</v>
      </c>
      <c r="J267" s="410">
        <f>CK121*1000</f>
        <v>0</v>
      </c>
      <c r="K267" s="573">
        <f>CM121*1000</f>
        <v>0</v>
      </c>
      <c r="L267" s="410">
        <f>CJ121*1000</f>
        <v>0</v>
      </c>
      <c r="M267" s="410">
        <f>CE121*1000</f>
        <v>0</v>
      </c>
      <c r="N267" s="441">
        <f>CF121*1000</f>
        <v>0</v>
      </c>
      <c r="O267" s="479">
        <f>BN121</f>
        <v>21.27027027027027</v>
      </c>
      <c r="P267" s="615">
        <f>BO121*100</f>
        <v>0</v>
      </c>
      <c r="Q267" s="410"/>
      <c r="R267" s="410"/>
      <c r="S267" s="410"/>
      <c r="T267" s="410"/>
      <c r="U267" s="410"/>
      <c r="V267" s="410"/>
      <c r="W267" s="410"/>
      <c r="X267" s="410"/>
      <c r="Y267" s="410"/>
      <c r="Z267" s="410"/>
      <c r="AA267" s="410"/>
      <c r="AB267" s="410"/>
      <c r="AC267" s="410"/>
      <c r="AD267" s="410"/>
      <c r="AE267" s="410"/>
      <c r="AF267" s="410"/>
      <c r="AG267" s="410"/>
      <c r="AH267" s="410"/>
      <c r="AI267" s="410"/>
      <c r="AJ267" s="410"/>
      <c r="AK267" s="410"/>
      <c r="AL267" s="410"/>
      <c r="AM267" s="410"/>
      <c r="AN267" s="410"/>
      <c r="AO267" s="410"/>
      <c r="AP267" s="410"/>
      <c r="AQ267" s="410"/>
      <c r="AR267" s="410"/>
      <c r="AS267" s="410"/>
      <c r="AT267" s="410"/>
      <c r="AU267" s="410"/>
      <c r="AV267" s="410"/>
      <c r="AW267" s="410"/>
      <c r="AX267" s="410"/>
      <c r="AY267" s="410"/>
      <c r="AZ267" s="410"/>
      <c r="BA267" s="410"/>
      <c r="BB267" s="410"/>
      <c r="BC267" s="410"/>
      <c r="BD267" s="410"/>
      <c r="BE267" s="410"/>
      <c r="BF267" s="410"/>
      <c r="BG267" s="410"/>
      <c r="BH267" s="410"/>
      <c r="BI267" s="410"/>
      <c r="BJ267" s="410"/>
      <c r="BK267" s="410"/>
      <c r="BL267" s="410"/>
      <c r="BM267" s="410"/>
      <c r="BN267" s="410"/>
      <c r="BO267" s="410"/>
      <c r="BP267" s="410"/>
      <c r="BQ267" s="410"/>
      <c r="BR267" s="410"/>
      <c r="BS267" s="410"/>
      <c r="BT267" s="410"/>
      <c r="BU267" s="410"/>
      <c r="BV267" s="410"/>
      <c r="BW267" s="410"/>
      <c r="BX267" s="410"/>
      <c r="BY267" s="410"/>
      <c r="BZ267" s="410"/>
      <c r="CA267" s="410"/>
      <c r="CB267" s="410"/>
      <c r="CC267" s="410"/>
      <c r="CD267" s="410"/>
      <c r="CE267" s="410"/>
      <c r="CF267" s="410"/>
      <c r="CG267" s="410"/>
      <c r="CH267" s="410"/>
      <c r="CI267" s="410"/>
      <c r="CJ267" s="410"/>
      <c r="CK267" s="410"/>
      <c r="CL267" s="410"/>
      <c r="CM267" s="410"/>
      <c r="CN267" s="410"/>
      <c r="CO267" s="410"/>
      <c r="CP267" s="410"/>
      <c r="CQ267" s="410"/>
      <c r="CR267" s="410"/>
      <c r="CS267" s="410"/>
      <c r="CT267" s="410"/>
      <c r="CU267" s="410"/>
      <c r="CV267" s="410"/>
      <c r="CW267" s="410"/>
      <c r="CX267" s="410"/>
      <c r="CY267" s="410"/>
      <c r="CZ267" s="410"/>
      <c r="DA267" s="410"/>
      <c r="DB267" s="410"/>
      <c r="DC267" s="410"/>
    </row>
    <row r="268" spans="1:107" s="619" customFormat="1" ht="12" customHeight="1">
      <c r="A268" s="648">
        <v>-24</v>
      </c>
      <c r="B268" s="573">
        <f>IFERROR((CK122+CF122)*1000/Klimadaten!O6,0)</f>
        <v>0</v>
      </c>
      <c r="C268" s="630">
        <f>IFERROR((CK190+CF190)*1000/Klimadaten!O6,0)</f>
        <v>0</v>
      </c>
      <c r="D268" s="645">
        <f>IFERROR((CE122+CJ122)*1000/Klimadaten!O6,0)</f>
        <v>0</v>
      </c>
      <c r="E268" s="644">
        <f>IFERROR((CE190+CJ190)*1000/Klimadaten!O6,0)</f>
        <v>0</v>
      </c>
      <c r="F268" s="410"/>
      <c r="G268" s="410"/>
      <c r="H268" s="648">
        <f t="shared" ref="H268:H327" si="238">A268</f>
        <v>-24</v>
      </c>
      <c r="I268" s="649">
        <f t="shared" ref="I268:I327" si="239">CT122*1000</f>
        <v>0</v>
      </c>
      <c r="J268" s="410">
        <f t="shared" ref="J268:J327" si="240">CK122*1000</f>
        <v>0</v>
      </c>
      <c r="K268" s="573">
        <f t="shared" ref="K268:K327" si="241">CM122*1000</f>
        <v>0</v>
      </c>
      <c r="L268" s="410">
        <f t="shared" ref="L268:L327" si="242">CJ122*1000</f>
        <v>0</v>
      </c>
      <c r="M268" s="410">
        <f t="shared" ref="M268:N283" si="243">CE122*1000</f>
        <v>0</v>
      </c>
      <c r="N268" s="441">
        <f t="shared" si="243"/>
        <v>0</v>
      </c>
      <c r="O268" s="479">
        <f t="shared" ref="O268" si="244">BN122</f>
        <v>21.243243243243242</v>
      </c>
      <c r="P268" s="615">
        <f t="shared" ref="P268:P327" si="245">BO122*100</f>
        <v>0</v>
      </c>
      <c r="Q268" s="410"/>
      <c r="R268" s="410"/>
      <c r="S268" s="410"/>
      <c r="T268" s="410"/>
      <c r="U268" s="410"/>
      <c r="V268" s="410"/>
      <c r="W268" s="410"/>
      <c r="X268" s="410"/>
      <c r="Y268" s="410"/>
      <c r="Z268" s="410"/>
      <c r="AA268" s="410"/>
      <c r="AB268" s="410"/>
      <c r="AC268" s="410"/>
      <c r="AD268" s="410"/>
      <c r="AE268" s="410"/>
      <c r="AF268" s="410"/>
      <c r="AG268" s="410"/>
      <c r="AH268" s="410"/>
      <c r="AI268" s="410"/>
      <c r="AJ268" s="410"/>
      <c r="AK268" s="410"/>
      <c r="AL268" s="410"/>
      <c r="AM268" s="410"/>
      <c r="AN268" s="410"/>
      <c r="AO268" s="410"/>
      <c r="AP268" s="410"/>
      <c r="AQ268" s="410"/>
      <c r="AR268" s="410"/>
      <c r="AS268" s="410"/>
      <c r="AT268" s="410"/>
      <c r="AU268" s="410"/>
      <c r="AV268" s="410"/>
      <c r="AW268" s="410"/>
      <c r="AX268" s="410"/>
      <c r="AY268" s="410"/>
      <c r="AZ268" s="410"/>
      <c r="BA268" s="410"/>
      <c r="BB268" s="410"/>
      <c r="BC268" s="410"/>
      <c r="BD268" s="410"/>
      <c r="BE268" s="410"/>
      <c r="BF268" s="410"/>
      <c r="BG268" s="410"/>
      <c r="BH268" s="410"/>
      <c r="BI268" s="410"/>
      <c r="BJ268" s="410"/>
      <c r="BK268" s="410"/>
      <c r="BL268" s="410"/>
      <c r="BM268" s="410"/>
      <c r="BN268" s="410"/>
      <c r="BO268" s="410"/>
      <c r="BP268" s="410"/>
      <c r="BQ268" s="410"/>
      <c r="BR268" s="410"/>
      <c r="BS268" s="410"/>
      <c r="BT268" s="410"/>
      <c r="BU268" s="410"/>
      <c r="BV268" s="410"/>
      <c r="BW268" s="410"/>
      <c r="BX268" s="410"/>
      <c r="BY268" s="410"/>
      <c r="BZ268" s="410"/>
      <c r="CA268" s="410"/>
      <c r="CB268" s="410"/>
      <c r="CC268" s="410"/>
      <c r="CD268" s="410"/>
      <c r="CE268" s="410"/>
      <c r="CF268" s="410"/>
      <c r="CG268" s="410"/>
      <c r="CH268" s="410"/>
      <c r="CI268" s="410"/>
      <c r="CJ268" s="410"/>
      <c r="CK268" s="410"/>
      <c r="CL268" s="410"/>
      <c r="CM268" s="410"/>
      <c r="CN268" s="410"/>
      <c r="CO268" s="410"/>
      <c r="CP268" s="410"/>
      <c r="CQ268" s="410"/>
      <c r="CR268" s="410"/>
      <c r="CS268" s="410"/>
      <c r="CT268" s="410"/>
      <c r="CU268" s="410"/>
      <c r="CV268" s="410"/>
      <c r="CW268" s="410"/>
      <c r="CX268" s="410"/>
      <c r="CY268" s="410"/>
      <c r="CZ268" s="410"/>
      <c r="DA268" s="410"/>
      <c r="DB268" s="410"/>
      <c r="DC268" s="410"/>
    </row>
    <row r="269" spans="1:107" s="619" customFormat="1" ht="12" customHeight="1">
      <c r="A269" s="648">
        <v>-23</v>
      </c>
      <c r="B269" s="573">
        <f>IFERROR((CK123+CF123)*1000/Klimadaten!O7,0)</f>
        <v>0</v>
      </c>
      <c r="C269" s="630">
        <f>IFERROR((CK191+CF191)*1000/Klimadaten!O7,0)</f>
        <v>0</v>
      </c>
      <c r="D269" s="645">
        <f>IFERROR((CE123+CJ123)*1000/Klimadaten!O7,0)</f>
        <v>0</v>
      </c>
      <c r="E269" s="644">
        <f>IFERROR((CE191+CJ191)*1000/Klimadaten!O7,0)</f>
        <v>0</v>
      </c>
      <c r="F269" s="410"/>
      <c r="G269" s="410"/>
      <c r="H269" s="648">
        <f t="shared" si="238"/>
        <v>-23</v>
      </c>
      <c r="I269" s="649">
        <f t="shared" si="239"/>
        <v>0</v>
      </c>
      <c r="J269" s="410">
        <f t="shared" si="240"/>
        <v>0</v>
      </c>
      <c r="K269" s="573">
        <f t="shared" si="241"/>
        <v>0</v>
      </c>
      <c r="L269" s="410">
        <f t="shared" si="242"/>
        <v>0</v>
      </c>
      <c r="M269" s="410">
        <f t="shared" si="243"/>
        <v>0</v>
      </c>
      <c r="N269" s="441">
        <f t="shared" si="243"/>
        <v>0</v>
      </c>
      <c r="O269" s="479">
        <f t="shared" ref="O269" si="246">BN123</f>
        <v>21.216216216216218</v>
      </c>
      <c r="P269" s="615">
        <f t="shared" si="245"/>
        <v>0</v>
      </c>
      <c r="Q269" s="410"/>
      <c r="R269" s="410"/>
      <c r="S269" s="410"/>
      <c r="T269" s="410"/>
      <c r="U269" s="410"/>
      <c r="V269" s="410"/>
      <c r="W269" s="410"/>
      <c r="X269" s="410"/>
      <c r="Y269" s="410"/>
      <c r="Z269" s="410"/>
      <c r="AA269" s="410"/>
      <c r="AB269" s="410"/>
      <c r="AC269" s="410"/>
      <c r="AD269" s="410"/>
      <c r="AE269" s="410"/>
      <c r="AF269" s="410"/>
      <c r="AG269" s="410"/>
      <c r="AH269" s="410"/>
      <c r="AI269" s="410"/>
      <c r="AJ269" s="410"/>
      <c r="AK269" s="410"/>
      <c r="AL269" s="410"/>
      <c r="AM269" s="410"/>
      <c r="AN269" s="410"/>
      <c r="AO269" s="410"/>
      <c r="AP269" s="410"/>
      <c r="AQ269" s="410"/>
      <c r="AR269" s="410"/>
      <c r="AS269" s="410"/>
      <c r="AT269" s="410"/>
      <c r="AU269" s="410"/>
      <c r="AV269" s="410"/>
      <c r="AW269" s="410"/>
      <c r="AX269" s="410"/>
      <c r="AY269" s="410"/>
      <c r="AZ269" s="410"/>
      <c r="BA269" s="410"/>
      <c r="BB269" s="410"/>
      <c r="BC269" s="410"/>
      <c r="BD269" s="410"/>
      <c r="BE269" s="410"/>
      <c r="BF269" s="410"/>
      <c r="BG269" s="410"/>
      <c r="BH269" s="410"/>
      <c r="BI269" s="410"/>
      <c r="BJ269" s="410"/>
      <c r="BK269" s="410"/>
      <c r="BL269" s="410"/>
      <c r="BM269" s="410"/>
      <c r="BN269" s="410"/>
      <c r="BO269" s="410"/>
      <c r="BP269" s="410"/>
      <c r="BQ269" s="410"/>
      <c r="BR269" s="410"/>
      <c r="BS269" s="410"/>
      <c r="BT269" s="410"/>
      <c r="BU269" s="410"/>
      <c r="BV269" s="410"/>
      <c r="BW269" s="410"/>
      <c r="BX269" s="410"/>
      <c r="BY269" s="410"/>
      <c r="BZ269" s="410"/>
      <c r="CA269" s="410"/>
      <c r="CB269" s="410"/>
      <c r="CC269" s="410"/>
      <c r="CD269" s="410"/>
      <c r="CE269" s="410"/>
      <c r="CF269" s="410"/>
      <c r="CG269" s="410"/>
      <c r="CH269" s="410"/>
      <c r="CI269" s="410"/>
      <c r="CJ269" s="410"/>
      <c r="CK269" s="410"/>
      <c r="CL269" s="410"/>
      <c r="CM269" s="410"/>
      <c r="CN269" s="410"/>
      <c r="CO269" s="410"/>
      <c r="CP269" s="410"/>
      <c r="CQ269" s="410"/>
      <c r="CR269" s="410"/>
      <c r="CS269" s="410"/>
      <c r="CT269" s="410"/>
      <c r="CU269" s="410"/>
      <c r="CV269" s="410"/>
      <c r="CW269" s="410"/>
      <c r="CX269" s="410"/>
      <c r="CY269" s="410"/>
      <c r="CZ269" s="410"/>
      <c r="DA269" s="410"/>
      <c r="DB269" s="410"/>
      <c r="DC269" s="410"/>
    </row>
    <row r="270" spans="1:107" s="619" customFormat="1" ht="12" customHeight="1">
      <c r="A270" s="648">
        <v>-22</v>
      </c>
      <c r="B270" s="573">
        <f>IFERROR((CK124+CF124)*1000/Klimadaten!O8,0)</f>
        <v>0</v>
      </c>
      <c r="C270" s="630">
        <f>IFERROR((CK192+CF192)*1000/Klimadaten!O8,0)</f>
        <v>0</v>
      </c>
      <c r="D270" s="645">
        <f>IFERROR((CE124+CJ124)*1000/Klimadaten!O8,0)</f>
        <v>0</v>
      </c>
      <c r="E270" s="644">
        <f>IFERROR((CE192+CJ192)*1000/Klimadaten!O8,0)</f>
        <v>0</v>
      </c>
      <c r="F270" s="410"/>
      <c r="G270" s="410"/>
      <c r="H270" s="648">
        <f t="shared" si="238"/>
        <v>-22</v>
      </c>
      <c r="I270" s="649">
        <f t="shared" si="239"/>
        <v>0</v>
      </c>
      <c r="J270" s="410">
        <f t="shared" si="240"/>
        <v>0</v>
      </c>
      <c r="K270" s="573">
        <f t="shared" si="241"/>
        <v>0</v>
      </c>
      <c r="L270" s="410">
        <f t="shared" si="242"/>
        <v>0</v>
      </c>
      <c r="M270" s="410">
        <f t="shared" si="243"/>
        <v>0</v>
      </c>
      <c r="N270" s="441">
        <f t="shared" si="243"/>
        <v>0</v>
      </c>
      <c r="O270" s="479">
        <f t="shared" ref="O270" si="247">BN124</f>
        <v>21.189189189189189</v>
      </c>
      <c r="P270" s="615">
        <f t="shared" si="245"/>
        <v>0</v>
      </c>
      <c r="Q270" s="410"/>
      <c r="R270" s="410"/>
      <c r="S270" s="410"/>
      <c r="T270" s="410"/>
      <c r="U270" s="410"/>
      <c r="V270" s="410"/>
      <c r="W270" s="410"/>
      <c r="X270" s="410"/>
      <c r="Y270" s="410"/>
      <c r="Z270" s="410"/>
      <c r="AA270" s="410"/>
      <c r="AB270" s="410"/>
      <c r="AC270" s="410"/>
      <c r="AD270" s="410"/>
      <c r="AE270" s="410"/>
      <c r="AF270" s="410"/>
      <c r="AG270" s="410"/>
      <c r="AH270" s="410"/>
      <c r="AI270" s="410"/>
      <c r="AJ270" s="410"/>
      <c r="AK270" s="410"/>
      <c r="AL270" s="410"/>
      <c r="AM270" s="410"/>
      <c r="AN270" s="410"/>
      <c r="AO270" s="410"/>
      <c r="AP270" s="410"/>
      <c r="AQ270" s="410"/>
      <c r="AR270" s="410"/>
      <c r="AS270" s="410"/>
      <c r="AT270" s="410"/>
      <c r="AU270" s="410"/>
      <c r="AV270" s="410"/>
      <c r="AW270" s="410"/>
      <c r="AX270" s="410"/>
      <c r="AY270" s="410"/>
      <c r="AZ270" s="410"/>
      <c r="BA270" s="410"/>
      <c r="BB270" s="410"/>
      <c r="BC270" s="410"/>
      <c r="BD270" s="410"/>
      <c r="BE270" s="410"/>
      <c r="BF270" s="410"/>
      <c r="BG270" s="410"/>
      <c r="BH270" s="410"/>
      <c r="BI270" s="410"/>
      <c r="BJ270" s="410"/>
      <c r="BK270" s="410"/>
      <c r="BL270" s="410"/>
      <c r="BM270" s="410"/>
      <c r="BN270" s="410"/>
      <c r="BO270" s="410"/>
      <c r="BP270" s="410"/>
      <c r="BQ270" s="410"/>
      <c r="BR270" s="410"/>
      <c r="BS270" s="410"/>
      <c r="BT270" s="410"/>
      <c r="BU270" s="410"/>
      <c r="BV270" s="410"/>
      <c r="BW270" s="410"/>
      <c r="BX270" s="410"/>
      <c r="BY270" s="410"/>
      <c r="BZ270" s="410"/>
      <c r="CA270" s="410"/>
      <c r="CB270" s="410"/>
      <c r="CC270" s="410"/>
      <c r="CD270" s="410"/>
      <c r="CE270" s="410"/>
      <c r="CF270" s="410"/>
      <c r="CG270" s="410"/>
      <c r="CH270" s="410"/>
      <c r="CI270" s="410"/>
      <c r="CJ270" s="410"/>
      <c r="CK270" s="410"/>
      <c r="CL270" s="410"/>
      <c r="CM270" s="410"/>
      <c r="CN270" s="410"/>
      <c r="CO270" s="410"/>
      <c r="CP270" s="410"/>
      <c r="CQ270" s="410"/>
      <c r="CR270" s="410"/>
      <c r="CS270" s="410"/>
      <c r="CT270" s="410"/>
      <c r="CU270" s="410"/>
      <c r="CV270" s="410"/>
      <c r="CW270" s="410"/>
      <c r="CX270" s="410"/>
      <c r="CY270" s="410"/>
      <c r="CZ270" s="410"/>
      <c r="DA270" s="410"/>
      <c r="DB270" s="410"/>
      <c r="DC270" s="410"/>
    </row>
    <row r="271" spans="1:107" s="619" customFormat="1" ht="12" customHeight="1">
      <c r="A271" s="648">
        <v>-21</v>
      </c>
      <c r="B271" s="573">
        <f>IFERROR((CK125+CF125)*1000/Klimadaten!O9,0)</f>
        <v>0</v>
      </c>
      <c r="C271" s="630">
        <f>IFERROR((CK193+CF193)*1000/Klimadaten!O9,0)</f>
        <v>0</v>
      </c>
      <c r="D271" s="645">
        <f>IFERROR((CE125+CJ125)*1000/Klimadaten!O9,0)</f>
        <v>0</v>
      </c>
      <c r="E271" s="644">
        <f>IFERROR((CE193+CJ193)*1000/Klimadaten!O9,0)</f>
        <v>0</v>
      </c>
      <c r="F271" s="410"/>
      <c r="G271" s="410"/>
      <c r="H271" s="648">
        <f t="shared" si="238"/>
        <v>-21</v>
      </c>
      <c r="I271" s="649">
        <f t="shared" si="239"/>
        <v>0</v>
      </c>
      <c r="J271" s="410">
        <f t="shared" si="240"/>
        <v>0</v>
      </c>
      <c r="K271" s="573">
        <f t="shared" si="241"/>
        <v>0</v>
      </c>
      <c r="L271" s="410">
        <f t="shared" si="242"/>
        <v>0</v>
      </c>
      <c r="M271" s="410">
        <f t="shared" si="243"/>
        <v>0</v>
      </c>
      <c r="N271" s="441">
        <f t="shared" si="243"/>
        <v>0</v>
      </c>
      <c r="O271" s="479">
        <f t="shared" ref="O271" si="248">BN125</f>
        <v>21.162162162162161</v>
      </c>
      <c r="P271" s="615">
        <f t="shared" si="245"/>
        <v>0</v>
      </c>
      <c r="Q271" s="410"/>
      <c r="R271" s="410"/>
      <c r="S271" s="410"/>
      <c r="T271" s="410"/>
      <c r="U271" s="410"/>
      <c r="V271" s="410"/>
      <c r="W271" s="410"/>
      <c r="X271" s="410"/>
      <c r="Y271" s="410"/>
      <c r="Z271" s="410"/>
      <c r="AA271" s="410"/>
      <c r="AB271" s="410"/>
      <c r="AC271" s="410"/>
      <c r="AD271" s="410"/>
      <c r="AE271" s="410"/>
      <c r="AF271" s="410"/>
      <c r="AG271" s="410"/>
      <c r="AH271" s="410"/>
      <c r="AI271" s="410"/>
      <c r="AJ271" s="410"/>
      <c r="AK271" s="410"/>
      <c r="AL271" s="410"/>
      <c r="AM271" s="410"/>
      <c r="AN271" s="410"/>
      <c r="AO271" s="410"/>
      <c r="AP271" s="410"/>
      <c r="AQ271" s="410"/>
      <c r="AR271" s="410"/>
      <c r="AS271" s="410"/>
      <c r="AT271" s="410"/>
      <c r="AU271" s="410"/>
      <c r="AV271" s="410"/>
      <c r="AW271" s="410"/>
      <c r="AX271" s="410"/>
      <c r="AY271" s="410"/>
      <c r="AZ271" s="410"/>
      <c r="BA271" s="410"/>
      <c r="BB271" s="410"/>
      <c r="BC271" s="410"/>
      <c r="BD271" s="410"/>
      <c r="BE271" s="410"/>
      <c r="BF271" s="410"/>
      <c r="BG271" s="410"/>
      <c r="BH271" s="410"/>
      <c r="BI271" s="410"/>
      <c r="BJ271" s="410"/>
      <c r="BK271" s="410"/>
      <c r="BL271" s="410"/>
      <c r="BM271" s="410"/>
      <c r="BN271" s="410"/>
      <c r="BO271" s="410"/>
      <c r="BP271" s="410"/>
      <c r="BQ271" s="410"/>
      <c r="BR271" s="410"/>
      <c r="BS271" s="410"/>
      <c r="BT271" s="410"/>
      <c r="BU271" s="410"/>
      <c r="BV271" s="410"/>
      <c r="BW271" s="410"/>
      <c r="BX271" s="410"/>
      <c r="BY271" s="410"/>
      <c r="BZ271" s="410"/>
      <c r="CA271" s="410"/>
      <c r="CB271" s="410"/>
      <c r="CC271" s="410"/>
      <c r="CD271" s="410"/>
      <c r="CE271" s="410"/>
      <c r="CF271" s="410"/>
      <c r="CG271" s="410"/>
      <c r="CH271" s="410"/>
      <c r="CI271" s="410"/>
      <c r="CJ271" s="410"/>
      <c r="CK271" s="410"/>
      <c r="CL271" s="410"/>
      <c r="CM271" s="410"/>
      <c r="CN271" s="410"/>
      <c r="CO271" s="410"/>
      <c r="CP271" s="410"/>
      <c r="CQ271" s="410"/>
      <c r="CR271" s="410"/>
      <c r="CS271" s="410"/>
      <c r="CT271" s="410"/>
      <c r="CU271" s="410"/>
      <c r="CV271" s="410"/>
      <c r="CW271" s="410"/>
      <c r="CX271" s="410"/>
      <c r="CY271" s="410"/>
      <c r="CZ271" s="410"/>
      <c r="DA271" s="410"/>
      <c r="DB271" s="410"/>
      <c r="DC271" s="410"/>
    </row>
    <row r="272" spans="1:107" s="619" customFormat="1" ht="12" customHeight="1">
      <c r="A272" s="648">
        <v>-20</v>
      </c>
      <c r="B272" s="573">
        <f>IFERROR((CK126+CF126)*1000/Klimadaten!O10,0)</f>
        <v>0</v>
      </c>
      <c r="C272" s="630">
        <f>IFERROR((CK194+CF194)*1000/Klimadaten!O10,0)</f>
        <v>0</v>
      </c>
      <c r="D272" s="645">
        <f>IFERROR((CE126+CJ126)*1000/Klimadaten!O10,0)</f>
        <v>0</v>
      </c>
      <c r="E272" s="644">
        <f>IFERROR((CE194+CJ194)*1000/Klimadaten!O10,0)</f>
        <v>0</v>
      </c>
      <c r="F272" s="410"/>
      <c r="G272" s="410"/>
      <c r="H272" s="648">
        <f t="shared" si="238"/>
        <v>-20</v>
      </c>
      <c r="I272" s="649">
        <f t="shared" si="239"/>
        <v>0</v>
      </c>
      <c r="J272" s="410">
        <f t="shared" si="240"/>
        <v>0</v>
      </c>
      <c r="K272" s="573">
        <f t="shared" si="241"/>
        <v>0</v>
      </c>
      <c r="L272" s="410">
        <f t="shared" si="242"/>
        <v>0</v>
      </c>
      <c r="M272" s="410">
        <f t="shared" si="243"/>
        <v>0</v>
      </c>
      <c r="N272" s="441">
        <f t="shared" si="243"/>
        <v>0</v>
      </c>
      <c r="O272" s="479">
        <f t="shared" ref="O272" si="249">BN126</f>
        <v>21.135135135135137</v>
      </c>
      <c r="P272" s="615">
        <f t="shared" si="245"/>
        <v>0</v>
      </c>
      <c r="Q272" s="410"/>
      <c r="R272" s="410"/>
      <c r="S272" s="410"/>
      <c r="T272" s="410"/>
      <c r="U272" s="410"/>
      <c r="V272" s="410"/>
      <c r="W272" s="410"/>
      <c r="X272" s="410"/>
      <c r="Y272" s="410"/>
      <c r="Z272" s="410"/>
      <c r="AA272" s="410"/>
      <c r="AB272" s="410"/>
      <c r="AC272" s="410"/>
      <c r="AD272" s="410"/>
      <c r="AE272" s="410"/>
      <c r="AF272" s="410"/>
      <c r="AG272" s="410"/>
      <c r="AH272" s="410"/>
      <c r="AI272" s="410"/>
      <c r="AJ272" s="410"/>
      <c r="AK272" s="410"/>
      <c r="AL272" s="410"/>
      <c r="AM272" s="410"/>
      <c r="AN272" s="410"/>
      <c r="AO272" s="410"/>
      <c r="AP272" s="410"/>
      <c r="AQ272" s="410"/>
      <c r="AR272" s="410"/>
      <c r="AS272" s="410"/>
      <c r="AT272" s="410"/>
      <c r="AU272" s="410"/>
      <c r="AV272" s="410"/>
      <c r="AW272" s="410"/>
      <c r="AX272" s="410"/>
      <c r="AY272" s="410"/>
      <c r="AZ272" s="410"/>
      <c r="BA272" s="410"/>
      <c r="BB272" s="410"/>
      <c r="BC272" s="410"/>
      <c r="BD272" s="410"/>
      <c r="BE272" s="410"/>
      <c r="BF272" s="410"/>
      <c r="BG272" s="410"/>
      <c r="BH272" s="410"/>
      <c r="BI272" s="410"/>
      <c r="BJ272" s="410"/>
      <c r="BK272" s="410"/>
      <c r="BL272" s="410"/>
      <c r="BM272" s="410"/>
      <c r="BN272" s="410"/>
      <c r="BO272" s="410"/>
      <c r="BP272" s="410"/>
      <c r="BQ272" s="410"/>
      <c r="BR272" s="410"/>
      <c r="BS272" s="410"/>
      <c r="BT272" s="410"/>
      <c r="BU272" s="410"/>
      <c r="BV272" s="410"/>
      <c r="BW272" s="410"/>
      <c r="BX272" s="410"/>
      <c r="BY272" s="410"/>
      <c r="BZ272" s="410"/>
      <c r="CA272" s="410"/>
      <c r="CB272" s="410"/>
      <c r="CC272" s="410"/>
      <c r="CD272" s="410"/>
      <c r="CE272" s="410"/>
      <c r="CF272" s="410"/>
      <c r="CG272" s="410"/>
      <c r="CH272" s="410"/>
      <c r="CI272" s="410"/>
      <c r="CJ272" s="410"/>
      <c r="CK272" s="410"/>
      <c r="CL272" s="410"/>
      <c r="CM272" s="410"/>
      <c r="CN272" s="410"/>
      <c r="CO272" s="410"/>
      <c r="CP272" s="410"/>
      <c r="CQ272" s="410"/>
      <c r="CR272" s="410"/>
      <c r="CS272" s="410"/>
      <c r="CT272" s="410"/>
      <c r="CU272" s="410"/>
      <c r="CV272" s="410"/>
      <c r="CW272" s="410"/>
      <c r="CX272" s="410"/>
      <c r="CY272" s="410"/>
      <c r="CZ272" s="410"/>
      <c r="DA272" s="410"/>
      <c r="DB272" s="410"/>
      <c r="DC272" s="410"/>
    </row>
    <row r="273" spans="1:107" s="619" customFormat="1" ht="12" customHeight="1">
      <c r="A273" s="648">
        <v>-19</v>
      </c>
      <c r="B273" s="573">
        <f>IFERROR((CK127+CF127)*1000/Klimadaten!O11,0)</f>
        <v>0</v>
      </c>
      <c r="C273" s="630">
        <f>IFERROR((CK195+CF195)*1000/Klimadaten!O11,0)</f>
        <v>0</v>
      </c>
      <c r="D273" s="645">
        <f>IFERROR((CE127+CJ127)*1000/Klimadaten!O11,0)</f>
        <v>0</v>
      </c>
      <c r="E273" s="644">
        <f>IFERROR((CE195+CJ195)*1000/Klimadaten!O11,0)</f>
        <v>0</v>
      </c>
      <c r="F273" s="410"/>
      <c r="G273" s="410"/>
      <c r="H273" s="648">
        <f t="shared" si="238"/>
        <v>-19</v>
      </c>
      <c r="I273" s="649">
        <f t="shared" si="239"/>
        <v>0</v>
      </c>
      <c r="J273" s="410">
        <f t="shared" si="240"/>
        <v>0</v>
      </c>
      <c r="K273" s="573">
        <f t="shared" si="241"/>
        <v>0</v>
      </c>
      <c r="L273" s="410">
        <f t="shared" si="242"/>
        <v>0</v>
      </c>
      <c r="M273" s="410">
        <f t="shared" si="243"/>
        <v>0</v>
      </c>
      <c r="N273" s="441">
        <f t="shared" si="243"/>
        <v>0</v>
      </c>
      <c r="O273" s="479">
        <f t="shared" ref="O273" si="250">BN127</f>
        <v>21.108108108108109</v>
      </c>
      <c r="P273" s="615">
        <f t="shared" si="245"/>
        <v>0</v>
      </c>
      <c r="Q273" s="410"/>
      <c r="R273" s="410"/>
      <c r="S273" s="410"/>
      <c r="T273" s="410"/>
      <c r="U273" s="410"/>
      <c r="V273" s="410"/>
      <c r="W273" s="410"/>
      <c r="X273" s="410"/>
      <c r="Y273" s="410"/>
      <c r="Z273" s="410"/>
      <c r="AA273" s="410"/>
      <c r="AB273" s="410"/>
      <c r="AC273" s="410"/>
      <c r="AD273" s="410"/>
      <c r="AE273" s="410"/>
      <c r="AF273" s="410"/>
      <c r="AG273" s="410"/>
      <c r="AH273" s="410"/>
      <c r="AI273" s="410"/>
      <c r="AJ273" s="410"/>
      <c r="AK273" s="410"/>
      <c r="AL273" s="410"/>
      <c r="AM273" s="410"/>
      <c r="AN273" s="410"/>
      <c r="AO273" s="410"/>
      <c r="AP273" s="410"/>
      <c r="AQ273" s="410"/>
      <c r="AR273" s="410"/>
      <c r="AS273" s="410"/>
      <c r="AT273" s="410"/>
      <c r="AU273" s="410"/>
      <c r="AV273" s="410"/>
      <c r="AW273" s="410"/>
      <c r="AX273" s="410"/>
      <c r="AY273" s="410"/>
      <c r="AZ273" s="410"/>
      <c r="BA273" s="410"/>
      <c r="BB273" s="410"/>
      <c r="BC273" s="410"/>
      <c r="BD273" s="410"/>
      <c r="BE273" s="410"/>
      <c r="BF273" s="410"/>
      <c r="BG273" s="410"/>
      <c r="BH273" s="410"/>
      <c r="BI273" s="410"/>
      <c r="BJ273" s="410"/>
      <c r="BK273" s="410"/>
      <c r="BL273" s="410"/>
      <c r="BM273" s="410"/>
      <c r="BN273" s="410"/>
      <c r="BO273" s="410"/>
      <c r="BP273" s="410"/>
      <c r="BQ273" s="410"/>
      <c r="BR273" s="410"/>
      <c r="BS273" s="410"/>
      <c r="BT273" s="410"/>
      <c r="BU273" s="410"/>
      <c r="BV273" s="410"/>
      <c r="BW273" s="410"/>
      <c r="BX273" s="410"/>
      <c r="BY273" s="410"/>
      <c r="BZ273" s="410"/>
      <c r="CA273" s="410"/>
      <c r="CB273" s="410"/>
      <c r="CC273" s="410"/>
      <c r="CD273" s="410"/>
      <c r="CE273" s="410"/>
      <c r="CF273" s="410"/>
      <c r="CG273" s="410"/>
      <c r="CH273" s="410"/>
      <c r="CI273" s="410"/>
      <c r="CJ273" s="410"/>
      <c r="CK273" s="410"/>
      <c r="CL273" s="410"/>
      <c r="CM273" s="410"/>
      <c r="CN273" s="410"/>
      <c r="CO273" s="410"/>
      <c r="CP273" s="410"/>
      <c r="CQ273" s="410"/>
      <c r="CR273" s="410"/>
      <c r="CS273" s="410"/>
      <c r="CT273" s="410"/>
      <c r="CU273" s="410"/>
      <c r="CV273" s="410"/>
      <c r="CW273" s="410"/>
      <c r="CX273" s="410"/>
      <c r="CY273" s="410"/>
      <c r="CZ273" s="410"/>
      <c r="DA273" s="410"/>
      <c r="DB273" s="410"/>
      <c r="DC273" s="410"/>
    </row>
    <row r="274" spans="1:107" s="619" customFormat="1" ht="12" customHeight="1">
      <c r="A274" s="648">
        <v>-18</v>
      </c>
      <c r="B274" s="573">
        <f>IFERROR((CK128+CF128)*1000/Klimadaten!O12,0)</f>
        <v>0</v>
      </c>
      <c r="C274" s="630">
        <f>IFERROR((CK196+CF196)*1000/Klimadaten!O12,0)</f>
        <v>0</v>
      </c>
      <c r="D274" s="645">
        <f>IFERROR((CE128+CJ128)*1000/Klimadaten!O12,0)</f>
        <v>0</v>
      </c>
      <c r="E274" s="644">
        <f>IFERROR((CE196+CJ196)*1000/Klimadaten!O12,0)</f>
        <v>0</v>
      </c>
      <c r="F274" s="410"/>
      <c r="G274" s="410"/>
      <c r="H274" s="648">
        <f t="shared" si="238"/>
        <v>-18</v>
      </c>
      <c r="I274" s="649">
        <f t="shared" si="239"/>
        <v>0</v>
      </c>
      <c r="J274" s="410">
        <f t="shared" si="240"/>
        <v>0</v>
      </c>
      <c r="K274" s="573">
        <f t="shared" si="241"/>
        <v>0</v>
      </c>
      <c r="L274" s="410">
        <f t="shared" si="242"/>
        <v>0</v>
      </c>
      <c r="M274" s="410">
        <f t="shared" si="243"/>
        <v>0</v>
      </c>
      <c r="N274" s="441">
        <f t="shared" si="243"/>
        <v>0</v>
      </c>
      <c r="O274" s="479">
        <f t="shared" ref="O274" si="251">BN128</f>
        <v>21.081081081081081</v>
      </c>
      <c r="P274" s="615">
        <f t="shared" si="245"/>
        <v>0</v>
      </c>
      <c r="Q274" s="410"/>
      <c r="R274" s="410"/>
      <c r="S274" s="410"/>
      <c r="T274" s="410"/>
      <c r="U274" s="410"/>
      <c r="V274" s="410"/>
      <c r="W274" s="410"/>
      <c r="X274" s="410"/>
      <c r="Y274" s="410"/>
      <c r="Z274" s="410"/>
      <c r="AA274" s="410"/>
      <c r="AB274" s="410"/>
      <c r="AC274" s="410"/>
      <c r="AD274" s="410"/>
      <c r="AE274" s="410"/>
      <c r="AF274" s="410"/>
      <c r="AG274" s="410"/>
      <c r="AH274" s="410"/>
      <c r="AI274" s="410"/>
      <c r="AJ274" s="410"/>
      <c r="AK274" s="410"/>
      <c r="AL274" s="410"/>
      <c r="AM274" s="410"/>
      <c r="AN274" s="410"/>
      <c r="AO274" s="410"/>
      <c r="AP274" s="410"/>
      <c r="AQ274" s="410"/>
      <c r="AR274" s="410"/>
      <c r="AS274" s="410"/>
      <c r="AT274" s="410"/>
      <c r="AU274" s="410"/>
      <c r="AV274" s="410"/>
      <c r="AW274" s="410"/>
      <c r="AX274" s="410"/>
      <c r="AY274" s="410"/>
      <c r="AZ274" s="410"/>
      <c r="BA274" s="410"/>
      <c r="BB274" s="410"/>
      <c r="BC274" s="410"/>
      <c r="BD274" s="410"/>
      <c r="BE274" s="410"/>
      <c r="BF274" s="410"/>
      <c r="BG274" s="410"/>
      <c r="BH274" s="410"/>
      <c r="BI274" s="410"/>
      <c r="BJ274" s="410"/>
      <c r="BK274" s="410"/>
      <c r="BL274" s="410"/>
      <c r="BM274" s="410"/>
      <c r="BN274" s="410"/>
      <c r="BO274" s="410"/>
      <c r="BP274" s="410"/>
      <c r="BQ274" s="410"/>
      <c r="BR274" s="410"/>
      <c r="BS274" s="410"/>
      <c r="BT274" s="410"/>
      <c r="BU274" s="410"/>
      <c r="BV274" s="410"/>
      <c r="BW274" s="410"/>
      <c r="BX274" s="410"/>
      <c r="BY274" s="410"/>
      <c r="BZ274" s="410"/>
      <c r="CA274" s="410"/>
      <c r="CB274" s="410"/>
      <c r="CC274" s="410"/>
      <c r="CD274" s="410"/>
      <c r="CE274" s="410"/>
      <c r="CF274" s="410"/>
      <c r="CG274" s="410"/>
      <c r="CH274" s="410"/>
      <c r="CI274" s="410"/>
      <c r="CJ274" s="410"/>
      <c r="CK274" s="410"/>
      <c r="CL274" s="410"/>
      <c r="CM274" s="410"/>
      <c r="CN274" s="410"/>
      <c r="CO274" s="410"/>
      <c r="CP274" s="410"/>
      <c r="CQ274" s="410"/>
      <c r="CR274" s="410"/>
      <c r="CS274" s="410"/>
      <c r="CT274" s="410"/>
      <c r="CU274" s="410"/>
      <c r="CV274" s="410"/>
      <c r="CW274" s="410"/>
      <c r="CX274" s="410"/>
      <c r="CY274" s="410"/>
      <c r="CZ274" s="410"/>
      <c r="DA274" s="410"/>
      <c r="DB274" s="410"/>
      <c r="DC274" s="410"/>
    </row>
    <row r="275" spans="1:107" s="619" customFormat="1" ht="12" customHeight="1">
      <c r="A275" s="648">
        <v>-17</v>
      </c>
      <c r="B275" s="573">
        <f>IFERROR((CK129+CF129)*1000/Klimadaten!O13,0)</f>
        <v>0</v>
      </c>
      <c r="C275" s="630">
        <f>IFERROR((CK197+CF197)*1000/Klimadaten!O13,0)</f>
        <v>0</v>
      </c>
      <c r="D275" s="645">
        <f>IFERROR((CE129+CJ129)*1000/Klimadaten!O13,0)</f>
        <v>0</v>
      </c>
      <c r="E275" s="644">
        <f>IFERROR((CE197+CJ197)*1000/Klimadaten!O13,0)</f>
        <v>0</v>
      </c>
      <c r="F275" s="410"/>
      <c r="G275" s="410"/>
      <c r="H275" s="648">
        <f t="shared" si="238"/>
        <v>-17</v>
      </c>
      <c r="I275" s="649">
        <f t="shared" si="239"/>
        <v>0</v>
      </c>
      <c r="J275" s="410">
        <f t="shared" si="240"/>
        <v>0</v>
      </c>
      <c r="K275" s="573">
        <f t="shared" si="241"/>
        <v>0</v>
      </c>
      <c r="L275" s="410">
        <f t="shared" si="242"/>
        <v>0</v>
      </c>
      <c r="M275" s="410">
        <f t="shared" si="243"/>
        <v>0</v>
      </c>
      <c r="N275" s="441">
        <f t="shared" si="243"/>
        <v>0</v>
      </c>
      <c r="O275" s="479">
        <f t="shared" ref="O275" si="252">BN129</f>
        <v>21.054054054054053</v>
      </c>
      <c r="P275" s="615">
        <f t="shared" si="245"/>
        <v>0</v>
      </c>
      <c r="Q275" s="410"/>
      <c r="R275" s="410"/>
      <c r="S275" s="410"/>
      <c r="T275" s="410"/>
      <c r="U275" s="410"/>
      <c r="V275" s="410"/>
      <c r="W275" s="410"/>
      <c r="X275" s="410"/>
      <c r="Y275" s="410"/>
      <c r="Z275" s="410"/>
      <c r="AA275" s="410"/>
      <c r="AB275" s="410"/>
      <c r="AC275" s="410"/>
      <c r="AD275" s="410"/>
      <c r="AE275" s="410"/>
      <c r="AF275" s="410"/>
      <c r="AG275" s="410"/>
      <c r="AH275" s="410"/>
      <c r="AI275" s="410"/>
      <c r="AJ275" s="410"/>
      <c r="AK275" s="410"/>
      <c r="AL275" s="410"/>
      <c r="AM275" s="410"/>
      <c r="AN275" s="410"/>
      <c r="AO275" s="410"/>
      <c r="AP275" s="410"/>
      <c r="AQ275" s="410"/>
      <c r="AR275" s="410"/>
      <c r="AS275" s="410"/>
      <c r="AT275" s="410"/>
      <c r="AU275" s="410"/>
      <c r="AV275" s="410"/>
      <c r="AW275" s="410"/>
      <c r="AX275" s="410"/>
      <c r="AY275" s="410"/>
      <c r="AZ275" s="410"/>
      <c r="BA275" s="410"/>
      <c r="BB275" s="410"/>
      <c r="BC275" s="410"/>
      <c r="BD275" s="410"/>
      <c r="BE275" s="410"/>
      <c r="BF275" s="410"/>
      <c r="BG275" s="410"/>
      <c r="BH275" s="410"/>
      <c r="BI275" s="410"/>
      <c r="BJ275" s="410"/>
      <c r="BK275" s="410"/>
      <c r="BL275" s="410"/>
      <c r="BM275" s="410"/>
      <c r="BN275" s="410"/>
      <c r="BO275" s="410"/>
      <c r="BP275" s="410"/>
      <c r="BQ275" s="410"/>
      <c r="BR275" s="410"/>
      <c r="BS275" s="410"/>
      <c r="BT275" s="410"/>
      <c r="BU275" s="410"/>
      <c r="BV275" s="410"/>
      <c r="BW275" s="410"/>
      <c r="BX275" s="410"/>
      <c r="BY275" s="410"/>
      <c r="BZ275" s="410"/>
      <c r="CA275" s="410"/>
      <c r="CB275" s="410"/>
      <c r="CC275" s="410"/>
      <c r="CD275" s="410"/>
      <c r="CE275" s="410"/>
      <c r="CF275" s="410"/>
      <c r="CG275" s="410"/>
      <c r="CH275" s="410"/>
      <c r="CI275" s="410"/>
      <c r="CJ275" s="410"/>
      <c r="CK275" s="410"/>
      <c r="CL275" s="410"/>
      <c r="CM275" s="410"/>
      <c r="CN275" s="410"/>
      <c r="CO275" s="410"/>
      <c r="CP275" s="410"/>
      <c r="CQ275" s="410"/>
      <c r="CR275" s="410"/>
      <c r="CS275" s="410"/>
      <c r="CT275" s="410"/>
      <c r="CU275" s="410"/>
      <c r="CV275" s="410"/>
      <c r="CW275" s="410"/>
      <c r="CX275" s="410"/>
      <c r="CY275" s="410"/>
      <c r="CZ275" s="410"/>
      <c r="DA275" s="410"/>
      <c r="DB275" s="410"/>
      <c r="DC275" s="410"/>
    </row>
    <row r="276" spans="1:107" s="619" customFormat="1" ht="12" customHeight="1">
      <c r="A276" s="648">
        <v>-16</v>
      </c>
      <c r="B276" s="573">
        <f>IFERROR((CK130+CF130)*1000/Klimadaten!O14,0)</f>
        <v>0</v>
      </c>
      <c r="C276" s="630">
        <f>IFERROR((CK198+CF198)*1000/Klimadaten!O14,0)</f>
        <v>0</v>
      </c>
      <c r="D276" s="645">
        <f>IFERROR((CE130+CJ130)*1000/Klimadaten!O14,0)</f>
        <v>0</v>
      </c>
      <c r="E276" s="644">
        <f>IFERROR((CE198+CJ198)*1000/Klimadaten!O14,0)</f>
        <v>0</v>
      </c>
      <c r="F276" s="410"/>
      <c r="G276" s="410"/>
      <c r="H276" s="648">
        <f t="shared" si="238"/>
        <v>-16</v>
      </c>
      <c r="I276" s="649">
        <f t="shared" si="239"/>
        <v>0</v>
      </c>
      <c r="J276" s="410">
        <f t="shared" si="240"/>
        <v>0</v>
      </c>
      <c r="K276" s="573">
        <f t="shared" si="241"/>
        <v>0</v>
      </c>
      <c r="L276" s="410">
        <f t="shared" si="242"/>
        <v>0</v>
      </c>
      <c r="M276" s="410">
        <f t="shared" si="243"/>
        <v>0</v>
      </c>
      <c r="N276" s="441">
        <f t="shared" si="243"/>
        <v>0</v>
      </c>
      <c r="O276" s="479">
        <f t="shared" ref="O276" si="253">BN130</f>
        <v>21.027027027027028</v>
      </c>
      <c r="P276" s="615">
        <f t="shared" si="245"/>
        <v>0</v>
      </c>
      <c r="Q276" s="410"/>
      <c r="R276" s="410"/>
      <c r="S276" s="410"/>
      <c r="T276" s="410"/>
      <c r="U276" s="410"/>
      <c r="V276" s="410"/>
      <c r="W276" s="410"/>
      <c r="X276" s="410"/>
      <c r="Y276" s="410"/>
      <c r="Z276" s="410"/>
      <c r="AA276" s="410"/>
      <c r="AB276" s="410"/>
      <c r="AC276" s="410"/>
      <c r="AD276" s="410"/>
      <c r="AE276" s="410"/>
      <c r="AF276" s="410"/>
      <c r="AG276" s="410"/>
      <c r="AH276" s="410"/>
      <c r="AI276" s="410"/>
      <c r="AJ276" s="410"/>
      <c r="AK276" s="410"/>
      <c r="AL276" s="410"/>
      <c r="AM276" s="410"/>
      <c r="AN276" s="410"/>
      <c r="AO276" s="410"/>
      <c r="AP276" s="410"/>
      <c r="AQ276" s="410"/>
      <c r="AR276" s="410"/>
      <c r="AS276" s="410"/>
      <c r="AT276" s="410"/>
      <c r="AU276" s="410"/>
      <c r="AV276" s="410"/>
      <c r="AW276" s="410"/>
      <c r="AX276" s="410"/>
      <c r="AY276" s="410"/>
      <c r="AZ276" s="410"/>
      <c r="BA276" s="410"/>
      <c r="BB276" s="410"/>
      <c r="BC276" s="410"/>
      <c r="BD276" s="410"/>
      <c r="BE276" s="410"/>
      <c r="BF276" s="410"/>
      <c r="BG276" s="410"/>
      <c r="BH276" s="410"/>
      <c r="BI276" s="410"/>
      <c r="BJ276" s="410"/>
      <c r="BK276" s="410"/>
      <c r="BL276" s="410"/>
      <c r="BM276" s="410"/>
      <c r="BN276" s="410"/>
      <c r="BO276" s="410"/>
      <c r="BP276" s="410"/>
      <c r="BQ276" s="410"/>
      <c r="BR276" s="410"/>
      <c r="BS276" s="410"/>
      <c r="BT276" s="410"/>
      <c r="BU276" s="410"/>
      <c r="BV276" s="410"/>
      <c r="BW276" s="410"/>
      <c r="BX276" s="410"/>
      <c r="BY276" s="410"/>
      <c r="BZ276" s="410"/>
      <c r="CA276" s="410"/>
      <c r="CB276" s="410"/>
      <c r="CC276" s="410"/>
      <c r="CD276" s="410"/>
      <c r="CE276" s="410"/>
      <c r="CF276" s="410"/>
      <c r="CG276" s="410"/>
      <c r="CH276" s="410"/>
      <c r="CI276" s="410"/>
      <c r="CJ276" s="410"/>
      <c r="CK276" s="410"/>
      <c r="CL276" s="410"/>
      <c r="CM276" s="410"/>
      <c r="CN276" s="410"/>
      <c r="CO276" s="410"/>
      <c r="CP276" s="410"/>
      <c r="CQ276" s="410"/>
      <c r="CR276" s="410"/>
      <c r="CS276" s="410"/>
      <c r="CT276" s="410"/>
      <c r="CU276" s="410"/>
      <c r="CV276" s="410"/>
      <c r="CW276" s="410"/>
      <c r="CX276" s="410"/>
      <c r="CY276" s="410"/>
      <c r="CZ276" s="410"/>
      <c r="DA276" s="410"/>
      <c r="DB276" s="410"/>
      <c r="DC276" s="410"/>
    </row>
    <row r="277" spans="1:107" s="619" customFormat="1" ht="12" customHeight="1">
      <c r="A277" s="648">
        <v>-15</v>
      </c>
      <c r="B277" s="573">
        <f>IFERROR((CK131+CF131)*1000/Klimadaten!O15,0)</f>
        <v>0</v>
      </c>
      <c r="C277" s="630">
        <f>IFERROR((CK199+CF199)*1000/Klimadaten!O15,0)</f>
        <v>0</v>
      </c>
      <c r="D277" s="645">
        <f>IFERROR((CE131+CJ131)*1000/Klimadaten!O15,0)</f>
        <v>0</v>
      </c>
      <c r="E277" s="644">
        <f>IFERROR((CE199+CJ199)*1000/Klimadaten!O15,0)</f>
        <v>0</v>
      </c>
      <c r="F277" s="410"/>
      <c r="G277" s="410"/>
      <c r="H277" s="648">
        <f t="shared" si="238"/>
        <v>-15</v>
      </c>
      <c r="I277" s="649">
        <f t="shared" si="239"/>
        <v>0</v>
      </c>
      <c r="J277" s="410">
        <f t="shared" si="240"/>
        <v>0</v>
      </c>
      <c r="K277" s="573">
        <f t="shared" si="241"/>
        <v>0</v>
      </c>
      <c r="L277" s="410">
        <f t="shared" si="242"/>
        <v>0</v>
      </c>
      <c r="M277" s="410">
        <f t="shared" si="243"/>
        <v>0</v>
      </c>
      <c r="N277" s="441">
        <f t="shared" si="243"/>
        <v>0</v>
      </c>
      <c r="O277" s="479">
        <f t="shared" ref="O277" si="254">BN131</f>
        <v>21</v>
      </c>
      <c r="P277" s="615">
        <f t="shared" si="245"/>
        <v>0</v>
      </c>
      <c r="Q277" s="410"/>
      <c r="R277" s="410"/>
      <c r="S277" s="410"/>
      <c r="T277" s="410"/>
      <c r="U277" s="410"/>
      <c r="V277" s="410"/>
      <c r="W277" s="410"/>
      <c r="X277" s="410"/>
      <c r="Y277" s="410"/>
      <c r="Z277" s="410"/>
      <c r="AA277" s="410"/>
      <c r="AB277" s="410"/>
      <c r="AC277" s="410"/>
      <c r="AD277" s="410"/>
      <c r="AE277" s="410"/>
      <c r="AF277" s="410"/>
      <c r="AG277" s="410"/>
      <c r="AH277" s="410"/>
      <c r="AI277" s="410"/>
      <c r="AJ277" s="410"/>
      <c r="AK277" s="410"/>
      <c r="AL277" s="410"/>
      <c r="AM277" s="410"/>
      <c r="AN277" s="410"/>
      <c r="AO277" s="410"/>
      <c r="AP277" s="410"/>
      <c r="AQ277" s="410"/>
      <c r="AR277" s="410"/>
      <c r="AS277" s="410"/>
      <c r="AT277" s="410"/>
      <c r="AU277" s="410"/>
      <c r="AV277" s="410"/>
      <c r="AW277" s="410"/>
      <c r="AX277" s="410"/>
      <c r="AY277" s="410"/>
      <c r="AZ277" s="410"/>
      <c r="BA277" s="410"/>
      <c r="BB277" s="410"/>
      <c r="BC277" s="410"/>
      <c r="BD277" s="410"/>
      <c r="BE277" s="410"/>
      <c r="BF277" s="410"/>
      <c r="BG277" s="410"/>
      <c r="BH277" s="410"/>
      <c r="BI277" s="410"/>
      <c r="BJ277" s="410"/>
      <c r="BK277" s="410"/>
      <c r="BL277" s="410"/>
      <c r="BM277" s="410"/>
      <c r="BN277" s="410"/>
      <c r="BO277" s="410"/>
      <c r="BP277" s="410"/>
      <c r="BQ277" s="410"/>
      <c r="BR277" s="410"/>
      <c r="BS277" s="410"/>
      <c r="BT277" s="410"/>
      <c r="BU277" s="410"/>
      <c r="BV277" s="410"/>
      <c r="BW277" s="410"/>
      <c r="BX277" s="410"/>
      <c r="BY277" s="410"/>
      <c r="BZ277" s="410"/>
      <c r="CA277" s="410"/>
      <c r="CB277" s="410"/>
      <c r="CC277" s="410"/>
      <c r="CD277" s="410"/>
      <c r="CE277" s="410"/>
      <c r="CF277" s="410"/>
      <c r="CG277" s="410"/>
      <c r="CH277" s="410"/>
      <c r="CI277" s="410"/>
      <c r="CJ277" s="410"/>
      <c r="CK277" s="410"/>
      <c r="CL277" s="410"/>
      <c r="CM277" s="410"/>
      <c r="CN277" s="410"/>
      <c r="CO277" s="410"/>
      <c r="CP277" s="410"/>
      <c r="CQ277" s="410"/>
      <c r="CR277" s="410"/>
      <c r="CS277" s="410"/>
      <c r="CT277" s="410"/>
      <c r="CU277" s="410"/>
      <c r="CV277" s="410"/>
      <c r="CW277" s="410"/>
      <c r="CX277" s="410"/>
      <c r="CY277" s="410"/>
      <c r="CZ277" s="410"/>
      <c r="DA277" s="410"/>
      <c r="DB277" s="410"/>
      <c r="DC277" s="410"/>
    </row>
    <row r="278" spans="1:107" s="619" customFormat="1" ht="12" customHeight="1">
      <c r="A278" s="648">
        <v>-14</v>
      </c>
      <c r="B278" s="573">
        <f>IFERROR((CK132+CF132)*1000/Klimadaten!O16,0)</f>
        <v>0</v>
      </c>
      <c r="C278" s="630">
        <f>IFERROR((CK200+CF200)*1000/Klimadaten!O16,0)</f>
        <v>0</v>
      </c>
      <c r="D278" s="645">
        <f>IFERROR((CE132+CJ132)*1000/Klimadaten!O16,0)</f>
        <v>0</v>
      </c>
      <c r="E278" s="644">
        <f>IFERROR((CE200+CJ200)*1000/Klimadaten!O16,0)</f>
        <v>0</v>
      </c>
      <c r="F278" s="410"/>
      <c r="G278" s="410"/>
      <c r="H278" s="648">
        <f t="shared" si="238"/>
        <v>-14</v>
      </c>
      <c r="I278" s="649">
        <f t="shared" si="239"/>
        <v>0</v>
      </c>
      <c r="J278" s="410">
        <f t="shared" si="240"/>
        <v>0</v>
      </c>
      <c r="K278" s="573">
        <f t="shared" si="241"/>
        <v>0</v>
      </c>
      <c r="L278" s="410">
        <f t="shared" si="242"/>
        <v>0</v>
      </c>
      <c r="M278" s="410">
        <f t="shared" si="243"/>
        <v>0</v>
      </c>
      <c r="N278" s="441">
        <f t="shared" si="243"/>
        <v>0</v>
      </c>
      <c r="O278" s="479">
        <f t="shared" ref="O278" si="255">BN132</f>
        <v>20.972972972972972</v>
      </c>
      <c r="P278" s="615">
        <f t="shared" si="245"/>
        <v>0</v>
      </c>
      <c r="Q278" s="410"/>
      <c r="R278" s="410"/>
      <c r="S278" s="410"/>
      <c r="T278" s="410"/>
      <c r="U278" s="410"/>
      <c r="V278" s="410"/>
      <c r="W278" s="410"/>
      <c r="X278" s="410"/>
      <c r="Y278" s="410"/>
      <c r="Z278" s="410"/>
      <c r="AA278" s="410"/>
      <c r="AB278" s="410"/>
      <c r="AC278" s="410"/>
      <c r="AD278" s="410"/>
      <c r="AE278" s="410"/>
      <c r="AF278" s="410"/>
      <c r="AG278" s="410"/>
      <c r="AH278" s="410"/>
      <c r="AI278" s="410"/>
      <c r="AJ278" s="410"/>
      <c r="AK278" s="410"/>
      <c r="AL278" s="410"/>
      <c r="AM278" s="410"/>
      <c r="AN278" s="410"/>
      <c r="AO278" s="410"/>
      <c r="AP278" s="410"/>
      <c r="AQ278" s="410"/>
      <c r="AR278" s="410"/>
      <c r="AS278" s="410"/>
      <c r="AT278" s="410"/>
      <c r="AU278" s="410"/>
      <c r="AV278" s="410"/>
      <c r="AW278" s="410"/>
      <c r="AX278" s="410"/>
      <c r="AY278" s="410"/>
      <c r="AZ278" s="410"/>
      <c r="BA278" s="410"/>
      <c r="BB278" s="410"/>
      <c r="BC278" s="410"/>
      <c r="BD278" s="410"/>
      <c r="BE278" s="410"/>
      <c r="BF278" s="410"/>
      <c r="BG278" s="410"/>
      <c r="BH278" s="410"/>
      <c r="BI278" s="410"/>
      <c r="BJ278" s="410"/>
      <c r="BK278" s="410"/>
      <c r="BL278" s="410"/>
      <c r="BM278" s="410"/>
      <c r="BN278" s="410"/>
      <c r="BO278" s="410"/>
      <c r="BP278" s="410"/>
      <c r="BQ278" s="410"/>
      <c r="BR278" s="410"/>
      <c r="BS278" s="410"/>
      <c r="BT278" s="410"/>
      <c r="BU278" s="410"/>
      <c r="BV278" s="410"/>
      <c r="BW278" s="410"/>
      <c r="BX278" s="410"/>
      <c r="BY278" s="410"/>
      <c r="BZ278" s="410"/>
      <c r="CA278" s="410"/>
      <c r="CB278" s="410"/>
      <c r="CC278" s="410"/>
      <c r="CD278" s="410"/>
      <c r="CE278" s="410"/>
      <c r="CF278" s="410"/>
      <c r="CG278" s="410"/>
      <c r="CH278" s="410"/>
      <c r="CI278" s="410"/>
      <c r="CJ278" s="410"/>
      <c r="CK278" s="410"/>
      <c r="CL278" s="410"/>
      <c r="CM278" s="410"/>
      <c r="CN278" s="410"/>
      <c r="CO278" s="410"/>
      <c r="CP278" s="410"/>
      <c r="CQ278" s="410"/>
      <c r="CR278" s="410"/>
      <c r="CS278" s="410"/>
      <c r="CT278" s="410"/>
      <c r="CU278" s="410"/>
      <c r="CV278" s="410"/>
      <c r="CW278" s="410"/>
      <c r="CX278" s="410"/>
      <c r="CY278" s="410"/>
      <c r="CZ278" s="410"/>
      <c r="DA278" s="410"/>
      <c r="DB278" s="410"/>
      <c r="DC278" s="410"/>
    </row>
    <row r="279" spans="1:107" s="619" customFormat="1" ht="12" customHeight="1">
      <c r="A279" s="648">
        <v>-13</v>
      </c>
      <c r="B279" s="573">
        <f>IFERROR((CK133+CF133)*1000/Klimadaten!O17,0)</f>
        <v>0</v>
      </c>
      <c r="C279" s="630">
        <f>IFERROR((CK201+CF201)*1000/Klimadaten!O17,0)</f>
        <v>0</v>
      </c>
      <c r="D279" s="645">
        <f>IFERROR((CE133+CJ133)*1000/Klimadaten!O17,0)</f>
        <v>0</v>
      </c>
      <c r="E279" s="644">
        <f>IFERROR((CE201+CJ201)*1000/Klimadaten!O17,0)</f>
        <v>0</v>
      </c>
      <c r="F279" s="410"/>
      <c r="G279" s="410"/>
      <c r="H279" s="648">
        <f t="shared" si="238"/>
        <v>-13</v>
      </c>
      <c r="I279" s="649">
        <f t="shared" si="239"/>
        <v>0</v>
      </c>
      <c r="J279" s="410">
        <f t="shared" si="240"/>
        <v>0</v>
      </c>
      <c r="K279" s="573">
        <f t="shared" si="241"/>
        <v>0</v>
      </c>
      <c r="L279" s="410">
        <f t="shared" si="242"/>
        <v>0</v>
      </c>
      <c r="M279" s="410">
        <f t="shared" si="243"/>
        <v>0</v>
      </c>
      <c r="N279" s="441">
        <f t="shared" si="243"/>
        <v>0</v>
      </c>
      <c r="O279" s="479">
        <f t="shared" ref="O279" si="256">BN133</f>
        <v>20.945945945945947</v>
      </c>
      <c r="P279" s="615">
        <f t="shared" si="245"/>
        <v>0</v>
      </c>
      <c r="Q279" s="410"/>
      <c r="R279" s="410"/>
      <c r="S279" s="410"/>
      <c r="T279" s="410"/>
      <c r="U279" s="410"/>
      <c r="V279" s="410"/>
      <c r="W279" s="410"/>
      <c r="X279" s="410"/>
      <c r="Y279" s="410"/>
      <c r="Z279" s="410"/>
      <c r="AA279" s="410"/>
      <c r="AB279" s="410"/>
      <c r="AC279" s="410"/>
      <c r="AD279" s="410"/>
      <c r="AE279" s="410"/>
      <c r="AF279" s="410"/>
      <c r="AG279" s="410"/>
      <c r="AH279" s="410"/>
      <c r="AI279" s="410"/>
      <c r="AJ279" s="410"/>
      <c r="AK279" s="410"/>
      <c r="AL279" s="410"/>
      <c r="AM279" s="410"/>
      <c r="AN279" s="410"/>
      <c r="AO279" s="410"/>
      <c r="AP279" s="410"/>
      <c r="AQ279" s="410"/>
      <c r="AR279" s="410"/>
      <c r="AS279" s="410"/>
      <c r="AT279" s="410"/>
      <c r="AU279" s="410"/>
      <c r="AV279" s="410"/>
      <c r="AW279" s="410"/>
      <c r="AX279" s="410"/>
      <c r="AY279" s="410"/>
      <c r="AZ279" s="410"/>
      <c r="BA279" s="410"/>
      <c r="BB279" s="410"/>
      <c r="BC279" s="410"/>
      <c r="BD279" s="410"/>
      <c r="BE279" s="410"/>
      <c r="BF279" s="410"/>
      <c r="BG279" s="410"/>
      <c r="BH279" s="410"/>
      <c r="BI279" s="410"/>
      <c r="BJ279" s="410"/>
      <c r="BK279" s="410"/>
      <c r="BL279" s="410"/>
      <c r="BM279" s="410"/>
      <c r="BN279" s="410"/>
      <c r="BO279" s="410"/>
      <c r="BP279" s="410"/>
      <c r="BQ279" s="410"/>
      <c r="BR279" s="410"/>
      <c r="BS279" s="410"/>
      <c r="BT279" s="410"/>
      <c r="BU279" s="410"/>
      <c r="BV279" s="410"/>
      <c r="BW279" s="410"/>
      <c r="BX279" s="410"/>
      <c r="BY279" s="410"/>
      <c r="BZ279" s="410"/>
      <c r="CA279" s="410"/>
      <c r="CB279" s="410"/>
      <c r="CC279" s="410"/>
      <c r="CD279" s="410"/>
      <c r="CE279" s="410"/>
      <c r="CF279" s="410"/>
      <c r="CG279" s="410"/>
      <c r="CH279" s="410"/>
      <c r="CI279" s="410"/>
      <c r="CJ279" s="410"/>
      <c r="CK279" s="410"/>
      <c r="CL279" s="410"/>
      <c r="CM279" s="410"/>
      <c r="CN279" s="410"/>
      <c r="CO279" s="410"/>
      <c r="CP279" s="410"/>
      <c r="CQ279" s="410"/>
      <c r="CR279" s="410"/>
      <c r="CS279" s="410"/>
      <c r="CT279" s="410"/>
      <c r="CU279" s="410"/>
      <c r="CV279" s="410"/>
      <c r="CW279" s="410"/>
      <c r="CX279" s="410"/>
      <c r="CY279" s="410"/>
      <c r="CZ279" s="410"/>
      <c r="DA279" s="410"/>
      <c r="DB279" s="410"/>
      <c r="DC279" s="410"/>
    </row>
    <row r="280" spans="1:107" s="619" customFormat="1" ht="12" customHeight="1">
      <c r="A280" s="648">
        <v>-12</v>
      </c>
      <c r="B280" s="573">
        <f>IFERROR((CK134+CF134)*1000/Klimadaten!O18,0)</f>
        <v>0</v>
      </c>
      <c r="C280" s="630">
        <f>IFERROR((CK202+CF202)*1000/Klimadaten!O18,0)</f>
        <v>0</v>
      </c>
      <c r="D280" s="645">
        <f>IFERROR((CE134+CJ134)*1000/Klimadaten!O18,0)</f>
        <v>0</v>
      </c>
      <c r="E280" s="644">
        <f>IFERROR((CE202+CJ202)*1000/Klimadaten!O18,0)</f>
        <v>0</v>
      </c>
      <c r="F280" s="410"/>
      <c r="G280" s="410"/>
      <c r="H280" s="648">
        <f t="shared" si="238"/>
        <v>-12</v>
      </c>
      <c r="I280" s="649">
        <f t="shared" si="239"/>
        <v>0</v>
      </c>
      <c r="J280" s="410">
        <f t="shared" si="240"/>
        <v>0</v>
      </c>
      <c r="K280" s="573">
        <f t="shared" si="241"/>
        <v>0</v>
      </c>
      <c r="L280" s="410">
        <f t="shared" si="242"/>
        <v>0</v>
      </c>
      <c r="M280" s="410">
        <f t="shared" si="243"/>
        <v>0</v>
      </c>
      <c r="N280" s="441">
        <f t="shared" si="243"/>
        <v>0</v>
      </c>
      <c r="O280" s="479">
        <f t="shared" ref="O280" si="257">BN134</f>
        <v>20.918918918918919</v>
      </c>
      <c r="P280" s="615">
        <f t="shared" si="245"/>
        <v>0</v>
      </c>
      <c r="Q280" s="410"/>
      <c r="R280" s="410"/>
      <c r="S280" s="410"/>
      <c r="T280" s="410"/>
      <c r="U280" s="410"/>
      <c r="V280" s="410"/>
      <c r="W280" s="410"/>
      <c r="X280" s="410"/>
      <c r="Y280" s="410"/>
      <c r="Z280" s="410"/>
      <c r="AA280" s="410"/>
      <c r="AB280" s="410"/>
      <c r="AC280" s="410"/>
      <c r="AD280" s="410"/>
      <c r="AE280" s="410"/>
      <c r="AF280" s="410"/>
      <c r="AG280" s="410"/>
      <c r="AH280" s="410"/>
      <c r="AI280" s="410"/>
      <c r="AJ280" s="410"/>
      <c r="AK280" s="410"/>
      <c r="AL280" s="410"/>
      <c r="AM280" s="410"/>
      <c r="AN280" s="410"/>
      <c r="AO280" s="410"/>
      <c r="AP280" s="410"/>
      <c r="AQ280" s="410"/>
      <c r="AR280" s="410"/>
      <c r="AS280" s="410"/>
      <c r="AT280" s="410"/>
      <c r="AU280" s="410"/>
      <c r="AV280" s="410"/>
      <c r="AW280" s="410"/>
      <c r="AX280" s="410"/>
      <c r="AY280" s="410"/>
      <c r="AZ280" s="410"/>
      <c r="BA280" s="410"/>
      <c r="BB280" s="410"/>
      <c r="BC280" s="410"/>
      <c r="BD280" s="410"/>
      <c r="BE280" s="410"/>
      <c r="BF280" s="410"/>
      <c r="BG280" s="410"/>
      <c r="BH280" s="410"/>
      <c r="BI280" s="410"/>
      <c r="BJ280" s="410"/>
      <c r="BK280" s="410"/>
      <c r="BL280" s="410"/>
      <c r="BM280" s="410"/>
      <c r="BN280" s="410"/>
      <c r="BO280" s="410"/>
      <c r="BP280" s="410"/>
      <c r="BQ280" s="410"/>
      <c r="BR280" s="410"/>
      <c r="BS280" s="410"/>
      <c r="BT280" s="410"/>
      <c r="BU280" s="410"/>
      <c r="BV280" s="410"/>
      <c r="BW280" s="410"/>
      <c r="BX280" s="410"/>
      <c r="BY280" s="410"/>
      <c r="BZ280" s="410"/>
      <c r="CA280" s="410"/>
      <c r="CB280" s="410"/>
      <c r="CC280" s="410"/>
      <c r="CD280" s="410"/>
      <c r="CE280" s="410"/>
      <c r="CF280" s="410"/>
      <c r="CG280" s="410"/>
      <c r="CH280" s="410"/>
      <c r="CI280" s="410"/>
      <c r="CJ280" s="410"/>
      <c r="CK280" s="410"/>
      <c r="CL280" s="410"/>
      <c r="CM280" s="410"/>
      <c r="CN280" s="410"/>
      <c r="CO280" s="410"/>
      <c r="CP280" s="410"/>
      <c r="CQ280" s="410"/>
      <c r="CR280" s="410"/>
      <c r="CS280" s="410"/>
      <c r="CT280" s="410"/>
      <c r="CU280" s="410"/>
      <c r="CV280" s="410"/>
      <c r="CW280" s="410"/>
      <c r="CX280" s="410"/>
      <c r="CY280" s="410"/>
      <c r="CZ280" s="410"/>
      <c r="DA280" s="410"/>
      <c r="DB280" s="410"/>
      <c r="DC280" s="410"/>
    </row>
    <row r="281" spans="1:107" s="619" customFormat="1" ht="12" customHeight="1">
      <c r="A281" s="648">
        <v>-11</v>
      </c>
      <c r="B281" s="573">
        <f>IFERROR((CK135+CF135)*1000/Klimadaten!O19,0)</f>
        <v>0</v>
      </c>
      <c r="C281" s="630">
        <f>IFERROR((CK203+CF203)*1000/Klimadaten!O19,0)</f>
        <v>0</v>
      </c>
      <c r="D281" s="645">
        <f>IFERROR((CE135+CJ135)*1000/Klimadaten!O19,0)</f>
        <v>0</v>
      </c>
      <c r="E281" s="644">
        <f>IFERROR((CE203+CJ203)*1000/Klimadaten!O19,0)</f>
        <v>0</v>
      </c>
      <c r="F281" s="410"/>
      <c r="G281" s="410"/>
      <c r="H281" s="648">
        <f t="shared" si="238"/>
        <v>-11</v>
      </c>
      <c r="I281" s="649">
        <f t="shared" si="239"/>
        <v>0</v>
      </c>
      <c r="J281" s="410">
        <f t="shared" si="240"/>
        <v>0</v>
      </c>
      <c r="K281" s="573">
        <f t="shared" si="241"/>
        <v>0</v>
      </c>
      <c r="L281" s="410">
        <f t="shared" si="242"/>
        <v>0</v>
      </c>
      <c r="M281" s="410">
        <f t="shared" si="243"/>
        <v>0</v>
      </c>
      <c r="N281" s="441">
        <f t="shared" si="243"/>
        <v>0</v>
      </c>
      <c r="O281" s="479">
        <f t="shared" ref="O281" si="258">BN135</f>
        <v>20.891891891891891</v>
      </c>
      <c r="P281" s="615">
        <f t="shared" si="245"/>
        <v>0</v>
      </c>
      <c r="Q281" s="410"/>
      <c r="R281" s="410"/>
      <c r="S281" s="410"/>
      <c r="T281" s="410"/>
      <c r="U281" s="410"/>
      <c r="V281" s="410"/>
      <c r="W281" s="410"/>
      <c r="X281" s="410"/>
      <c r="Y281" s="410"/>
      <c r="Z281" s="410"/>
      <c r="AA281" s="410"/>
      <c r="AB281" s="410"/>
      <c r="AC281" s="410"/>
      <c r="AD281" s="410"/>
      <c r="AE281" s="410"/>
      <c r="AF281" s="410"/>
      <c r="AG281" s="410"/>
      <c r="AH281" s="410"/>
      <c r="AI281" s="410"/>
      <c r="AJ281" s="410"/>
      <c r="AK281" s="410"/>
      <c r="AL281" s="410"/>
      <c r="AM281" s="410"/>
      <c r="AN281" s="410"/>
      <c r="AO281" s="410"/>
      <c r="AP281" s="410"/>
      <c r="AQ281" s="410"/>
      <c r="AR281" s="410"/>
      <c r="AS281" s="410"/>
      <c r="AT281" s="410"/>
      <c r="AU281" s="410"/>
      <c r="AV281" s="410"/>
      <c r="AW281" s="410"/>
      <c r="AX281" s="410"/>
      <c r="AY281" s="410"/>
      <c r="AZ281" s="410"/>
      <c r="BA281" s="410"/>
      <c r="BB281" s="410"/>
      <c r="BC281" s="410"/>
      <c r="BD281" s="410"/>
      <c r="BE281" s="410"/>
      <c r="BF281" s="410"/>
      <c r="BG281" s="410"/>
      <c r="BH281" s="410"/>
      <c r="BI281" s="410"/>
      <c r="BJ281" s="410"/>
      <c r="BK281" s="410"/>
      <c r="BL281" s="410"/>
      <c r="BM281" s="410"/>
      <c r="BN281" s="410"/>
      <c r="BO281" s="410"/>
      <c r="BP281" s="410"/>
      <c r="BQ281" s="410"/>
      <c r="BR281" s="410"/>
      <c r="BS281" s="410"/>
      <c r="BT281" s="410"/>
      <c r="BU281" s="410"/>
      <c r="BV281" s="410"/>
      <c r="BW281" s="410"/>
      <c r="BX281" s="410"/>
      <c r="BY281" s="410"/>
      <c r="BZ281" s="410"/>
      <c r="CA281" s="410"/>
      <c r="CB281" s="410"/>
      <c r="CC281" s="410"/>
      <c r="CD281" s="410"/>
      <c r="CE281" s="410"/>
      <c r="CF281" s="410"/>
      <c r="CG281" s="410"/>
      <c r="CH281" s="410"/>
      <c r="CI281" s="410"/>
      <c r="CJ281" s="410"/>
      <c r="CK281" s="410"/>
      <c r="CL281" s="410"/>
      <c r="CM281" s="410"/>
      <c r="CN281" s="410"/>
      <c r="CO281" s="410"/>
      <c r="CP281" s="410"/>
      <c r="CQ281" s="410"/>
      <c r="CR281" s="410"/>
      <c r="CS281" s="410"/>
      <c r="CT281" s="410"/>
      <c r="CU281" s="410"/>
      <c r="CV281" s="410"/>
      <c r="CW281" s="410"/>
      <c r="CX281" s="410"/>
      <c r="CY281" s="410"/>
      <c r="CZ281" s="410"/>
      <c r="DA281" s="410"/>
      <c r="DB281" s="410"/>
      <c r="DC281" s="410"/>
    </row>
    <row r="282" spans="1:107" s="619" customFormat="1" ht="12" customHeight="1">
      <c r="A282" s="648">
        <v>-10</v>
      </c>
      <c r="B282" s="573">
        <f>IFERROR((CK136+CF136)*1000/Klimadaten!O20,0)</f>
        <v>2.7663583898923689</v>
      </c>
      <c r="C282" s="630">
        <f>IFERROR((CK204+CF204)*1000/Klimadaten!O20,0)</f>
        <v>0</v>
      </c>
      <c r="D282" s="645">
        <f>IFERROR((CE136+CJ136)*1000/Klimadaten!O20,0)</f>
        <v>0</v>
      </c>
      <c r="E282" s="644">
        <f>IFERROR((CE204+CJ204)*1000/Klimadaten!O20,0)</f>
        <v>0</v>
      </c>
      <c r="F282" s="410"/>
      <c r="G282" s="410"/>
      <c r="H282" s="648">
        <f t="shared" si="238"/>
        <v>-10</v>
      </c>
      <c r="I282" s="649">
        <f t="shared" si="239"/>
        <v>18.332289628180042</v>
      </c>
      <c r="J282" s="410">
        <f t="shared" si="240"/>
        <v>16.598150339354213</v>
      </c>
      <c r="K282" s="573">
        <f t="shared" si="241"/>
        <v>0</v>
      </c>
      <c r="L282" s="410">
        <f t="shared" si="242"/>
        <v>0</v>
      </c>
      <c r="M282" s="410">
        <f t="shared" si="243"/>
        <v>0</v>
      </c>
      <c r="N282" s="441">
        <f t="shared" si="243"/>
        <v>0</v>
      </c>
      <c r="O282" s="479">
        <f t="shared" ref="O282" si="259">BN136</f>
        <v>20.864864864864863</v>
      </c>
      <c r="P282" s="615">
        <f t="shared" si="245"/>
        <v>9.2641495419131026</v>
      </c>
      <c r="Q282" s="410"/>
      <c r="R282" s="410"/>
      <c r="S282" s="410"/>
      <c r="T282" s="410"/>
      <c r="U282" s="410"/>
      <c r="V282" s="410"/>
      <c r="W282" s="410"/>
      <c r="X282" s="410"/>
      <c r="Y282" s="410"/>
      <c r="Z282" s="410"/>
      <c r="AA282" s="410"/>
      <c r="AB282" s="410"/>
      <c r="AC282" s="410"/>
      <c r="AD282" s="410"/>
      <c r="AE282" s="410"/>
      <c r="AF282" s="410"/>
      <c r="AG282" s="410"/>
      <c r="AH282" s="410"/>
      <c r="AI282" s="410"/>
      <c r="AJ282" s="410"/>
      <c r="AK282" s="410"/>
      <c r="AL282" s="410"/>
      <c r="AM282" s="410"/>
      <c r="AN282" s="410"/>
      <c r="AO282" s="410"/>
      <c r="AP282" s="410"/>
      <c r="AQ282" s="410"/>
      <c r="AR282" s="410"/>
      <c r="AS282" s="410"/>
      <c r="AT282" s="410"/>
      <c r="AU282" s="410"/>
      <c r="AV282" s="410"/>
      <c r="AW282" s="410"/>
      <c r="AX282" s="410"/>
      <c r="AY282" s="410"/>
      <c r="AZ282" s="410"/>
      <c r="BA282" s="410"/>
      <c r="BB282" s="410"/>
      <c r="BC282" s="410"/>
      <c r="BD282" s="410"/>
      <c r="BE282" s="410"/>
      <c r="BF282" s="410"/>
      <c r="BG282" s="410"/>
      <c r="BH282" s="410"/>
      <c r="BI282" s="410"/>
      <c r="BJ282" s="410"/>
      <c r="BK282" s="410"/>
      <c r="BL282" s="410"/>
      <c r="BM282" s="410"/>
      <c r="BN282" s="410"/>
      <c r="BO282" s="410"/>
      <c r="BP282" s="410"/>
      <c r="BQ282" s="410"/>
      <c r="BR282" s="410"/>
      <c r="BS282" s="410"/>
      <c r="BT282" s="410"/>
      <c r="BU282" s="410"/>
      <c r="BV282" s="410"/>
      <c r="BW282" s="410"/>
      <c r="BX282" s="410"/>
      <c r="BY282" s="410"/>
      <c r="BZ282" s="410"/>
      <c r="CA282" s="410"/>
      <c r="CB282" s="410"/>
      <c r="CC282" s="410"/>
      <c r="CD282" s="410"/>
      <c r="CE282" s="410"/>
      <c r="CF282" s="410"/>
      <c r="CG282" s="410"/>
      <c r="CH282" s="410"/>
      <c r="CI282" s="410"/>
      <c r="CJ282" s="410"/>
      <c r="CK282" s="410"/>
      <c r="CL282" s="410"/>
      <c r="CM282" s="410"/>
      <c r="CN282" s="410"/>
      <c r="CO282" s="410"/>
      <c r="CP282" s="410"/>
      <c r="CQ282" s="410"/>
      <c r="CR282" s="410"/>
      <c r="CS282" s="410"/>
      <c r="CT282" s="410"/>
      <c r="CU282" s="410"/>
      <c r="CV282" s="410"/>
      <c r="CW282" s="410"/>
      <c r="CX282" s="410"/>
      <c r="CY282" s="410"/>
      <c r="CZ282" s="410"/>
      <c r="DA282" s="410"/>
      <c r="DB282" s="410"/>
      <c r="DC282" s="410"/>
    </row>
    <row r="283" spans="1:107" s="619" customFormat="1" ht="12" customHeight="1">
      <c r="A283" s="648">
        <v>-9</v>
      </c>
      <c r="B283" s="573">
        <f>IFERROR((CK137+CF137)*1000/Klimadaten!O21,0)</f>
        <v>2.6189557688673148</v>
      </c>
      <c r="C283" s="630">
        <f>IFERROR((CK205+CF205)*1000/Klimadaten!O21,0)</f>
        <v>0</v>
      </c>
      <c r="D283" s="645">
        <f>IFERROR((CE137+CJ137)*1000/Klimadaten!O21,0)</f>
        <v>0</v>
      </c>
      <c r="E283" s="644">
        <f>IFERROR((CE205+CJ205)*1000/Klimadaten!O21,0)</f>
        <v>0</v>
      </c>
      <c r="F283" s="410"/>
      <c r="G283" s="410"/>
      <c r="H283" s="648">
        <f t="shared" si="238"/>
        <v>-9</v>
      </c>
      <c r="I283" s="649">
        <f t="shared" si="239"/>
        <v>137.49217221135029</v>
      </c>
      <c r="J283" s="410">
        <f t="shared" si="240"/>
        <v>117.85300959902916</v>
      </c>
      <c r="K283" s="573">
        <f t="shared" si="241"/>
        <v>0</v>
      </c>
      <c r="L283" s="410">
        <f t="shared" si="242"/>
        <v>0</v>
      </c>
      <c r="M283" s="410">
        <f t="shared" si="243"/>
        <v>0</v>
      </c>
      <c r="N283" s="441">
        <f t="shared" si="243"/>
        <v>0</v>
      </c>
      <c r="O283" s="479">
        <f t="shared" ref="O283" si="260">BN137</f>
        <v>20.837837837837839</v>
      </c>
      <c r="P283" s="615">
        <f t="shared" si="245"/>
        <v>10.159764923581321</v>
      </c>
      <c r="Q283" s="410"/>
      <c r="R283" s="410"/>
      <c r="S283" s="410"/>
      <c r="T283" s="410"/>
      <c r="U283" s="410"/>
      <c r="V283" s="410"/>
      <c r="W283" s="410"/>
      <c r="X283" s="410"/>
      <c r="Y283" s="410"/>
      <c r="Z283" s="410"/>
      <c r="AA283" s="410"/>
      <c r="AB283" s="410"/>
      <c r="AC283" s="410"/>
      <c r="AD283" s="410"/>
      <c r="AE283" s="410"/>
      <c r="AF283" s="410"/>
      <c r="AG283" s="410"/>
      <c r="AH283" s="410"/>
      <c r="AI283" s="410"/>
      <c r="AJ283" s="410"/>
      <c r="AK283" s="410"/>
      <c r="AL283" s="410"/>
      <c r="AM283" s="410"/>
      <c r="AN283" s="410"/>
      <c r="AO283" s="410"/>
      <c r="AP283" s="410"/>
      <c r="AQ283" s="410"/>
      <c r="AR283" s="410"/>
      <c r="AS283" s="410"/>
      <c r="AT283" s="410"/>
      <c r="AU283" s="410"/>
      <c r="AV283" s="410"/>
      <c r="AW283" s="410"/>
      <c r="AX283" s="410"/>
      <c r="AY283" s="410"/>
      <c r="AZ283" s="410"/>
      <c r="BA283" s="410"/>
      <c r="BB283" s="410"/>
      <c r="BC283" s="410"/>
      <c r="BD283" s="410"/>
      <c r="BE283" s="410"/>
      <c r="BF283" s="410"/>
      <c r="BG283" s="410"/>
      <c r="BH283" s="410"/>
      <c r="BI283" s="410"/>
      <c r="BJ283" s="410"/>
      <c r="BK283" s="410"/>
      <c r="BL283" s="410"/>
      <c r="BM283" s="410"/>
      <c r="BN283" s="410"/>
      <c r="BO283" s="410"/>
      <c r="BP283" s="410"/>
      <c r="BQ283" s="410"/>
      <c r="BR283" s="410"/>
      <c r="BS283" s="410"/>
      <c r="BT283" s="410"/>
      <c r="BU283" s="410"/>
      <c r="BV283" s="410"/>
      <c r="BW283" s="410"/>
      <c r="BX283" s="410"/>
      <c r="BY283" s="410"/>
      <c r="BZ283" s="410"/>
      <c r="CA283" s="410"/>
      <c r="CB283" s="410"/>
      <c r="CC283" s="410"/>
      <c r="CD283" s="410"/>
      <c r="CE283" s="410"/>
      <c r="CF283" s="410"/>
      <c r="CG283" s="410"/>
      <c r="CH283" s="410"/>
      <c r="CI283" s="410"/>
      <c r="CJ283" s="410"/>
      <c r="CK283" s="410"/>
      <c r="CL283" s="410"/>
      <c r="CM283" s="410"/>
      <c r="CN283" s="410"/>
      <c r="CO283" s="410"/>
      <c r="CP283" s="410"/>
      <c r="CQ283" s="410"/>
      <c r="CR283" s="410"/>
      <c r="CS283" s="410"/>
      <c r="CT283" s="410"/>
      <c r="CU283" s="410"/>
      <c r="CV283" s="410"/>
      <c r="CW283" s="410"/>
      <c r="CX283" s="410"/>
      <c r="CY283" s="410"/>
      <c r="CZ283" s="410"/>
      <c r="DA283" s="410"/>
      <c r="DB283" s="410"/>
      <c r="DC283" s="410"/>
    </row>
    <row r="284" spans="1:107" s="619" customFormat="1" ht="12" customHeight="1">
      <c r="A284" s="648">
        <v>-8</v>
      </c>
      <c r="B284" s="573">
        <f>IFERROR((CK138+CF138)*1000/Klimadaten!O22,0)</f>
        <v>2.4711922990848816</v>
      </c>
      <c r="C284" s="630">
        <f>IFERROR((CK206+CF206)*1000/Klimadaten!O22,0)</f>
        <v>0</v>
      </c>
      <c r="D284" s="645">
        <f>IFERROR((CE138+CJ138)*1000/Klimadaten!O22,0)</f>
        <v>0</v>
      </c>
      <c r="E284" s="644">
        <f>IFERROR((CE206+CJ206)*1000/Klimadaten!O22,0)</f>
        <v>0</v>
      </c>
      <c r="F284" s="410"/>
      <c r="G284" s="410"/>
      <c r="H284" s="648">
        <f t="shared" si="238"/>
        <v>-8</v>
      </c>
      <c r="I284" s="649">
        <f t="shared" si="239"/>
        <v>146.65831702544034</v>
      </c>
      <c r="J284" s="410">
        <f t="shared" si="240"/>
        <v>118.61723035607432</v>
      </c>
      <c r="K284" s="573">
        <f t="shared" si="241"/>
        <v>0</v>
      </c>
      <c r="L284" s="410">
        <f t="shared" si="242"/>
        <v>0</v>
      </c>
      <c r="M284" s="410">
        <f t="shared" ref="M284:N299" si="261">CE138*1000</f>
        <v>0</v>
      </c>
      <c r="N284" s="441">
        <f t="shared" si="261"/>
        <v>0</v>
      </c>
      <c r="O284" s="479">
        <f t="shared" ref="O284" si="262">BN138</f>
        <v>20.810810810810811</v>
      </c>
      <c r="P284" s="615">
        <f t="shared" si="245"/>
        <v>10.67470564774022</v>
      </c>
      <c r="Q284" s="410"/>
      <c r="R284" s="410"/>
      <c r="S284" s="410"/>
      <c r="T284" s="410"/>
      <c r="U284" s="410"/>
      <c r="V284" s="410"/>
      <c r="W284" s="410"/>
      <c r="X284" s="410"/>
      <c r="Y284" s="410"/>
      <c r="Z284" s="410"/>
      <c r="AA284" s="410"/>
      <c r="AB284" s="410"/>
      <c r="AC284" s="410"/>
      <c r="AD284" s="410"/>
      <c r="AE284" s="410"/>
      <c r="AF284" s="410"/>
      <c r="AG284" s="410"/>
      <c r="AH284" s="410"/>
      <c r="AI284" s="410"/>
      <c r="AJ284" s="410"/>
      <c r="AK284" s="410"/>
      <c r="AL284" s="410"/>
      <c r="AM284" s="410"/>
      <c r="AN284" s="410"/>
      <c r="AO284" s="410"/>
      <c r="AP284" s="410"/>
      <c r="AQ284" s="410"/>
      <c r="AR284" s="410"/>
      <c r="AS284" s="410"/>
      <c r="AT284" s="410"/>
      <c r="AU284" s="410"/>
      <c r="AV284" s="410"/>
      <c r="AW284" s="410"/>
      <c r="AX284" s="410"/>
      <c r="AY284" s="410"/>
      <c r="AZ284" s="410"/>
      <c r="BA284" s="410"/>
      <c r="BB284" s="410"/>
      <c r="BC284" s="410"/>
      <c r="BD284" s="410"/>
      <c r="BE284" s="410"/>
      <c r="BF284" s="410"/>
      <c r="BG284" s="410"/>
      <c r="BH284" s="410"/>
      <c r="BI284" s="410"/>
      <c r="BJ284" s="410"/>
      <c r="BK284" s="410"/>
      <c r="BL284" s="410"/>
      <c r="BM284" s="410"/>
      <c r="BN284" s="410"/>
      <c r="BO284" s="410"/>
      <c r="BP284" s="410"/>
      <c r="BQ284" s="410"/>
      <c r="BR284" s="410"/>
      <c r="BS284" s="410"/>
      <c r="BT284" s="410"/>
      <c r="BU284" s="410"/>
      <c r="BV284" s="410"/>
      <c r="BW284" s="410"/>
      <c r="BX284" s="410"/>
      <c r="BY284" s="410"/>
      <c r="BZ284" s="410"/>
      <c r="CA284" s="410"/>
      <c r="CB284" s="410"/>
      <c r="CC284" s="410"/>
      <c r="CD284" s="410"/>
      <c r="CE284" s="410"/>
      <c r="CF284" s="410"/>
      <c r="CG284" s="410"/>
      <c r="CH284" s="410"/>
      <c r="CI284" s="410"/>
      <c r="CJ284" s="410"/>
      <c r="CK284" s="410"/>
      <c r="CL284" s="410"/>
      <c r="CM284" s="410"/>
      <c r="CN284" s="410"/>
      <c r="CO284" s="410"/>
      <c r="CP284" s="410"/>
      <c r="CQ284" s="410"/>
      <c r="CR284" s="410"/>
      <c r="CS284" s="410"/>
      <c r="CT284" s="410"/>
      <c r="CU284" s="410"/>
      <c r="CV284" s="410"/>
      <c r="CW284" s="410"/>
      <c r="CX284" s="410"/>
      <c r="CY284" s="410"/>
      <c r="CZ284" s="410"/>
      <c r="DA284" s="410"/>
      <c r="DB284" s="410"/>
      <c r="DC284" s="410"/>
    </row>
    <row r="285" spans="1:107" s="619" customFormat="1" ht="12" customHeight="1">
      <c r="A285" s="648">
        <v>-7</v>
      </c>
      <c r="B285" s="573">
        <f>IFERROR((CK139+CF139)*1000/Klimadaten!O23,0)</f>
        <v>2.3235432236081461</v>
      </c>
      <c r="C285" s="630">
        <f>IFERROR((CK207+CF207)*1000/Klimadaten!O23,0)</f>
        <v>0</v>
      </c>
      <c r="D285" s="645">
        <f>IFERROR((CE139+CJ139)*1000/Klimadaten!O23,0)</f>
        <v>0</v>
      </c>
      <c r="E285" s="644">
        <f>IFERROR((CE207+CJ207)*1000/Klimadaten!O23,0)</f>
        <v>0</v>
      </c>
      <c r="F285" s="410"/>
      <c r="G285" s="410"/>
      <c r="H285" s="648">
        <f t="shared" si="238"/>
        <v>-7</v>
      </c>
      <c r="I285" s="649">
        <f t="shared" si="239"/>
        <v>207.7659491193738</v>
      </c>
      <c r="J285" s="410">
        <f t="shared" si="240"/>
        <v>158.00093920535394</v>
      </c>
      <c r="K285" s="573">
        <f t="shared" si="241"/>
        <v>1.3122012099159596E-13</v>
      </c>
      <c r="L285" s="410">
        <f t="shared" si="242"/>
        <v>0</v>
      </c>
      <c r="M285" s="410">
        <f t="shared" si="261"/>
        <v>0</v>
      </c>
      <c r="N285" s="441">
        <f t="shared" si="261"/>
        <v>0</v>
      </c>
      <c r="O285" s="479">
        <f t="shared" ref="O285" si="263">BN139</f>
        <v>20.783783783783782</v>
      </c>
      <c r="P285" s="615">
        <f t="shared" si="245"/>
        <v>11.419914417025563</v>
      </c>
      <c r="Q285" s="410"/>
      <c r="R285" s="410"/>
      <c r="S285" s="410"/>
      <c r="T285" s="410"/>
      <c r="U285" s="410"/>
      <c r="V285" s="410"/>
      <c r="W285" s="410"/>
      <c r="X285" s="410"/>
      <c r="Y285" s="410"/>
      <c r="Z285" s="410"/>
      <c r="AA285" s="410"/>
      <c r="AB285" s="410"/>
      <c r="AC285" s="410"/>
      <c r="AD285" s="410"/>
      <c r="AE285" s="410"/>
      <c r="AF285" s="410"/>
      <c r="AG285" s="410"/>
      <c r="AH285" s="410"/>
      <c r="AI285" s="410"/>
      <c r="AJ285" s="410"/>
      <c r="AK285" s="410"/>
      <c r="AL285" s="410"/>
      <c r="AM285" s="410"/>
      <c r="AN285" s="410"/>
      <c r="AO285" s="410"/>
      <c r="AP285" s="410"/>
      <c r="AQ285" s="410"/>
      <c r="AR285" s="410"/>
      <c r="AS285" s="410"/>
      <c r="AT285" s="410"/>
      <c r="AU285" s="410"/>
      <c r="AV285" s="410"/>
      <c r="AW285" s="410"/>
      <c r="AX285" s="410"/>
      <c r="AY285" s="410"/>
      <c r="AZ285" s="410"/>
      <c r="BA285" s="410"/>
      <c r="BB285" s="410"/>
      <c r="BC285" s="410"/>
      <c r="BD285" s="410"/>
      <c r="BE285" s="410"/>
      <c r="BF285" s="410"/>
      <c r="BG285" s="410"/>
      <c r="BH285" s="410"/>
      <c r="BI285" s="410"/>
      <c r="BJ285" s="410"/>
      <c r="BK285" s="410"/>
      <c r="BL285" s="410"/>
      <c r="BM285" s="410"/>
      <c r="BN285" s="410"/>
      <c r="BO285" s="410"/>
      <c r="BP285" s="410"/>
      <c r="BQ285" s="410"/>
      <c r="BR285" s="410"/>
      <c r="BS285" s="410"/>
      <c r="BT285" s="410"/>
      <c r="BU285" s="410"/>
      <c r="BV285" s="410"/>
      <c r="BW285" s="410"/>
      <c r="BX285" s="410"/>
      <c r="BY285" s="410"/>
      <c r="BZ285" s="410"/>
      <c r="CA285" s="410"/>
      <c r="CB285" s="410"/>
      <c r="CC285" s="410"/>
      <c r="CD285" s="410"/>
      <c r="CE285" s="410"/>
      <c r="CF285" s="410"/>
      <c r="CG285" s="410"/>
      <c r="CH285" s="410"/>
      <c r="CI285" s="410"/>
      <c r="CJ285" s="410"/>
      <c r="CK285" s="410"/>
      <c r="CL285" s="410"/>
      <c r="CM285" s="410"/>
      <c r="CN285" s="410"/>
      <c r="CO285" s="410"/>
      <c r="CP285" s="410"/>
      <c r="CQ285" s="410"/>
      <c r="CR285" s="410"/>
      <c r="CS285" s="410"/>
      <c r="CT285" s="410"/>
      <c r="CU285" s="410"/>
      <c r="CV285" s="410"/>
      <c r="CW285" s="410"/>
      <c r="CX285" s="410"/>
      <c r="CY285" s="410"/>
      <c r="CZ285" s="410"/>
      <c r="DA285" s="410"/>
      <c r="DB285" s="410"/>
      <c r="DC285" s="410"/>
    </row>
    <row r="286" spans="1:107" s="619" customFormat="1" ht="12" customHeight="1">
      <c r="A286" s="648">
        <v>-6</v>
      </c>
      <c r="B286" s="573">
        <f>IFERROR((CK140+CF140)*1000/Klimadaten!O24,0)</f>
        <v>2.1755839462648185</v>
      </c>
      <c r="C286" s="630">
        <f>IFERROR((CK208+CF208)*1000/Klimadaten!O24,0)</f>
        <v>0</v>
      </c>
      <c r="D286" s="645">
        <f>IFERROR((CE140+CJ140)*1000/Klimadaten!O24,0)</f>
        <v>0</v>
      </c>
      <c r="E286" s="644">
        <f>IFERROR((CE208+CJ208)*1000/Klimadaten!O24,0)</f>
        <v>0</v>
      </c>
      <c r="F286" s="410"/>
      <c r="G286" s="410"/>
      <c r="H286" s="648">
        <f t="shared" si="238"/>
        <v>-6</v>
      </c>
      <c r="I286" s="649">
        <f t="shared" si="239"/>
        <v>137.49217221135029</v>
      </c>
      <c r="J286" s="410">
        <f t="shared" si="240"/>
        <v>97.90127758191683</v>
      </c>
      <c r="K286" s="573">
        <f t="shared" si="241"/>
        <v>0</v>
      </c>
      <c r="L286" s="410">
        <f t="shared" si="242"/>
        <v>0</v>
      </c>
      <c r="M286" s="410">
        <f t="shared" si="261"/>
        <v>0</v>
      </c>
      <c r="N286" s="441">
        <f t="shared" si="261"/>
        <v>0</v>
      </c>
      <c r="O286" s="479">
        <f t="shared" ref="O286" si="264">BN140</f>
        <v>20.756756756756758</v>
      </c>
      <c r="P286" s="615">
        <f t="shared" si="245"/>
        <v>11.787680424501536</v>
      </c>
      <c r="Q286" s="410"/>
      <c r="R286" s="410"/>
      <c r="S286" s="410"/>
      <c r="T286" s="410"/>
      <c r="U286" s="410"/>
      <c r="V286" s="410"/>
      <c r="W286" s="410"/>
      <c r="X286" s="410"/>
      <c r="Y286" s="410"/>
      <c r="Z286" s="410"/>
      <c r="AA286" s="410"/>
      <c r="AB286" s="410"/>
      <c r="AC286" s="410"/>
      <c r="AD286" s="410"/>
      <c r="AE286" s="410"/>
      <c r="AF286" s="410"/>
      <c r="AG286" s="410"/>
      <c r="AH286" s="410"/>
      <c r="AI286" s="410"/>
      <c r="AJ286" s="410"/>
      <c r="AK286" s="410"/>
      <c r="AL286" s="410"/>
      <c r="AM286" s="410"/>
      <c r="AN286" s="410"/>
      <c r="AO286" s="410"/>
      <c r="AP286" s="410"/>
      <c r="AQ286" s="410"/>
      <c r="AR286" s="410"/>
      <c r="AS286" s="410"/>
      <c r="AT286" s="410"/>
      <c r="AU286" s="410"/>
      <c r="AV286" s="410"/>
      <c r="AW286" s="410"/>
      <c r="AX286" s="410"/>
      <c r="AY286" s="410"/>
      <c r="AZ286" s="410"/>
      <c r="BA286" s="410"/>
      <c r="BB286" s="410"/>
      <c r="BC286" s="410"/>
      <c r="BD286" s="410"/>
      <c r="BE286" s="410"/>
      <c r="BF286" s="410"/>
      <c r="BG286" s="410"/>
      <c r="BH286" s="410"/>
      <c r="BI286" s="410"/>
      <c r="BJ286" s="410"/>
      <c r="BK286" s="410"/>
      <c r="BL286" s="410"/>
      <c r="BM286" s="410"/>
      <c r="BN286" s="410"/>
      <c r="BO286" s="410"/>
      <c r="BP286" s="410"/>
      <c r="BQ286" s="410"/>
      <c r="BR286" s="410"/>
      <c r="BS286" s="410"/>
      <c r="BT286" s="410"/>
      <c r="BU286" s="410"/>
      <c r="BV286" s="410"/>
      <c r="BW286" s="410"/>
      <c r="BX286" s="410"/>
      <c r="BY286" s="410"/>
      <c r="BZ286" s="410"/>
      <c r="CA286" s="410"/>
      <c r="CB286" s="410"/>
      <c r="CC286" s="410"/>
      <c r="CD286" s="410"/>
      <c r="CE286" s="410"/>
      <c r="CF286" s="410"/>
      <c r="CG286" s="410"/>
      <c r="CH286" s="410"/>
      <c r="CI286" s="410"/>
      <c r="CJ286" s="410"/>
      <c r="CK286" s="410"/>
      <c r="CL286" s="410"/>
      <c r="CM286" s="410"/>
      <c r="CN286" s="410"/>
      <c r="CO286" s="410"/>
      <c r="CP286" s="410"/>
      <c r="CQ286" s="410"/>
      <c r="CR286" s="410"/>
      <c r="CS286" s="410"/>
      <c r="CT286" s="410"/>
      <c r="CU286" s="410"/>
      <c r="CV286" s="410"/>
      <c r="CW286" s="410"/>
      <c r="CX286" s="410"/>
      <c r="CY286" s="410"/>
      <c r="CZ286" s="410"/>
      <c r="DA286" s="410"/>
      <c r="DB286" s="410"/>
      <c r="DC286" s="410"/>
    </row>
    <row r="287" spans="1:107" s="619" customFormat="1" ht="12" customHeight="1">
      <c r="A287" s="648">
        <v>-5</v>
      </c>
      <c r="B287" s="573">
        <f>IFERROR((CK141+CF141)*1000/Klimadaten!O25,0)</f>
        <v>2.0282444892766893</v>
      </c>
      <c r="C287" s="630">
        <f>IFERROR((CK209+CF209)*1000/Klimadaten!O25,0)</f>
        <v>0</v>
      </c>
      <c r="D287" s="645">
        <f>IFERROR((CE141+CJ141)*1000/Klimadaten!O25,0)</f>
        <v>0</v>
      </c>
      <c r="E287" s="644">
        <f>IFERROR((CE209+CJ209)*1000/Klimadaten!O25,0)</f>
        <v>0</v>
      </c>
      <c r="F287" s="410"/>
      <c r="G287" s="410"/>
      <c r="H287" s="648">
        <f t="shared" si="238"/>
        <v>-5</v>
      </c>
      <c r="I287" s="649">
        <f t="shared" si="239"/>
        <v>174.15675146771039</v>
      </c>
      <c r="J287" s="410">
        <f t="shared" si="240"/>
        <v>115.60993588877129</v>
      </c>
      <c r="K287" s="573">
        <f t="shared" si="241"/>
        <v>0</v>
      </c>
      <c r="L287" s="410">
        <f t="shared" si="242"/>
        <v>0</v>
      </c>
      <c r="M287" s="410">
        <f t="shared" si="261"/>
        <v>0</v>
      </c>
      <c r="N287" s="441">
        <f t="shared" si="261"/>
        <v>0</v>
      </c>
      <c r="O287" s="479">
        <f t="shared" ref="O287" si="265">BN141</f>
        <v>20.72972972972973</v>
      </c>
      <c r="P287" s="615">
        <f t="shared" si="245"/>
        <v>13.235700160062075</v>
      </c>
      <c r="Q287" s="410"/>
      <c r="R287" s="410"/>
      <c r="S287" s="410"/>
      <c r="T287" s="410"/>
      <c r="U287" s="410"/>
      <c r="V287" s="410"/>
      <c r="W287" s="410"/>
      <c r="X287" s="410"/>
      <c r="Y287" s="410"/>
      <c r="Z287" s="410"/>
      <c r="AA287" s="410"/>
      <c r="AB287" s="410"/>
      <c r="AC287" s="410"/>
      <c r="AD287" s="410"/>
      <c r="AE287" s="410"/>
      <c r="AF287" s="410"/>
      <c r="AG287" s="410"/>
      <c r="AH287" s="410"/>
      <c r="AI287" s="410"/>
      <c r="AJ287" s="410"/>
      <c r="AK287" s="410"/>
      <c r="AL287" s="410"/>
      <c r="AM287" s="410"/>
      <c r="AN287" s="410"/>
      <c r="AO287" s="410"/>
      <c r="AP287" s="410"/>
      <c r="AQ287" s="410"/>
      <c r="AR287" s="410"/>
      <c r="AS287" s="410"/>
      <c r="AT287" s="410"/>
      <c r="AU287" s="410"/>
      <c r="AV287" s="410"/>
      <c r="AW287" s="410"/>
      <c r="AX287" s="410"/>
      <c r="AY287" s="410"/>
      <c r="AZ287" s="410"/>
      <c r="BA287" s="410"/>
      <c r="BB287" s="410"/>
      <c r="BC287" s="410"/>
      <c r="BD287" s="410"/>
      <c r="BE287" s="410"/>
      <c r="BF287" s="410"/>
      <c r="BG287" s="410"/>
      <c r="BH287" s="410"/>
      <c r="BI287" s="410"/>
      <c r="BJ287" s="410"/>
      <c r="BK287" s="410"/>
      <c r="BL287" s="410"/>
      <c r="BM287" s="410"/>
      <c r="BN287" s="410"/>
      <c r="BO287" s="410"/>
      <c r="BP287" s="410"/>
      <c r="BQ287" s="410"/>
      <c r="BR287" s="410"/>
      <c r="BS287" s="410"/>
      <c r="BT287" s="410"/>
      <c r="BU287" s="410"/>
      <c r="BV287" s="410"/>
      <c r="BW287" s="410"/>
      <c r="BX287" s="410"/>
      <c r="BY287" s="410"/>
      <c r="BZ287" s="410"/>
      <c r="CA287" s="410"/>
      <c r="CB287" s="410"/>
      <c r="CC287" s="410"/>
      <c r="CD287" s="410"/>
      <c r="CE287" s="410"/>
      <c r="CF287" s="410"/>
      <c r="CG287" s="410"/>
      <c r="CH287" s="410"/>
      <c r="CI287" s="410"/>
      <c r="CJ287" s="410"/>
      <c r="CK287" s="410"/>
      <c r="CL287" s="410"/>
      <c r="CM287" s="410"/>
      <c r="CN287" s="410"/>
      <c r="CO287" s="410"/>
      <c r="CP287" s="410"/>
      <c r="CQ287" s="410"/>
      <c r="CR287" s="410"/>
      <c r="CS287" s="410"/>
      <c r="CT287" s="410"/>
      <c r="CU287" s="410"/>
      <c r="CV287" s="410"/>
      <c r="CW287" s="410"/>
      <c r="CX287" s="410"/>
      <c r="CY287" s="410"/>
      <c r="CZ287" s="410"/>
      <c r="DA287" s="410"/>
      <c r="DB287" s="410"/>
      <c r="DC287" s="410"/>
    </row>
    <row r="288" spans="1:107" s="619" customFormat="1" ht="12" customHeight="1">
      <c r="A288" s="648">
        <v>-4</v>
      </c>
      <c r="B288" s="573">
        <f>IFERROR((CK142+CF142)*1000/Klimadaten!O26,0)</f>
        <v>1.8804677289110736</v>
      </c>
      <c r="C288" s="630">
        <f>IFERROR((CK210+CF210)*1000/Klimadaten!O26,0)</f>
        <v>0</v>
      </c>
      <c r="D288" s="645">
        <f>IFERROR((CE142+CJ142)*1000/Klimadaten!O26,0)</f>
        <v>0</v>
      </c>
      <c r="E288" s="644">
        <f>IFERROR((CE210+CJ210)*1000/Klimadaten!O26,0)</f>
        <v>0</v>
      </c>
      <c r="F288" s="410"/>
      <c r="G288" s="410"/>
      <c r="H288" s="648">
        <f t="shared" si="238"/>
        <v>-4</v>
      </c>
      <c r="I288" s="649">
        <f t="shared" si="239"/>
        <v>171.10136986301373</v>
      </c>
      <c r="J288" s="410">
        <f t="shared" si="240"/>
        <v>105.30619281902013</v>
      </c>
      <c r="K288" s="573">
        <f t="shared" si="241"/>
        <v>-1.0806362905190255E-13</v>
      </c>
      <c r="L288" s="410">
        <f t="shared" si="242"/>
        <v>0</v>
      </c>
      <c r="M288" s="410">
        <f t="shared" si="261"/>
        <v>0</v>
      </c>
      <c r="N288" s="441">
        <f t="shared" si="261"/>
        <v>0</v>
      </c>
      <c r="O288" s="479">
        <f t="shared" ref="O288" si="266">BN142</f>
        <v>20.702702702702702</v>
      </c>
      <c r="P288" s="615">
        <f t="shared" si="245"/>
        <v>14.1297510737071</v>
      </c>
      <c r="Q288" s="410"/>
      <c r="R288" s="410"/>
      <c r="S288" s="410"/>
      <c r="T288" s="410"/>
      <c r="U288" s="410"/>
      <c r="V288" s="410"/>
      <c r="W288" s="410"/>
      <c r="X288" s="410"/>
      <c r="Y288" s="410"/>
      <c r="Z288" s="410"/>
      <c r="AA288" s="410"/>
      <c r="AB288" s="410"/>
      <c r="AC288" s="410"/>
      <c r="AD288" s="410"/>
      <c r="AE288" s="410"/>
      <c r="AF288" s="410"/>
      <c r="AG288" s="410"/>
      <c r="AH288" s="410"/>
      <c r="AI288" s="410"/>
      <c r="AJ288" s="410"/>
      <c r="AK288" s="410"/>
      <c r="AL288" s="410"/>
      <c r="AM288" s="410"/>
      <c r="AN288" s="410"/>
      <c r="AO288" s="410"/>
      <c r="AP288" s="410"/>
      <c r="AQ288" s="410"/>
      <c r="AR288" s="410"/>
      <c r="AS288" s="410"/>
      <c r="AT288" s="410"/>
      <c r="AU288" s="410"/>
      <c r="AV288" s="410"/>
      <c r="AW288" s="410"/>
      <c r="AX288" s="410"/>
      <c r="AY288" s="410"/>
      <c r="AZ288" s="410"/>
      <c r="BA288" s="410"/>
      <c r="BB288" s="410"/>
      <c r="BC288" s="410"/>
      <c r="BD288" s="410"/>
      <c r="BE288" s="410"/>
      <c r="BF288" s="410"/>
      <c r="BG288" s="410"/>
      <c r="BH288" s="410"/>
      <c r="BI288" s="410"/>
      <c r="BJ288" s="410"/>
      <c r="BK288" s="410"/>
      <c r="BL288" s="410"/>
      <c r="BM288" s="410"/>
      <c r="BN288" s="410"/>
      <c r="BO288" s="410"/>
      <c r="BP288" s="410"/>
      <c r="BQ288" s="410"/>
      <c r="BR288" s="410"/>
      <c r="BS288" s="410"/>
      <c r="BT288" s="410"/>
      <c r="BU288" s="410"/>
      <c r="BV288" s="410"/>
      <c r="BW288" s="410"/>
      <c r="BX288" s="410"/>
      <c r="BY288" s="410"/>
      <c r="BZ288" s="410"/>
      <c r="CA288" s="410"/>
      <c r="CB288" s="410"/>
      <c r="CC288" s="410"/>
      <c r="CD288" s="410"/>
      <c r="CE288" s="410"/>
      <c r="CF288" s="410"/>
      <c r="CG288" s="410"/>
      <c r="CH288" s="410"/>
      <c r="CI288" s="410"/>
      <c r="CJ288" s="410"/>
      <c r="CK288" s="410"/>
      <c r="CL288" s="410"/>
      <c r="CM288" s="410"/>
      <c r="CN288" s="410"/>
      <c r="CO288" s="410"/>
      <c r="CP288" s="410"/>
      <c r="CQ288" s="410"/>
      <c r="CR288" s="410"/>
      <c r="CS288" s="410"/>
      <c r="CT288" s="410"/>
      <c r="CU288" s="410"/>
      <c r="CV288" s="410"/>
      <c r="CW288" s="410"/>
      <c r="CX288" s="410"/>
      <c r="CY288" s="410"/>
      <c r="CZ288" s="410"/>
      <c r="DA288" s="410"/>
      <c r="DB288" s="410"/>
      <c r="DC288" s="410"/>
    </row>
    <row r="289" spans="1:107" s="619" customFormat="1" ht="12" customHeight="1">
      <c r="A289" s="648">
        <v>-3</v>
      </c>
      <c r="B289" s="573">
        <f>IFERROR((CK143+CF143)*1000/Klimadaten!O27,0)</f>
        <v>1.7332262470137636</v>
      </c>
      <c r="C289" s="630">
        <f>IFERROR((CK211+CF211)*1000/Klimadaten!O27,0)</f>
        <v>0</v>
      </c>
      <c r="D289" s="645">
        <f>IFERROR((CE143+CJ143)*1000/Klimadaten!O27,0)</f>
        <v>0</v>
      </c>
      <c r="E289" s="644">
        <f>IFERROR((CE211+CJ211)*1000/Klimadaten!O27,0)</f>
        <v>0</v>
      </c>
      <c r="F289" s="410"/>
      <c r="G289" s="410"/>
      <c r="H289" s="648">
        <f t="shared" si="238"/>
        <v>-3</v>
      </c>
      <c r="I289" s="649">
        <f t="shared" si="239"/>
        <v>391.08884540117424</v>
      </c>
      <c r="J289" s="410">
        <f t="shared" si="240"/>
        <v>221.85295961776174</v>
      </c>
      <c r="K289" s="573">
        <f t="shared" si="241"/>
        <v>0</v>
      </c>
      <c r="L289" s="410">
        <f t="shared" si="242"/>
        <v>0</v>
      </c>
      <c r="M289" s="410">
        <f t="shared" si="261"/>
        <v>0</v>
      </c>
      <c r="N289" s="441">
        <f t="shared" si="261"/>
        <v>0</v>
      </c>
      <c r="O289" s="479">
        <f t="shared" ref="O289" si="267">BN143</f>
        <v>20.675675675675677</v>
      </c>
      <c r="P289" s="615">
        <f t="shared" si="245"/>
        <v>16.217569583357829</v>
      </c>
      <c r="Q289" s="410"/>
      <c r="R289" s="410"/>
      <c r="S289" s="410"/>
      <c r="T289" s="410"/>
      <c r="U289" s="410"/>
      <c r="V289" s="410"/>
      <c r="W289" s="410"/>
      <c r="X289" s="410"/>
      <c r="Y289" s="410"/>
      <c r="Z289" s="410"/>
      <c r="AA289" s="410"/>
      <c r="AB289" s="410"/>
      <c r="AC289" s="410"/>
      <c r="AD289" s="410"/>
      <c r="AE289" s="410"/>
      <c r="AF289" s="410"/>
      <c r="AG289" s="410"/>
      <c r="AH289" s="410"/>
      <c r="AI289" s="410"/>
      <c r="AJ289" s="410"/>
      <c r="AK289" s="410"/>
      <c r="AL289" s="410"/>
      <c r="AM289" s="410"/>
      <c r="AN289" s="410"/>
      <c r="AO289" s="410"/>
      <c r="AP289" s="410"/>
      <c r="AQ289" s="410"/>
      <c r="AR289" s="410"/>
      <c r="AS289" s="410"/>
      <c r="AT289" s="410"/>
      <c r="AU289" s="410"/>
      <c r="AV289" s="410"/>
      <c r="AW289" s="410"/>
      <c r="AX289" s="410"/>
      <c r="AY289" s="410"/>
      <c r="AZ289" s="410"/>
      <c r="BA289" s="410"/>
      <c r="BB289" s="410"/>
      <c r="BC289" s="410"/>
      <c r="BD289" s="410"/>
      <c r="BE289" s="410"/>
      <c r="BF289" s="410"/>
      <c r="BG289" s="410"/>
      <c r="BH289" s="410"/>
      <c r="BI289" s="410"/>
      <c r="BJ289" s="410"/>
      <c r="BK289" s="410"/>
      <c r="BL289" s="410"/>
      <c r="BM289" s="410"/>
      <c r="BN289" s="410"/>
      <c r="BO289" s="410"/>
      <c r="BP289" s="410"/>
      <c r="BQ289" s="410"/>
      <c r="BR289" s="410"/>
      <c r="BS289" s="410"/>
      <c r="BT289" s="410"/>
      <c r="BU289" s="410"/>
      <c r="BV289" s="410"/>
      <c r="BW289" s="410"/>
      <c r="BX289" s="410"/>
      <c r="BY289" s="410"/>
      <c r="BZ289" s="410"/>
      <c r="CA289" s="410"/>
      <c r="CB289" s="410"/>
      <c r="CC289" s="410"/>
      <c r="CD289" s="410"/>
      <c r="CE289" s="410"/>
      <c r="CF289" s="410"/>
      <c r="CG289" s="410"/>
      <c r="CH289" s="410"/>
      <c r="CI289" s="410"/>
      <c r="CJ289" s="410"/>
      <c r="CK289" s="410"/>
      <c r="CL289" s="410"/>
      <c r="CM289" s="410"/>
      <c r="CN289" s="410"/>
      <c r="CO289" s="410"/>
      <c r="CP289" s="410"/>
      <c r="CQ289" s="410"/>
      <c r="CR289" s="410"/>
      <c r="CS289" s="410"/>
      <c r="CT289" s="410"/>
      <c r="CU289" s="410"/>
      <c r="CV289" s="410"/>
      <c r="CW289" s="410"/>
      <c r="CX289" s="410"/>
      <c r="CY289" s="410"/>
      <c r="CZ289" s="410"/>
      <c r="DA289" s="410"/>
      <c r="DB289" s="410"/>
      <c r="DC289" s="410"/>
    </row>
    <row r="290" spans="1:107" s="619" customFormat="1" ht="12" customHeight="1">
      <c r="A290" s="648">
        <v>-2</v>
      </c>
      <c r="B290" s="573">
        <f>IFERROR((CK144+CF144)*1000/Klimadaten!O28,0)</f>
        <v>1.5858645291667166</v>
      </c>
      <c r="C290" s="630">
        <f>IFERROR((CK212+CF212)*1000/Klimadaten!O28,0)</f>
        <v>0</v>
      </c>
      <c r="D290" s="645">
        <f>IFERROR((CE144+CJ144)*1000/Klimadaten!O28,0)</f>
        <v>0</v>
      </c>
      <c r="E290" s="644">
        <f>IFERROR((CE212+CJ212)*1000/Klimadaten!O28,0)</f>
        <v>0</v>
      </c>
      <c r="F290" s="410"/>
      <c r="G290" s="410"/>
      <c r="H290" s="648">
        <f t="shared" si="238"/>
        <v>-2</v>
      </c>
      <c r="I290" s="649">
        <f t="shared" si="239"/>
        <v>549.96868884540118</v>
      </c>
      <c r="J290" s="410">
        <f t="shared" si="240"/>
        <v>285.45561525000898</v>
      </c>
      <c r="K290" s="573">
        <f t="shared" si="241"/>
        <v>0</v>
      </c>
      <c r="L290" s="410">
        <f t="shared" si="242"/>
        <v>0</v>
      </c>
      <c r="M290" s="410">
        <f t="shared" si="261"/>
        <v>0</v>
      </c>
      <c r="N290" s="441">
        <f t="shared" si="261"/>
        <v>0</v>
      </c>
      <c r="O290" s="479">
        <f t="shared" ref="O290" si="268">BN144</f>
        <v>20.648648648648649</v>
      </c>
      <c r="P290" s="615">
        <f t="shared" si="245"/>
        <v>18.440705672735884</v>
      </c>
      <c r="Q290" s="410"/>
      <c r="R290" s="410"/>
      <c r="S290" s="410"/>
      <c r="T290" s="410"/>
      <c r="U290" s="410"/>
      <c r="V290" s="410"/>
      <c r="W290" s="410"/>
      <c r="X290" s="410"/>
      <c r="Y290" s="410"/>
      <c r="Z290" s="410"/>
      <c r="AA290" s="410"/>
      <c r="AB290" s="410"/>
      <c r="AC290" s="410"/>
      <c r="AD290" s="410"/>
      <c r="AE290" s="410"/>
      <c r="AF290" s="410"/>
      <c r="AG290" s="410"/>
      <c r="AH290" s="410"/>
      <c r="AI290" s="410"/>
      <c r="AJ290" s="410"/>
      <c r="AK290" s="410"/>
      <c r="AL290" s="410"/>
      <c r="AM290" s="410"/>
      <c r="AN290" s="410"/>
      <c r="AO290" s="410"/>
      <c r="AP290" s="410"/>
      <c r="AQ290" s="410"/>
      <c r="AR290" s="410"/>
      <c r="AS290" s="410"/>
      <c r="AT290" s="410"/>
      <c r="AU290" s="410"/>
      <c r="AV290" s="410"/>
      <c r="AW290" s="410"/>
      <c r="AX290" s="410"/>
      <c r="AY290" s="410"/>
      <c r="AZ290" s="410"/>
      <c r="BA290" s="410"/>
      <c r="BB290" s="410"/>
      <c r="BC290" s="410"/>
      <c r="BD290" s="410"/>
      <c r="BE290" s="410"/>
      <c r="BF290" s="410"/>
      <c r="BG290" s="410"/>
      <c r="BH290" s="410"/>
      <c r="BI290" s="410"/>
      <c r="BJ290" s="410"/>
      <c r="BK290" s="410"/>
      <c r="BL290" s="410"/>
      <c r="BM290" s="410"/>
      <c r="BN290" s="410"/>
      <c r="BO290" s="410"/>
      <c r="BP290" s="410"/>
      <c r="BQ290" s="410"/>
      <c r="BR290" s="410"/>
      <c r="BS290" s="410"/>
      <c r="BT290" s="410"/>
      <c r="BU290" s="410"/>
      <c r="BV290" s="410"/>
      <c r="BW290" s="410"/>
      <c r="BX290" s="410"/>
      <c r="BY290" s="410"/>
      <c r="BZ290" s="410"/>
      <c r="CA290" s="410"/>
      <c r="CB290" s="410"/>
      <c r="CC290" s="410"/>
      <c r="CD290" s="410"/>
      <c r="CE290" s="410"/>
      <c r="CF290" s="410"/>
      <c r="CG290" s="410"/>
      <c r="CH290" s="410"/>
      <c r="CI290" s="410"/>
      <c r="CJ290" s="410"/>
      <c r="CK290" s="410"/>
      <c r="CL290" s="410"/>
      <c r="CM290" s="410"/>
      <c r="CN290" s="410"/>
      <c r="CO290" s="410"/>
      <c r="CP290" s="410"/>
      <c r="CQ290" s="410"/>
      <c r="CR290" s="410"/>
      <c r="CS290" s="410"/>
      <c r="CT290" s="410"/>
      <c r="CU290" s="410"/>
      <c r="CV290" s="410"/>
      <c r="CW290" s="410"/>
      <c r="CX290" s="410"/>
      <c r="CY290" s="410"/>
      <c r="CZ290" s="410"/>
      <c r="DA290" s="410"/>
      <c r="DB290" s="410"/>
      <c r="DC290" s="410"/>
    </row>
    <row r="291" spans="1:107" s="619" customFormat="1" ht="12" customHeight="1">
      <c r="A291" s="648">
        <v>-1</v>
      </c>
      <c r="B291" s="573">
        <f>IFERROR((CK145+CF145)*1000/Klimadaten!O29,0)</f>
        <v>1.4381467489825603</v>
      </c>
      <c r="C291" s="630">
        <f>IFERROR((CK213+CF213)*1000/Klimadaten!O29,0)</f>
        <v>0</v>
      </c>
      <c r="D291" s="645">
        <f>IFERROR((CE145+CJ145)*1000/Klimadaten!O29,0)</f>
        <v>0</v>
      </c>
      <c r="E291" s="644">
        <f>IFERROR((CE213+CJ213)*1000/Klimadaten!O29,0)</f>
        <v>0</v>
      </c>
      <c r="F291" s="410"/>
      <c r="G291" s="410"/>
      <c r="H291" s="648">
        <f t="shared" si="238"/>
        <v>-1</v>
      </c>
      <c r="I291" s="649">
        <f t="shared" si="239"/>
        <v>601.91017612524467</v>
      </c>
      <c r="J291" s="410">
        <f t="shared" si="240"/>
        <v>283.31490954956439</v>
      </c>
      <c r="K291" s="573">
        <f t="shared" si="241"/>
        <v>0</v>
      </c>
      <c r="L291" s="410">
        <f t="shared" si="242"/>
        <v>0</v>
      </c>
      <c r="M291" s="410">
        <f t="shared" si="261"/>
        <v>0</v>
      </c>
      <c r="N291" s="441">
        <f t="shared" si="261"/>
        <v>0</v>
      </c>
      <c r="O291" s="479">
        <f t="shared" ref="O291" si="269">BN145</f>
        <v>20.621621621621621</v>
      </c>
      <c r="P291" s="615">
        <f t="shared" si="245"/>
        <v>20.28560560283087</v>
      </c>
      <c r="Q291" s="410"/>
      <c r="R291" s="410"/>
      <c r="S291" s="410"/>
      <c r="T291" s="410"/>
      <c r="U291" s="410"/>
      <c r="V291" s="410"/>
      <c r="W291" s="410"/>
      <c r="X291" s="410"/>
      <c r="Y291" s="410"/>
      <c r="Z291" s="410"/>
      <c r="AA291" s="410"/>
      <c r="AB291" s="410"/>
      <c r="AC291" s="410"/>
      <c r="AD291" s="410"/>
      <c r="AE291" s="410"/>
      <c r="AF291" s="410"/>
      <c r="AG291" s="410"/>
      <c r="AH291" s="410"/>
      <c r="AI291" s="410"/>
      <c r="AJ291" s="410"/>
      <c r="AK291" s="410"/>
      <c r="AL291" s="410"/>
      <c r="AM291" s="410"/>
      <c r="AN291" s="410"/>
      <c r="AO291" s="410"/>
      <c r="AP291" s="410"/>
      <c r="AQ291" s="410"/>
      <c r="AR291" s="410"/>
      <c r="AS291" s="410"/>
      <c r="AT291" s="410"/>
      <c r="AU291" s="410"/>
      <c r="AV291" s="410"/>
      <c r="AW291" s="410"/>
      <c r="AX291" s="410"/>
      <c r="AY291" s="410"/>
      <c r="AZ291" s="410"/>
      <c r="BA291" s="410"/>
      <c r="BB291" s="410"/>
      <c r="BC291" s="410"/>
      <c r="BD291" s="410"/>
      <c r="BE291" s="410"/>
      <c r="BF291" s="410"/>
      <c r="BG291" s="410"/>
      <c r="BH291" s="410"/>
      <c r="BI291" s="410"/>
      <c r="BJ291" s="410"/>
      <c r="BK291" s="410"/>
      <c r="BL291" s="410"/>
      <c r="BM291" s="410"/>
      <c r="BN291" s="410"/>
      <c r="BO291" s="410"/>
      <c r="BP291" s="410"/>
      <c r="BQ291" s="410"/>
      <c r="BR291" s="410"/>
      <c r="BS291" s="410"/>
      <c r="BT291" s="410"/>
      <c r="BU291" s="410"/>
      <c r="BV291" s="410"/>
      <c r="BW291" s="410"/>
      <c r="BX291" s="410"/>
      <c r="BY291" s="410"/>
      <c r="BZ291" s="410"/>
      <c r="CA291" s="410"/>
      <c r="CB291" s="410"/>
      <c r="CC291" s="410"/>
      <c r="CD291" s="410"/>
      <c r="CE291" s="410"/>
      <c r="CF291" s="410"/>
      <c r="CG291" s="410"/>
      <c r="CH291" s="410"/>
      <c r="CI291" s="410"/>
      <c r="CJ291" s="410"/>
      <c r="CK291" s="410"/>
      <c r="CL291" s="410"/>
      <c r="CM291" s="410"/>
      <c r="CN291" s="410"/>
      <c r="CO291" s="410"/>
      <c r="CP291" s="410"/>
      <c r="CQ291" s="410"/>
      <c r="CR291" s="410"/>
      <c r="CS291" s="410"/>
      <c r="CT291" s="410"/>
      <c r="CU291" s="410"/>
      <c r="CV291" s="410"/>
      <c r="CW291" s="410"/>
      <c r="CX291" s="410"/>
      <c r="CY291" s="410"/>
      <c r="CZ291" s="410"/>
      <c r="DA291" s="410"/>
      <c r="DB291" s="410"/>
      <c r="DC291" s="410"/>
    </row>
    <row r="292" spans="1:107" s="619" customFormat="1" ht="12" customHeight="1">
      <c r="A292" s="648">
        <v>0</v>
      </c>
      <c r="B292" s="573">
        <f>IFERROR((CK146+CF146)*1000/Klimadaten!O30,0)</f>
        <v>1.290164489395389</v>
      </c>
      <c r="C292" s="630">
        <f>IFERROR((CK214+CF214)*1000/Klimadaten!O30,0)</f>
        <v>0</v>
      </c>
      <c r="D292" s="645">
        <f>IFERROR((CE146+CJ146)*1000/Klimadaten!O30,0)</f>
        <v>0</v>
      </c>
      <c r="E292" s="644">
        <f>IFERROR((CE214+CJ214)*1000/Klimadaten!O30,0)</f>
        <v>0</v>
      </c>
      <c r="F292" s="410"/>
      <c r="G292" s="410"/>
      <c r="H292" s="648">
        <f t="shared" si="238"/>
        <v>0</v>
      </c>
      <c r="I292" s="649">
        <f t="shared" si="239"/>
        <v>760.79001956947172</v>
      </c>
      <c r="J292" s="410">
        <f t="shared" si="240"/>
        <v>321.25095785945183</v>
      </c>
      <c r="K292" s="573">
        <f t="shared" si="241"/>
        <v>0</v>
      </c>
      <c r="L292" s="410">
        <f t="shared" si="242"/>
        <v>0</v>
      </c>
      <c r="M292" s="410">
        <f t="shared" si="261"/>
        <v>0</v>
      </c>
      <c r="N292" s="441">
        <f t="shared" si="261"/>
        <v>0</v>
      </c>
      <c r="O292" s="479">
        <f t="shared" ref="O292" si="270">BN146</f>
        <v>20.594594594594593</v>
      </c>
      <c r="P292" s="615">
        <f t="shared" si="245"/>
        <v>21.859188123569457</v>
      </c>
      <c r="Q292" s="410"/>
      <c r="R292" s="410"/>
      <c r="S292" s="410"/>
      <c r="T292" s="410"/>
      <c r="U292" s="410"/>
      <c r="V292" s="410"/>
      <c r="W292" s="410"/>
      <c r="X292" s="410"/>
      <c r="Y292" s="410"/>
      <c r="Z292" s="410"/>
      <c r="AA292" s="410"/>
      <c r="AB292" s="410"/>
      <c r="AC292" s="410"/>
      <c r="AD292" s="410"/>
      <c r="AE292" s="410"/>
      <c r="AF292" s="410"/>
      <c r="AG292" s="410"/>
      <c r="AH292" s="410"/>
      <c r="AI292" s="410"/>
      <c r="AJ292" s="410"/>
      <c r="AK292" s="410"/>
      <c r="AL292" s="410"/>
      <c r="AM292" s="410"/>
      <c r="AN292" s="410"/>
      <c r="AO292" s="410"/>
      <c r="AP292" s="410"/>
      <c r="AQ292" s="410"/>
      <c r="AR292" s="410"/>
      <c r="AS292" s="410"/>
      <c r="AT292" s="410"/>
      <c r="AU292" s="410"/>
      <c r="AV292" s="410"/>
      <c r="AW292" s="410"/>
      <c r="AX292" s="410"/>
      <c r="AY292" s="410"/>
      <c r="AZ292" s="410"/>
      <c r="BA292" s="410"/>
      <c r="BB292" s="410"/>
      <c r="BC292" s="410"/>
      <c r="BD292" s="410"/>
      <c r="BE292" s="410"/>
      <c r="BF292" s="410"/>
      <c r="BG292" s="410"/>
      <c r="BH292" s="410"/>
      <c r="BI292" s="410"/>
      <c r="BJ292" s="410"/>
      <c r="BK292" s="410"/>
      <c r="BL292" s="410"/>
      <c r="BM292" s="410"/>
      <c r="BN292" s="410"/>
      <c r="BO292" s="410"/>
      <c r="BP292" s="410"/>
      <c r="BQ292" s="410"/>
      <c r="BR292" s="410"/>
      <c r="BS292" s="410"/>
      <c r="BT292" s="410"/>
      <c r="BU292" s="410"/>
      <c r="BV292" s="410"/>
      <c r="BW292" s="410"/>
      <c r="BX292" s="410"/>
      <c r="BY292" s="410"/>
      <c r="BZ292" s="410"/>
      <c r="CA292" s="410"/>
      <c r="CB292" s="410"/>
      <c r="CC292" s="410"/>
      <c r="CD292" s="410"/>
      <c r="CE292" s="410"/>
      <c r="CF292" s="410"/>
      <c r="CG292" s="410"/>
      <c r="CH292" s="410"/>
      <c r="CI292" s="410"/>
      <c r="CJ292" s="410"/>
      <c r="CK292" s="410"/>
      <c r="CL292" s="410"/>
      <c r="CM292" s="410"/>
      <c r="CN292" s="410"/>
      <c r="CO292" s="410"/>
      <c r="CP292" s="410"/>
      <c r="CQ292" s="410"/>
      <c r="CR292" s="410"/>
      <c r="CS292" s="410"/>
      <c r="CT292" s="410"/>
      <c r="CU292" s="410"/>
      <c r="CV292" s="410"/>
      <c r="CW292" s="410"/>
      <c r="CX292" s="410"/>
      <c r="CY292" s="410"/>
      <c r="CZ292" s="410"/>
      <c r="DA292" s="410"/>
      <c r="DB292" s="410"/>
      <c r="DC292" s="410"/>
    </row>
    <row r="293" spans="1:107" s="619" customFormat="1" ht="12" customHeight="1">
      <c r="A293" s="648">
        <v>1</v>
      </c>
      <c r="B293" s="573">
        <f>IFERROR((CK147+CF147)*1000/Klimadaten!O31,0)</f>
        <v>1.1418269023063354</v>
      </c>
      <c r="C293" s="630">
        <f>IFERROR((CK215+CF215)*1000/Klimadaten!O31,0)</f>
        <v>0</v>
      </c>
      <c r="D293" s="645">
        <f>IFERROR((CE147+CJ147)*1000/Klimadaten!O31,0)</f>
        <v>0</v>
      </c>
      <c r="E293" s="644">
        <f>IFERROR((CE215+CJ215)*1000/Klimadaten!O31,0)</f>
        <v>0</v>
      </c>
      <c r="F293" s="410"/>
      <c r="G293" s="410"/>
      <c r="H293" s="648">
        <f t="shared" si="238"/>
        <v>1</v>
      </c>
      <c r="I293" s="649">
        <f t="shared" si="239"/>
        <v>1014.3866927592957</v>
      </c>
      <c r="J293" s="410">
        <f t="shared" si="240"/>
        <v>379.08653156570335</v>
      </c>
      <c r="K293" s="573">
        <f t="shared" si="241"/>
        <v>0</v>
      </c>
      <c r="L293" s="410">
        <f t="shared" si="242"/>
        <v>0</v>
      </c>
      <c r="M293" s="410">
        <f t="shared" si="261"/>
        <v>0</v>
      </c>
      <c r="N293" s="441">
        <f t="shared" si="261"/>
        <v>0</v>
      </c>
      <c r="O293" s="479">
        <f t="shared" ref="O293" si="271">BN147</f>
        <v>20.567567567567568</v>
      </c>
      <c r="P293" s="615">
        <f t="shared" si="245"/>
        <v>22.783205075260447</v>
      </c>
      <c r="Q293" s="410"/>
      <c r="R293" s="410"/>
      <c r="S293" s="410"/>
      <c r="T293" s="410"/>
      <c r="U293" s="410"/>
      <c r="V293" s="410"/>
      <c r="W293" s="410"/>
      <c r="X293" s="410"/>
      <c r="Y293" s="410"/>
      <c r="Z293" s="410"/>
      <c r="AA293" s="410"/>
      <c r="AB293" s="410"/>
      <c r="AC293" s="410"/>
      <c r="AD293" s="410"/>
      <c r="AE293" s="410"/>
      <c r="AF293" s="410"/>
      <c r="AG293" s="410"/>
      <c r="AH293" s="410"/>
      <c r="AI293" s="410"/>
      <c r="AJ293" s="410"/>
      <c r="AK293" s="410"/>
      <c r="AL293" s="410"/>
      <c r="AM293" s="410"/>
      <c r="AN293" s="410"/>
      <c r="AO293" s="410"/>
      <c r="AP293" s="410"/>
      <c r="AQ293" s="410"/>
      <c r="AR293" s="410"/>
      <c r="AS293" s="410"/>
      <c r="AT293" s="410"/>
      <c r="AU293" s="410"/>
      <c r="AV293" s="410"/>
      <c r="AW293" s="410"/>
      <c r="AX293" s="410"/>
      <c r="AY293" s="410"/>
      <c r="AZ293" s="410"/>
      <c r="BA293" s="410"/>
      <c r="BB293" s="410"/>
      <c r="BC293" s="410"/>
      <c r="BD293" s="410"/>
      <c r="BE293" s="410"/>
      <c r="BF293" s="410"/>
      <c r="BG293" s="410"/>
      <c r="BH293" s="410"/>
      <c r="BI293" s="410"/>
      <c r="BJ293" s="410"/>
      <c r="BK293" s="410"/>
      <c r="BL293" s="410"/>
      <c r="BM293" s="410"/>
      <c r="BN293" s="410"/>
      <c r="BO293" s="410"/>
      <c r="BP293" s="410"/>
      <c r="BQ293" s="410"/>
      <c r="BR293" s="410"/>
      <c r="BS293" s="410"/>
      <c r="BT293" s="410"/>
      <c r="BU293" s="410"/>
      <c r="BV293" s="410"/>
      <c r="BW293" s="410"/>
      <c r="BX293" s="410"/>
      <c r="BY293" s="410"/>
      <c r="BZ293" s="410"/>
      <c r="CA293" s="410"/>
      <c r="CB293" s="410"/>
      <c r="CC293" s="410"/>
      <c r="CD293" s="410"/>
      <c r="CE293" s="410"/>
      <c r="CF293" s="410"/>
      <c r="CG293" s="410"/>
      <c r="CH293" s="410"/>
      <c r="CI293" s="410"/>
      <c r="CJ293" s="410"/>
      <c r="CK293" s="410"/>
      <c r="CL293" s="410"/>
      <c r="CM293" s="410"/>
      <c r="CN293" s="410"/>
      <c r="CO293" s="410"/>
      <c r="CP293" s="410"/>
      <c r="CQ293" s="410"/>
      <c r="CR293" s="410"/>
      <c r="CS293" s="410"/>
      <c r="CT293" s="410"/>
      <c r="CU293" s="410"/>
      <c r="CV293" s="410"/>
      <c r="CW293" s="410"/>
      <c r="CX293" s="410"/>
      <c r="CY293" s="410"/>
      <c r="CZ293" s="410"/>
      <c r="DA293" s="410"/>
      <c r="DB293" s="410"/>
      <c r="DC293" s="410"/>
    </row>
    <row r="294" spans="1:107" s="619" customFormat="1" ht="12" customHeight="1">
      <c r="A294" s="648">
        <v>2</v>
      </c>
      <c r="B294" s="573">
        <f>IFERROR((CK148+CF148)*1000/Klimadaten!O32,0)</f>
        <v>0.99354823451713958</v>
      </c>
      <c r="C294" s="630">
        <f>IFERROR((CK216+CF216)*1000/Klimadaten!O32,0)</f>
        <v>0</v>
      </c>
      <c r="D294" s="645">
        <f>IFERROR((CE148+CJ148)*1000/Klimadaten!O32,0)</f>
        <v>0</v>
      </c>
      <c r="E294" s="644">
        <f>IFERROR((CE216+CJ216)*1000/Klimadaten!O32,0)</f>
        <v>0</v>
      </c>
      <c r="F294" s="410"/>
      <c r="G294" s="410"/>
      <c r="H294" s="648">
        <f t="shared" si="238"/>
        <v>2</v>
      </c>
      <c r="I294" s="649">
        <f t="shared" si="239"/>
        <v>1164.1003913894326</v>
      </c>
      <c r="J294" s="410">
        <f t="shared" si="240"/>
        <v>378.54187735103017</v>
      </c>
      <c r="K294" s="573">
        <f t="shared" si="241"/>
        <v>0</v>
      </c>
      <c r="L294" s="410">
        <f t="shared" si="242"/>
        <v>0</v>
      </c>
      <c r="M294" s="410">
        <f t="shared" si="261"/>
        <v>0</v>
      </c>
      <c r="N294" s="441">
        <f t="shared" si="261"/>
        <v>0</v>
      </c>
      <c r="O294" s="479">
        <f t="shared" ref="O294" si="272">BN148</f>
        <v>20.54054054054054</v>
      </c>
      <c r="P294" s="615">
        <f t="shared" si="245"/>
        <v>24.177148665938873</v>
      </c>
      <c r="Q294" s="410"/>
      <c r="R294" s="410"/>
      <c r="S294" s="410"/>
      <c r="T294" s="410"/>
      <c r="U294" s="410"/>
      <c r="V294" s="410"/>
      <c r="W294" s="410"/>
      <c r="X294" s="410"/>
      <c r="Y294" s="410"/>
      <c r="Z294" s="410"/>
      <c r="AA294" s="410"/>
      <c r="AB294" s="410"/>
      <c r="AC294" s="410"/>
      <c r="AD294" s="410"/>
      <c r="AE294" s="410"/>
      <c r="AF294" s="410"/>
      <c r="AG294" s="410"/>
      <c r="AH294" s="410"/>
      <c r="AI294" s="410"/>
      <c r="AJ294" s="410"/>
      <c r="AK294" s="410"/>
      <c r="AL294" s="410"/>
      <c r="AM294" s="410"/>
      <c r="AN294" s="410"/>
      <c r="AO294" s="410"/>
      <c r="AP294" s="410"/>
      <c r="AQ294" s="410"/>
      <c r="AR294" s="410"/>
      <c r="AS294" s="410"/>
      <c r="AT294" s="410"/>
      <c r="AU294" s="410"/>
      <c r="AV294" s="410"/>
      <c r="AW294" s="410"/>
      <c r="AX294" s="410"/>
      <c r="AY294" s="410"/>
      <c r="AZ294" s="410"/>
      <c r="BA294" s="410"/>
      <c r="BB294" s="410"/>
      <c r="BC294" s="410"/>
      <c r="BD294" s="410"/>
      <c r="BE294" s="410"/>
      <c r="BF294" s="410"/>
      <c r="BG294" s="410"/>
      <c r="BH294" s="410"/>
      <c r="BI294" s="410"/>
      <c r="BJ294" s="410"/>
      <c r="BK294" s="410"/>
      <c r="BL294" s="410"/>
      <c r="BM294" s="410"/>
      <c r="BN294" s="410"/>
      <c r="BO294" s="410"/>
      <c r="BP294" s="410"/>
      <c r="BQ294" s="410"/>
      <c r="BR294" s="410"/>
      <c r="BS294" s="410"/>
      <c r="BT294" s="410"/>
      <c r="BU294" s="410"/>
      <c r="BV294" s="410"/>
      <c r="BW294" s="410"/>
      <c r="BX294" s="410"/>
      <c r="BY294" s="410"/>
      <c r="BZ294" s="410"/>
      <c r="CA294" s="410"/>
      <c r="CB294" s="410"/>
      <c r="CC294" s="410"/>
      <c r="CD294" s="410"/>
      <c r="CE294" s="410"/>
      <c r="CF294" s="410"/>
      <c r="CG294" s="410"/>
      <c r="CH294" s="410"/>
      <c r="CI294" s="410"/>
      <c r="CJ294" s="410"/>
      <c r="CK294" s="410"/>
      <c r="CL294" s="410"/>
      <c r="CM294" s="410"/>
      <c r="CN294" s="410"/>
      <c r="CO294" s="410"/>
      <c r="CP294" s="410"/>
      <c r="CQ294" s="410"/>
      <c r="CR294" s="410"/>
      <c r="CS294" s="410"/>
      <c r="CT294" s="410"/>
      <c r="CU294" s="410"/>
      <c r="CV294" s="410"/>
      <c r="CW294" s="410"/>
      <c r="CX294" s="410"/>
      <c r="CY294" s="410"/>
      <c r="CZ294" s="410"/>
      <c r="DA294" s="410"/>
      <c r="DB294" s="410"/>
      <c r="DC294" s="410"/>
    </row>
    <row r="295" spans="1:107" s="619" customFormat="1" ht="12" customHeight="1">
      <c r="A295" s="648">
        <v>3</v>
      </c>
      <c r="B295" s="573">
        <f>IFERROR((CK149+CF149)*1000/Klimadaten!O33,0)</f>
        <v>0.8452006009117039</v>
      </c>
      <c r="C295" s="630">
        <f>IFERROR((CK217+CF217)*1000/Klimadaten!O33,0)</f>
        <v>0</v>
      </c>
      <c r="D295" s="645">
        <f>IFERROR((CE149+CJ149)*1000/Klimadaten!O33,0)</f>
        <v>0</v>
      </c>
      <c r="E295" s="644">
        <f>IFERROR((CE217+CJ217)*1000/Klimadaten!O33,0)</f>
        <v>0</v>
      </c>
      <c r="F295" s="410"/>
      <c r="G295" s="410"/>
      <c r="H295" s="648">
        <f t="shared" si="238"/>
        <v>3</v>
      </c>
      <c r="I295" s="649">
        <f t="shared" si="239"/>
        <v>1377.9771037181997</v>
      </c>
      <c r="J295" s="410">
        <f t="shared" si="240"/>
        <v>381.18547101117844</v>
      </c>
      <c r="K295" s="573">
        <f t="shared" si="241"/>
        <v>0</v>
      </c>
      <c r="L295" s="410">
        <f t="shared" si="242"/>
        <v>0</v>
      </c>
      <c r="M295" s="410">
        <f t="shared" si="261"/>
        <v>0</v>
      </c>
      <c r="N295" s="441">
        <f t="shared" si="261"/>
        <v>0</v>
      </c>
      <c r="O295" s="479">
        <f t="shared" ref="O295" si="273">BN149</f>
        <v>20.513513513513512</v>
      </c>
      <c r="P295" s="615">
        <f t="shared" si="245"/>
        <v>25.775079778482123</v>
      </c>
      <c r="Q295" s="410"/>
      <c r="R295" s="410"/>
      <c r="S295" s="410"/>
      <c r="T295" s="410"/>
      <c r="U295" s="410"/>
      <c r="V295" s="410"/>
      <c r="W295" s="410"/>
      <c r="X295" s="410"/>
      <c r="Y295" s="410"/>
      <c r="Z295" s="410"/>
      <c r="AA295" s="410"/>
      <c r="AB295" s="410"/>
      <c r="AC295" s="410"/>
      <c r="AD295" s="410"/>
      <c r="AE295" s="410"/>
      <c r="AF295" s="410"/>
      <c r="AG295" s="410"/>
      <c r="AH295" s="410"/>
      <c r="AI295" s="410"/>
      <c r="AJ295" s="410"/>
      <c r="AK295" s="410"/>
      <c r="AL295" s="410"/>
      <c r="AM295" s="410"/>
      <c r="AN295" s="410"/>
      <c r="AO295" s="410"/>
      <c r="AP295" s="410"/>
      <c r="AQ295" s="410"/>
      <c r="AR295" s="410"/>
      <c r="AS295" s="410"/>
      <c r="AT295" s="410"/>
      <c r="AU295" s="410"/>
      <c r="AV295" s="410"/>
      <c r="AW295" s="410"/>
      <c r="AX295" s="410"/>
      <c r="AY295" s="410"/>
      <c r="AZ295" s="410"/>
      <c r="BA295" s="410"/>
      <c r="BB295" s="410"/>
      <c r="BC295" s="410"/>
      <c r="BD295" s="410"/>
      <c r="BE295" s="410"/>
      <c r="BF295" s="410"/>
      <c r="BG295" s="410"/>
      <c r="BH295" s="410"/>
      <c r="BI295" s="410"/>
      <c r="BJ295" s="410"/>
      <c r="BK295" s="410"/>
      <c r="BL295" s="410"/>
      <c r="BM295" s="410"/>
      <c r="BN295" s="410"/>
      <c r="BO295" s="410"/>
      <c r="BP295" s="410"/>
      <c r="BQ295" s="410"/>
      <c r="BR295" s="410"/>
      <c r="BS295" s="410"/>
      <c r="BT295" s="410"/>
      <c r="BU295" s="410"/>
      <c r="BV295" s="410"/>
      <c r="BW295" s="410"/>
      <c r="BX295" s="410"/>
      <c r="BY295" s="410"/>
      <c r="BZ295" s="410"/>
      <c r="CA295" s="410"/>
      <c r="CB295" s="410"/>
      <c r="CC295" s="410"/>
      <c r="CD295" s="410"/>
      <c r="CE295" s="410"/>
      <c r="CF295" s="410"/>
      <c r="CG295" s="410"/>
      <c r="CH295" s="410"/>
      <c r="CI295" s="410"/>
      <c r="CJ295" s="410"/>
      <c r="CK295" s="410"/>
      <c r="CL295" s="410"/>
      <c r="CM295" s="410"/>
      <c r="CN295" s="410"/>
      <c r="CO295" s="410"/>
      <c r="CP295" s="410"/>
      <c r="CQ295" s="410"/>
      <c r="CR295" s="410"/>
      <c r="CS295" s="410"/>
      <c r="CT295" s="410"/>
      <c r="CU295" s="410"/>
      <c r="CV295" s="410"/>
      <c r="CW295" s="410"/>
      <c r="CX295" s="410"/>
      <c r="CY295" s="410"/>
      <c r="CZ295" s="410"/>
      <c r="DA295" s="410"/>
      <c r="DB295" s="410"/>
      <c r="DC295" s="410"/>
    </row>
    <row r="296" spans="1:107" s="619" customFormat="1" ht="12" customHeight="1">
      <c r="A296" s="648">
        <v>4</v>
      </c>
      <c r="B296" s="573">
        <f>IFERROR((CK150+CF150)*1000/Klimadaten!O34,0)</f>
        <v>0.69674031117437563</v>
      </c>
      <c r="C296" s="630">
        <f>IFERROR((CK218+CF218)*1000/Klimadaten!O34,0)</f>
        <v>0</v>
      </c>
      <c r="D296" s="645">
        <f>IFERROR((CE150+CJ150)*1000/Klimadaten!O34,0)</f>
        <v>0</v>
      </c>
      <c r="E296" s="644">
        <f>IFERROR((CE218+CJ218)*1000/Klimadaten!O34,0)</f>
        <v>0</v>
      </c>
      <c r="F296" s="410"/>
      <c r="G296" s="410"/>
      <c r="H296" s="648">
        <f t="shared" si="238"/>
        <v>4</v>
      </c>
      <c r="I296" s="649">
        <f t="shared" si="239"/>
        <v>1402.4201565557732</v>
      </c>
      <c r="J296" s="410">
        <f t="shared" si="240"/>
        <v>319.80380282903843</v>
      </c>
      <c r="K296" s="573">
        <f t="shared" si="241"/>
        <v>-1.7714716333865454E-12</v>
      </c>
      <c r="L296" s="410">
        <f t="shared" si="242"/>
        <v>0</v>
      </c>
      <c r="M296" s="410">
        <f t="shared" si="261"/>
        <v>0</v>
      </c>
      <c r="N296" s="441">
        <f t="shared" si="261"/>
        <v>0</v>
      </c>
      <c r="O296" s="479">
        <f t="shared" ref="O296" si="274">BN150</f>
        <v>20.486486486486488</v>
      </c>
      <c r="P296" s="615">
        <f t="shared" si="245"/>
        <v>27.492617861280706</v>
      </c>
      <c r="Q296" s="410"/>
      <c r="R296" s="410"/>
      <c r="S296" s="410"/>
      <c r="T296" s="410"/>
      <c r="U296" s="410"/>
      <c r="V296" s="410"/>
      <c r="W296" s="410"/>
      <c r="X296" s="410"/>
      <c r="Y296" s="410"/>
      <c r="Z296" s="410"/>
      <c r="AA296" s="410"/>
      <c r="AB296" s="410"/>
      <c r="AC296" s="410"/>
      <c r="AD296" s="410"/>
      <c r="AE296" s="410"/>
      <c r="AF296" s="410"/>
      <c r="AG296" s="410"/>
      <c r="AH296" s="410"/>
      <c r="AI296" s="410"/>
      <c r="AJ296" s="410"/>
      <c r="AK296" s="410"/>
      <c r="AL296" s="410"/>
      <c r="AM296" s="410"/>
      <c r="AN296" s="410"/>
      <c r="AO296" s="410"/>
      <c r="AP296" s="410"/>
      <c r="AQ296" s="410"/>
      <c r="AR296" s="410"/>
      <c r="AS296" s="410"/>
      <c r="AT296" s="410"/>
      <c r="AU296" s="410"/>
      <c r="AV296" s="410"/>
      <c r="AW296" s="410"/>
      <c r="AX296" s="410"/>
      <c r="AY296" s="410"/>
      <c r="AZ296" s="410"/>
      <c r="BA296" s="410"/>
      <c r="BB296" s="410"/>
      <c r="BC296" s="410"/>
      <c r="BD296" s="410"/>
      <c r="BE296" s="410"/>
      <c r="BF296" s="410"/>
      <c r="BG296" s="410"/>
      <c r="BH296" s="410"/>
      <c r="BI296" s="410"/>
      <c r="BJ296" s="410"/>
      <c r="BK296" s="410"/>
      <c r="BL296" s="410"/>
      <c r="BM296" s="410"/>
      <c r="BN296" s="410"/>
      <c r="BO296" s="410"/>
      <c r="BP296" s="410"/>
      <c r="BQ296" s="410"/>
      <c r="BR296" s="410"/>
      <c r="BS296" s="410"/>
      <c r="BT296" s="410"/>
      <c r="BU296" s="410"/>
      <c r="BV296" s="410"/>
      <c r="BW296" s="410"/>
      <c r="BX296" s="410"/>
      <c r="BY296" s="410"/>
      <c r="BZ296" s="410"/>
      <c r="CA296" s="410"/>
      <c r="CB296" s="410"/>
      <c r="CC296" s="410"/>
      <c r="CD296" s="410"/>
      <c r="CE296" s="410"/>
      <c r="CF296" s="410"/>
      <c r="CG296" s="410"/>
      <c r="CH296" s="410"/>
      <c r="CI296" s="410"/>
      <c r="CJ296" s="410"/>
      <c r="CK296" s="410"/>
      <c r="CL296" s="410"/>
      <c r="CM296" s="410"/>
      <c r="CN296" s="410"/>
      <c r="CO296" s="410"/>
      <c r="CP296" s="410"/>
      <c r="CQ296" s="410"/>
      <c r="CR296" s="410"/>
      <c r="CS296" s="410"/>
      <c r="CT296" s="410"/>
      <c r="CU296" s="410"/>
      <c r="CV296" s="410"/>
      <c r="CW296" s="410"/>
      <c r="CX296" s="410"/>
      <c r="CY296" s="410"/>
      <c r="CZ296" s="410"/>
      <c r="DA296" s="410"/>
      <c r="DB296" s="410"/>
      <c r="DC296" s="410"/>
    </row>
    <row r="297" spans="1:107" s="619" customFormat="1" ht="12" customHeight="1">
      <c r="A297" s="648">
        <v>5</v>
      </c>
      <c r="B297" s="573">
        <f>IFERROR((CK151+CF151)*1000/Klimadaten!O35,0)</f>
        <v>0.54799127974431727</v>
      </c>
      <c r="C297" s="630">
        <f>IFERROR((CK219+CF219)*1000/Klimadaten!O35,0)</f>
        <v>0</v>
      </c>
      <c r="D297" s="645">
        <f>IFERROR((CE151+CJ151)*1000/Klimadaten!O35,0)</f>
        <v>0</v>
      </c>
      <c r="E297" s="644">
        <f>IFERROR((CE219+CJ219)*1000/Klimadaten!O35,0)</f>
        <v>0</v>
      </c>
      <c r="F297" s="410"/>
      <c r="G297" s="410"/>
      <c r="H297" s="648">
        <f t="shared" si="238"/>
        <v>5</v>
      </c>
      <c r="I297" s="649">
        <f t="shared" si="239"/>
        <v>1023.5528375733855</v>
      </c>
      <c r="J297" s="410">
        <f t="shared" si="240"/>
        <v>183.57707871434627</v>
      </c>
      <c r="K297" s="573">
        <f t="shared" si="241"/>
        <v>0</v>
      </c>
      <c r="L297" s="410">
        <f t="shared" si="242"/>
        <v>0</v>
      </c>
      <c r="M297" s="410">
        <f t="shared" si="261"/>
        <v>0</v>
      </c>
      <c r="N297" s="441">
        <f t="shared" si="261"/>
        <v>0</v>
      </c>
      <c r="O297" s="479">
        <f t="shared" ref="O297" si="275">BN151</f>
        <v>20.45945945945946</v>
      </c>
      <c r="P297" s="615">
        <f t="shared" si="245"/>
        <v>28.329314852812654</v>
      </c>
      <c r="Q297" s="410"/>
      <c r="R297" s="410"/>
      <c r="S297" s="410"/>
      <c r="T297" s="410"/>
      <c r="U297" s="410"/>
      <c r="V297" s="410"/>
      <c r="W297" s="410"/>
      <c r="X297" s="410"/>
      <c r="Y297" s="410"/>
      <c r="Z297" s="410"/>
      <c r="AA297" s="410"/>
      <c r="AB297" s="410"/>
      <c r="AC297" s="410"/>
      <c r="AD297" s="410"/>
      <c r="AE297" s="410"/>
      <c r="AF297" s="410"/>
      <c r="AG297" s="410"/>
      <c r="AH297" s="410"/>
      <c r="AI297" s="410"/>
      <c r="AJ297" s="410"/>
      <c r="AK297" s="410"/>
      <c r="AL297" s="410"/>
      <c r="AM297" s="410"/>
      <c r="AN297" s="410"/>
      <c r="AO297" s="410"/>
      <c r="AP297" s="410"/>
      <c r="AQ297" s="410"/>
      <c r="AR297" s="410"/>
      <c r="AS297" s="410"/>
      <c r="AT297" s="410"/>
      <c r="AU297" s="410"/>
      <c r="AV297" s="410"/>
      <c r="AW297" s="410"/>
      <c r="AX297" s="410"/>
      <c r="AY297" s="410"/>
      <c r="AZ297" s="410"/>
      <c r="BA297" s="410"/>
      <c r="BB297" s="410"/>
      <c r="BC297" s="410"/>
      <c r="BD297" s="410"/>
      <c r="BE297" s="410"/>
      <c r="BF297" s="410"/>
      <c r="BG297" s="410"/>
      <c r="BH297" s="410"/>
      <c r="BI297" s="410"/>
      <c r="BJ297" s="410"/>
      <c r="BK297" s="410"/>
      <c r="BL297" s="410"/>
      <c r="BM297" s="410"/>
      <c r="BN297" s="410"/>
      <c r="BO297" s="410"/>
      <c r="BP297" s="410"/>
      <c r="BQ297" s="410"/>
      <c r="BR297" s="410"/>
      <c r="BS297" s="410"/>
      <c r="BT297" s="410"/>
      <c r="BU297" s="410"/>
      <c r="BV297" s="410"/>
      <c r="BW297" s="410"/>
      <c r="BX297" s="410"/>
      <c r="BY297" s="410"/>
      <c r="BZ297" s="410"/>
      <c r="CA297" s="410"/>
      <c r="CB297" s="410"/>
      <c r="CC297" s="410"/>
      <c r="CD297" s="410"/>
      <c r="CE297" s="410"/>
      <c r="CF297" s="410"/>
      <c r="CG297" s="410"/>
      <c r="CH297" s="410"/>
      <c r="CI297" s="410"/>
      <c r="CJ297" s="410"/>
      <c r="CK297" s="410"/>
      <c r="CL297" s="410"/>
      <c r="CM297" s="410"/>
      <c r="CN297" s="410"/>
      <c r="CO297" s="410"/>
      <c r="CP297" s="410"/>
      <c r="CQ297" s="410"/>
      <c r="CR297" s="410"/>
      <c r="CS297" s="410"/>
      <c r="CT297" s="410"/>
      <c r="CU297" s="410"/>
      <c r="CV297" s="410"/>
      <c r="CW297" s="410"/>
      <c r="CX297" s="410"/>
      <c r="CY297" s="410"/>
      <c r="CZ297" s="410"/>
      <c r="DA297" s="410"/>
      <c r="DB297" s="410"/>
      <c r="DC297" s="410"/>
    </row>
    <row r="298" spans="1:107" s="619" customFormat="1" ht="12" customHeight="1">
      <c r="A298" s="648">
        <v>6</v>
      </c>
      <c r="B298" s="573">
        <f>IFERROR((CK152+CF152)*1000/Klimadaten!O36,0)</f>
        <v>0.39945900103905935</v>
      </c>
      <c r="C298" s="630">
        <f>IFERROR((CK220+CF220)*1000/Klimadaten!O36,0)</f>
        <v>0</v>
      </c>
      <c r="D298" s="645">
        <f>IFERROR((CE152+CJ152)*1000/Klimadaten!O36,0)</f>
        <v>0</v>
      </c>
      <c r="E298" s="644">
        <f>IFERROR((CE220+CJ220)*1000/Klimadaten!O36,0)</f>
        <v>0</v>
      </c>
      <c r="F298" s="410"/>
      <c r="G298" s="410"/>
      <c r="H298" s="648">
        <f t="shared" si="238"/>
        <v>6</v>
      </c>
      <c r="I298" s="649">
        <f t="shared" si="239"/>
        <v>1274.0941291585129</v>
      </c>
      <c r="J298" s="410">
        <f t="shared" si="240"/>
        <v>166.57440343328776</v>
      </c>
      <c r="K298" s="573">
        <f t="shared" si="241"/>
        <v>1.6093761898086914E-12</v>
      </c>
      <c r="L298" s="410">
        <f t="shared" si="242"/>
        <v>0</v>
      </c>
      <c r="M298" s="410">
        <f t="shared" si="261"/>
        <v>0</v>
      </c>
      <c r="N298" s="441">
        <f t="shared" si="261"/>
        <v>0</v>
      </c>
      <c r="O298" s="479">
        <f t="shared" ref="O298" si="276">BN152</f>
        <v>20.432432432432432</v>
      </c>
      <c r="P298" s="615">
        <f t="shared" si="245"/>
        <v>31.611411393434715</v>
      </c>
      <c r="Q298" s="410"/>
      <c r="R298" s="410"/>
      <c r="S298" s="410"/>
      <c r="T298" s="410"/>
      <c r="U298" s="410"/>
      <c r="V298" s="410"/>
      <c r="W298" s="410"/>
      <c r="X298" s="410"/>
      <c r="Y298" s="410"/>
      <c r="Z298" s="410"/>
      <c r="AA298" s="410"/>
      <c r="AB298" s="410"/>
      <c r="AC298" s="410"/>
      <c r="AD298" s="410"/>
      <c r="AE298" s="410"/>
      <c r="AF298" s="410"/>
      <c r="AG298" s="410"/>
      <c r="AH298" s="410"/>
      <c r="AI298" s="410"/>
      <c r="AJ298" s="410"/>
      <c r="AK298" s="410"/>
      <c r="AL298" s="410"/>
      <c r="AM298" s="410"/>
      <c r="AN298" s="410"/>
      <c r="AO298" s="410"/>
      <c r="AP298" s="410"/>
      <c r="AQ298" s="410"/>
      <c r="AR298" s="410"/>
      <c r="AS298" s="410"/>
      <c r="AT298" s="410"/>
      <c r="AU298" s="410"/>
      <c r="AV298" s="410"/>
      <c r="AW298" s="410"/>
      <c r="AX298" s="410"/>
      <c r="AY298" s="410"/>
      <c r="AZ298" s="410"/>
      <c r="BA298" s="410"/>
      <c r="BB298" s="410"/>
      <c r="BC298" s="410"/>
      <c r="BD298" s="410"/>
      <c r="BE298" s="410"/>
      <c r="BF298" s="410"/>
      <c r="BG298" s="410"/>
      <c r="BH298" s="410"/>
      <c r="BI298" s="410"/>
      <c r="BJ298" s="410"/>
      <c r="BK298" s="410"/>
      <c r="BL298" s="410"/>
      <c r="BM298" s="410"/>
      <c r="BN298" s="410"/>
      <c r="BO298" s="410"/>
      <c r="BP298" s="410"/>
      <c r="BQ298" s="410"/>
      <c r="BR298" s="410"/>
      <c r="BS298" s="410"/>
      <c r="BT298" s="410"/>
      <c r="BU298" s="410"/>
      <c r="BV298" s="410"/>
      <c r="BW298" s="410"/>
      <c r="BX298" s="410"/>
      <c r="BY298" s="410"/>
      <c r="BZ298" s="410"/>
      <c r="CA298" s="410"/>
      <c r="CB298" s="410"/>
      <c r="CC298" s="410"/>
      <c r="CD298" s="410"/>
      <c r="CE298" s="410"/>
      <c r="CF298" s="410"/>
      <c r="CG298" s="410"/>
      <c r="CH298" s="410"/>
      <c r="CI298" s="410"/>
      <c r="CJ298" s="410"/>
      <c r="CK298" s="410"/>
      <c r="CL298" s="410"/>
      <c r="CM298" s="410"/>
      <c r="CN298" s="410"/>
      <c r="CO298" s="410"/>
      <c r="CP298" s="410"/>
      <c r="CQ298" s="410"/>
      <c r="CR298" s="410"/>
      <c r="CS298" s="410"/>
      <c r="CT298" s="410"/>
      <c r="CU298" s="410"/>
      <c r="CV298" s="410"/>
      <c r="CW298" s="410"/>
      <c r="CX298" s="410"/>
      <c r="CY298" s="410"/>
      <c r="CZ298" s="410"/>
      <c r="DA298" s="410"/>
      <c r="DB298" s="410"/>
      <c r="DC298" s="410"/>
    </row>
    <row r="299" spans="1:107" s="619" customFormat="1" ht="12" customHeight="1">
      <c r="A299" s="648">
        <v>7</v>
      </c>
      <c r="B299" s="573">
        <f>IFERROR((CK153+CF153)*1000/Klimadaten!O37,0)</f>
        <v>0.25044137979919529</v>
      </c>
      <c r="C299" s="630">
        <f>IFERROR((CK221+CF221)*1000/Klimadaten!O37,0)</f>
        <v>0</v>
      </c>
      <c r="D299" s="645">
        <f>IFERROR((CE153+CJ153)*1000/Klimadaten!O37,0)</f>
        <v>0</v>
      </c>
      <c r="E299" s="644">
        <f>IFERROR((CE221+CJ221)*1000/Klimadaten!O37,0)</f>
        <v>0</v>
      </c>
      <c r="F299" s="410"/>
      <c r="G299" s="410"/>
      <c r="H299" s="648">
        <f t="shared" si="238"/>
        <v>7</v>
      </c>
      <c r="I299" s="649">
        <f t="shared" si="239"/>
        <v>1240.4849315068495</v>
      </c>
      <c r="J299" s="410">
        <f t="shared" si="240"/>
        <v>101.67920019847328</v>
      </c>
      <c r="K299" s="573">
        <f t="shared" si="241"/>
        <v>0</v>
      </c>
      <c r="L299" s="410">
        <f t="shared" si="242"/>
        <v>0</v>
      </c>
      <c r="M299" s="410">
        <f t="shared" si="261"/>
        <v>0</v>
      </c>
      <c r="N299" s="441">
        <f t="shared" si="261"/>
        <v>0</v>
      </c>
      <c r="O299" s="479">
        <f t="shared" ref="O299" si="277">BN153</f>
        <v>20.405405405405407</v>
      </c>
      <c r="P299" s="615">
        <f t="shared" si="245"/>
        <v>32.131549882208851</v>
      </c>
      <c r="Q299" s="410"/>
      <c r="R299" s="410"/>
      <c r="S299" s="410"/>
      <c r="T299" s="410"/>
      <c r="U299" s="410"/>
      <c r="V299" s="410"/>
      <c r="W299" s="410"/>
      <c r="X299" s="410"/>
      <c r="Y299" s="410"/>
      <c r="Z299" s="410"/>
      <c r="AA299" s="410"/>
      <c r="AB299" s="410"/>
      <c r="AC299" s="410"/>
      <c r="AD299" s="410"/>
      <c r="AE299" s="410"/>
      <c r="AF299" s="410"/>
      <c r="AG299" s="410"/>
      <c r="AH299" s="410"/>
      <c r="AI299" s="410"/>
      <c r="AJ299" s="410"/>
      <c r="AK299" s="410"/>
      <c r="AL299" s="410"/>
      <c r="AM299" s="410"/>
      <c r="AN299" s="410"/>
      <c r="AO299" s="410"/>
      <c r="AP299" s="410"/>
      <c r="AQ299" s="410"/>
      <c r="AR299" s="410"/>
      <c r="AS299" s="410"/>
      <c r="AT299" s="410"/>
      <c r="AU299" s="410"/>
      <c r="AV299" s="410"/>
      <c r="AW299" s="410"/>
      <c r="AX299" s="410"/>
      <c r="AY299" s="410"/>
      <c r="AZ299" s="410"/>
      <c r="BA299" s="410"/>
      <c r="BB299" s="410"/>
      <c r="BC299" s="410"/>
      <c r="BD299" s="410"/>
      <c r="BE299" s="410"/>
      <c r="BF299" s="410"/>
      <c r="BG299" s="410"/>
      <c r="BH299" s="410"/>
      <c r="BI299" s="410"/>
      <c r="BJ299" s="410"/>
      <c r="BK299" s="410"/>
      <c r="BL299" s="410"/>
      <c r="BM299" s="410"/>
      <c r="BN299" s="410"/>
      <c r="BO299" s="410"/>
      <c r="BP299" s="410"/>
      <c r="BQ299" s="410"/>
      <c r="BR299" s="410"/>
      <c r="BS299" s="410"/>
      <c r="BT299" s="410"/>
      <c r="BU299" s="410"/>
      <c r="BV299" s="410"/>
      <c r="BW299" s="410"/>
      <c r="BX299" s="410"/>
      <c r="BY299" s="410"/>
      <c r="BZ299" s="410"/>
      <c r="CA299" s="410"/>
      <c r="CB299" s="410"/>
      <c r="CC299" s="410"/>
      <c r="CD299" s="410"/>
      <c r="CE299" s="410"/>
      <c r="CF299" s="410"/>
      <c r="CG299" s="410"/>
      <c r="CH299" s="410"/>
      <c r="CI299" s="410"/>
      <c r="CJ299" s="410"/>
      <c r="CK299" s="410"/>
      <c r="CL299" s="410"/>
      <c r="CM299" s="410"/>
      <c r="CN299" s="410"/>
      <c r="CO299" s="410"/>
      <c r="CP299" s="410"/>
      <c r="CQ299" s="410"/>
      <c r="CR299" s="410"/>
      <c r="CS299" s="410"/>
      <c r="CT299" s="410"/>
      <c r="CU299" s="410"/>
      <c r="CV299" s="410"/>
      <c r="CW299" s="410"/>
      <c r="CX299" s="410"/>
      <c r="CY299" s="410"/>
      <c r="CZ299" s="410"/>
      <c r="DA299" s="410"/>
      <c r="DB299" s="410"/>
      <c r="DC299" s="410"/>
    </row>
    <row r="300" spans="1:107" s="619" customFormat="1" ht="12" customHeight="1">
      <c r="A300" s="648">
        <v>8</v>
      </c>
      <c r="B300" s="573">
        <f>IFERROR((CK154+CF154)*1000/Klimadaten!O38,0)</f>
        <v>0.10144698034597088</v>
      </c>
      <c r="C300" s="630">
        <f>IFERROR((CK222+CF222)*1000/Klimadaten!O38,0)</f>
        <v>0</v>
      </c>
      <c r="D300" s="645">
        <f>IFERROR((CE154+CJ154)*1000/Klimadaten!O38,0)</f>
        <v>0</v>
      </c>
      <c r="E300" s="644">
        <f>IFERROR((CE222+CJ222)*1000/Klimadaten!O38,0)</f>
        <v>0</v>
      </c>
      <c r="F300" s="410"/>
      <c r="G300" s="410"/>
      <c r="H300" s="648">
        <f t="shared" si="238"/>
        <v>8</v>
      </c>
      <c r="I300" s="649">
        <f t="shared" si="239"/>
        <v>1026.6082191780824</v>
      </c>
      <c r="J300" s="410">
        <f t="shared" si="240"/>
        <v>34.086185396246215</v>
      </c>
      <c r="K300" s="573">
        <f t="shared" si="241"/>
        <v>-1.2967635486228306E-12</v>
      </c>
      <c r="L300" s="410">
        <f t="shared" si="242"/>
        <v>0</v>
      </c>
      <c r="M300" s="410">
        <f t="shared" ref="M300:N315" si="278">CE154*1000</f>
        <v>0</v>
      </c>
      <c r="N300" s="441">
        <f t="shared" si="278"/>
        <v>0</v>
      </c>
      <c r="O300" s="479">
        <f t="shared" ref="O300" si="279">BN154</f>
        <v>20.378378378378379</v>
      </c>
      <c r="P300" s="615">
        <f t="shared" si="245"/>
        <v>34.812378202210454</v>
      </c>
      <c r="Q300" s="410"/>
      <c r="R300" s="410"/>
      <c r="S300" s="410"/>
      <c r="T300" s="410"/>
      <c r="U300" s="410"/>
      <c r="V300" s="410"/>
      <c r="W300" s="410"/>
      <c r="X300" s="410"/>
      <c r="Y300" s="410"/>
      <c r="Z300" s="410"/>
      <c r="AA300" s="410"/>
      <c r="AB300" s="410"/>
      <c r="AC300" s="410"/>
      <c r="AD300" s="410"/>
      <c r="AE300" s="410"/>
      <c r="AF300" s="410"/>
      <c r="AG300" s="410"/>
      <c r="AH300" s="410"/>
      <c r="AI300" s="410"/>
      <c r="AJ300" s="410"/>
      <c r="AK300" s="410"/>
      <c r="AL300" s="410"/>
      <c r="AM300" s="410"/>
      <c r="AN300" s="410"/>
      <c r="AO300" s="410"/>
      <c r="AP300" s="410"/>
      <c r="AQ300" s="410"/>
      <c r="AR300" s="410"/>
      <c r="AS300" s="410"/>
      <c r="AT300" s="410"/>
      <c r="AU300" s="410"/>
      <c r="AV300" s="410"/>
      <c r="AW300" s="410"/>
      <c r="AX300" s="410"/>
      <c r="AY300" s="410"/>
      <c r="AZ300" s="410"/>
      <c r="BA300" s="410"/>
      <c r="BB300" s="410"/>
      <c r="BC300" s="410"/>
      <c r="BD300" s="410"/>
      <c r="BE300" s="410"/>
      <c r="BF300" s="410"/>
      <c r="BG300" s="410"/>
      <c r="BH300" s="410"/>
      <c r="BI300" s="410"/>
      <c r="BJ300" s="410"/>
      <c r="BK300" s="410"/>
      <c r="BL300" s="410"/>
      <c r="BM300" s="410"/>
      <c r="BN300" s="410"/>
      <c r="BO300" s="410"/>
      <c r="BP300" s="410"/>
      <c r="BQ300" s="410"/>
      <c r="BR300" s="410"/>
      <c r="BS300" s="410"/>
      <c r="BT300" s="410"/>
      <c r="BU300" s="410"/>
      <c r="BV300" s="410"/>
      <c r="BW300" s="410"/>
      <c r="BX300" s="410"/>
      <c r="BY300" s="410"/>
      <c r="BZ300" s="410"/>
      <c r="CA300" s="410"/>
      <c r="CB300" s="410"/>
      <c r="CC300" s="410"/>
      <c r="CD300" s="410"/>
      <c r="CE300" s="410"/>
      <c r="CF300" s="410"/>
      <c r="CG300" s="410"/>
      <c r="CH300" s="410"/>
      <c r="CI300" s="410"/>
      <c r="CJ300" s="410"/>
      <c r="CK300" s="410"/>
      <c r="CL300" s="410"/>
      <c r="CM300" s="410"/>
      <c r="CN300" s="410"/>
      <c r="CO300" s="410"/>
      <c r="CP300" s="410"/>
      <c r="CQ300" s="410"/>
      <c r="CR300" s="410"/>
      <c r="CS300" s="410"/>
      <c r="CT300" s="410"/>
      <c r="CU300" s="410"/>
      <c r="CV300" s="410"/>
      <c r="CW300" s="410"/>
      <c r="CX300" s="410"/>
      <c r="CY300" s="410"/>
      <c r="CZ300" s="410"/>
      <c r="DA300" s="410"/>
      <c r="DB300" s="410"/>
      <c r="DC300" s="410"/>
    </row>
    <row r="301" spans="1:107" s="619" customFormat="1" ht="12" customHeight="1">
      <c r="A301" s="648">
        <v>9</v>
      </c>
      <c r="B301" s="573">
        <f>IFERROR((CK155+CF155)*1000/Klimadaten!O39,0)</f>
        <v>0</v>
      </c>
      <c r="C301" s="630">
        <f>IFERROR((CK223+CF223)*1000/Klimadaten!O39,0)</f>
        <v>0</v>
      </c>
      <c r="D301" s="645">
        <f>IFERROR((CE155+CJ155)*1000/Klimadaten!O39,0)</f>
        <v>0</v>
      </c>
      <c r="E301" s="644">
        <f>IFERROR((CE223+CJ223)*1000/Klimadaten!O39,0)</f>
        <v>0</v>
      </c>
      <c r="F301" s="410"/>
      <c r="G301" s="410"/>
      <c r="H301" s="648">
        <f t="shared" si="238"/>
        <v>9</v>
      </c>
      <c r="I301" s="649">
        <f t="shared" si="239"/>
        <v>1035.7743639921725</v>
      </c>
      <c r="J301" s="410">
        <f t="shared" si="240"/>
        <v>0</v>
      </c>
      <c r="K301" s="573">
        <f t="shared" si="241"/>
        <v>0</v>
      </c>
      <c r="L301" s="410">
        <f t="shared" si="242"/>
        <v>0</v>
      </c>
      <c r="M301" s="410">
        <f t="shared" si="278"/>
        <v>0</v>
      </c>
      <c r="N301" s="441">
        <f t="shared" si="278"/>
        <v>0</v>
      </c>
      <c r="O301" s="479">
        <f t="shared" ref="O301" si="280">BN155</f>
        <v>20.351351351351351</v>
      </c>
      <c r="P301" s="615">
        <f t="shared" si="245"/>
        <v>36.96215382304284</v>
      </c>
      <c r="Q301" s="410"/>
      <c r="R301" s="410"/>
      <c r="S301" s="410"/>
      <c r="T301" s="410"/>
      <c r="U301" s="410"/>
      <c r="V301" s="410"/>
      <c r="W301" s="410"/>
      <c r="X301" s="410"/>
      <c r="Y301" s="410"/>
      <c r="Z301" s="410"/>
      <c r="AA301" s="410"/>
      <c r="AB301" s="410"/>
      <c r="AC301" s="410"/>
      <c r="AD301" s="410"/>
      <c r="AE301" s="410"/>
      <c r="AF301" s="410"/>
      <c r="AG301" s="410"/>
      <c r="AH301" s="410"/>
      <c r="AI301" s="410"/>
      <c r="AJ301" s="410"/>
      <c r="AK301" s="410"/>
      <c r="AL301" s="410"/>
      <c r="AM301" s="410"/>
      <c r="AN301" s="410"/>
      <c r="AO301" s="410"/>
      <c r="AP301" s="410"/>
      <c r="AQ301" s="410"/>
      <c r="AR301" s="410"/>
      <c r="AS301" s="410"/>
      <c r="AT301" s="410"/>
      <c r="AU301" s="410"/>
      <c r="AV301" s="410"/>
      <c r="AW301" s="410"/>
      <c r="AX301" s="410"/>
      <c r="AY301" s="410"/>
      <c r="AZ301" s="410"/>
      <c r="BA301" s="410"/>
      <c r="BB301" s="410"/>
      <c r="BC301" s="410"/>
      <c r="BD301" s="410"/>
      <c r="BE301" s="410"/>
      <c r="BF301" s="410"/>
      <c r="BG301" s="410"/>
      <c r="BH301" s="410"/>
      <c r="BI301" s="410"/>
      <c r="BJ301" s="410"/>
      <c r="BK301" s="410"/>
      <c r="BL301" s="410"/>
      <c r="BM301" s="410"/>
      <c r="BN301" s="410"/>
      <c r="BO301" s="410"/>
      <c r="BP301" s="410"/>
      <c r="BQ301" s="410"/>
      <c r="BR301" s="410"/>
      <c r="BS301" s="410"/>
      <c r="BT301" s="410"/>
      <c r="BU301" s="410"/>
      <c r="BV301" s="410"/>
      <c r="BW301" s="410"/>
      <c r="BX301" s="410"/>
      <c r="BY301" s="410"/>
      <c r="BZ301" s="410"/>
      <c r="CA301" s="410"/>
      <c r="CB301" s="410"/>
      <c r="CC301" s="410"/>
      <c r="CD301" s="410"/>
      <c r="CE301" s="410"/>
      <c r="CF301" s="410"/>
      <c r="CG301" s="410"/>
      <c r="CH301" s="410"/>
      <c r="CI301" s="410"/>
      <c r="CJ301" s="410"/>
      <c r="CK301" s="410"/>
      <c r="CL301" s="410"/>
      <c r="CM301" s="410"/>
      <c r="CN301" s="410"/>
      <c r="CO301" s="410"/>
      <c r="CP301" s="410"/>
      <c r="CQ301" s="410"/>
      <c r="CR301" s="410"/>
      <c r="CS301" s="410"/>
      <c r="CT301" s="410"/>
      <c r="CU301" s="410"/>
      <c r="CV301" s="410"/>
      <c r="CW301" s="410"/>
      <c r="CX301" s="410"/>
      <c r="CY301" s="410"/>
      <c r="CZ301" s="410"/>
      <c r="DA301" s="410"/>
      <c r="DB301" s="410"/>
      <c r="DC301" s="410"/>
    </row>
    <row r="302" spans="1:107" s="619" customFormat="1" ht="12" customHeight="1">
      <c r="A302" s="648">
        <v>10</v>
      </c>
      <c r="B302" s="573">
        <f>IFERROR((CK156+CF156)*1000/Klimadaten!O40,0)</f>
        <v>0</v>
      </c>
      <c r="C302" s="630">
        <f>IFERROR((CK224+CF224)*1000/Klimadaten!O40,0)</f>
        <v>0</v>
      </c>
      <c r="D302" s="645">
        <f>IFERROR((CE156+CJ156)*1000/Klimadaten!O40,0)</f>
        <v>0</v>
      </c>
      <c r="E302" s="644">
        <f>IFERROR((CE224+CJ224)*1000/Klimadaten!O40,0)</f>
        <v>0</v>
      </c>
      <c r="F302" s="410"/>
      <c r="G302" s="410"/>
      <c r="H302" s="648">
        <f t="shared" si="238"/>
        <v>10</v>
      </c>
      <c r="I302" s="649">
        <f t="shared" si="239"/>
        <v>971.61135029354216</v>
      </c>
      <c r="J302" s="410">
        <f t="shared" si="240"/>
        <v>0</v>
      </c>
      <c r="K302" s="573">
        <f t="shared" si="241"/>
        <v>0</v>
      </c>
      <c r="L302" s="410">
        <f t="shared" si="242"/>
        <v>0</v>
      </c>
      <c r="M302" s="410">
        <f t="shared" si="278"/>
        <v>0</v>
      </c>
      <c r="N302" s="441">
        <f t="shared" si="278"/>
        <v>0</v>
      </c>
      <c r="O302" s="479">
        <f t="shared" ref="O302" si="281">BN156</f>
        <v>20.324324324324323</v>
      </c>
      <c r="P302" s="615">
        <f t="shared" si="245"/>
        <v>39.974921994145859</v>
      </c>
      <c r="Q302" s="410"/>
      <c r="R302" s="410"/>
      <c r="S302" s="410"/>
      <c r="T302" s="410"/>
      <c r="U302" s="410"/>
      <c r="V302" s="410"/>
      <c r="W302" s="410"/>
      <c r="X302" s="410"/>
      <c r="Y302" s="410"/>
      <c r="Z302" s="410"/>
      <c r="AA302" s="410"/>
      <c r="AB302" s="410"/>
      <c r="AC302" s="410"/>
      <c r="AD302" s="410"/>
      <c r="AE302" s="410"/>
      <c r="AF302" s="410"/>
      <c r="AG302" s="410"/>
      <c r="AH302" s="410"/>
      <c r="AI302" s="410"/>
      <c r="AJ302" s="410"/>
      <c r="AK302" s="410"/>
      <c r="AL302" s="410"/>
      <c r="AM302" s="410"/>
      <c r="AN302" s="410"/>
      <c r="AO302" s="410"/>
      <c r="AP302" s="410"/>
      <c r="AQ302" s="410"/>
      <c r="AR302" s="410"/>
      <c r="AS302" s="410"/>
      <c r="AT302" s="410"/>
      <c r="AU302" s="410"/>
      <c r="AV302" s="410"/>
      <c r="AW302" s="410"/>
      <c r="AX302" s="410"/>
      <c r="AY302" s="410"/>
      <c r="AZ302" s="410"/>
      <c r="BA302" s="410"/>
      <c r="BB302" s="410"/>
      <c r="BC302" s="410"/>
      <c r="BD302" s="410"/>
      <c r="BE302" s="410"/>
      <c r="BF302" s="410"/>
      <c r="BG302" s="410"/>
      <c r="BH302" s="410"/>
      <c r="BI302" s="410"/>
      <c r="BJ302" s="410"/>
      <c r="BK302" s="410"/>
      <c r="BL302" s="410"/>
      <c r="BM302" s="410"/>
      <c r="BN302" s="410"/>
      <c r="BO302" s="410"/>
      <c r="BP302" s="410"/>
      <c r="BQ302" s="410"/>
      <c r="BR302" s="410"/>
      <c r="BS302" s="410"/>
      <c r="BT302" s="410"/>
      <c r="BU302" s="410"/>
      <c r="BV302" s="410"/>
      <c r="BW302" s="410"/>
      <c r="BX302" s="410"/>
      <c r="BY302" s="410"/>
      <c r="BZ302" s="410"/>
      <c r="CA302" s="410"/>
      <c r="CB302" s="410"/>
      <c r="CC302" s="410"/>
      <c r="CD302" s="410"/>
      <c r="CE302" s="410"/>
      <c r="CF302" s="410"/>
      <c r="CG302" s="410"/>
      <c r="CH302" s="410"/>
      <c r="CI302" s="410"/>
      <c r="CJ302" s="410"/>
      <c r="CK302" s="410"/>
      <c r="CL302" s="410"/>
      <c r="CM302" s="410"/>
      <c r="CN302" s="410"/>
      <c r="CO302" s="410"/>
      <c r="CP302" s="410"/>
      <c r="CQ302" s="410"/>
      <c r="CR302" s="410"/>
      <c r="CS302" s="410"/>
      <c r="CT302" s="410"/>
      <c r="CU302" s="410"/>
      <c r="CV302" s="410"/>
      <c r="CW302" s="410"/>
      <c r="CX302" s="410"/>
      <c r="CY302" s="410"/>
      <c r="CZ302" s="410"/>
      <c r="DA302" s="410"/>
      <c r="DB302" s="410"/>
      <c r="DC302" s="410"/>
    </row>
    <row r="303" spans="1:107" s="619" customFormat="1" ht="12" customHeight="1">
      <c r="A303" s="648">
        <v>11</v>
      </c>
      <c r="B303" s="573">
        <f>IFERROR((CK157+CF157)*1000/Klimadaten!O41,0)</f>
        <v>0</v>
      </c>
      <c r="C303" s="630">
        <f>IFERROR((CK225+CF225)*1000/Klimadaten!O41,0)</f>
        <v>0</v>
      </c>
      <c r="D303" s="645">
        <f>IFERROR((CE157+CJ157)*1000/Klimadaten!O41,0)</f>
        <v>0</v>
      </c>
      <c r="E303" s="644">
        <f>IFERROR((CE225+CJ225)*1000/Klimadaten!O41,0)</f>
        <v>0</v>
      </c>
      <c r="F303" s="410"/>
      <c r="G303" s="410"/>
      <c r="H303" s="648">
        <f t="shared" si="238"/>
        <v>11</v>
      </c>
      <c r="I303" s="649">
        <f t="shared" si="239"/>
        <v>1124.3804305283759</v>
      </c>
      <c r="J303" s="410">
        <f t="shared" si="240"/>
        <v>0</v>
      </c>
      <c r="K303" s="573">
        <f t="shared" si="241"/>
        <v>-1.4202648389678623E-12</v>
      </c>
      <c r="L303" s="410">
        <f t="shared" si="242"/>
        <v>0</v>
      </c>
      <c r="M303" s="410">
        <f t="shared" si="278"/>
        <v>0</v>
      </c>
      <c r="N303" s="441">
        <f t="shared" si="278"/>
        <v>0</v>
      </c>
      <c r="O303" s="479">
        <f t="shared" ref="O303" si="282">BN157</f>
        <v>20.297297297297298</v>
      </c>
      <c r="P303" s="615">
        <f t="shared" si="245"/>
        <v>42.74956253869167</v>
      </c>
      <c r="Q303" s="410"/>
      <c r="R303" s="410"/>
      <c r="S303" s="410"/>
      <c r="T303" s="410"/>
      <c r="U303" s="410"/>
      <c r="V303" s="410"/>
      <c r="W303" s="410"/>
      <c r="X303" s="410"/>
      <c r="Y303" s="410"/>
      <c r="Z303" s="410"/>
      <c r="AA303" s="410"/>
      <c r="AB303" s="410"/>
      <c r="AC303" s="410"/>
      <c r="AD303" s="410"/>
      <c r="AE303" s="410"/>
      <c r="AF303" s="410"/>
      <c r="AG303" s="410"/>
      <c r="AH303" s="410"/>
      <c r="AI303" s="410"/>
      <c r="AJ303" s="410"/>
      <c r="AK303" s="410"/>
      <c r="AL303" s="410"/>
      <c r="AM303" s="410"/>
      <c r="AN303" s="410"/>
      <c r="AO303" s="410"/>
      <c r="AP303" s="410"/>
      <c r="AQ303" s="410"/>
      <c r="AR303" s="410"/>
      <c r="AS303" s="410"/>
      <c r="AT303" s="410"/>
      <c r="AU303" s="410"/>
      <c r="AV303" s="410"/>
      <c r="AW303" s="410"/>
      <c r="AX303" s="410"/>
      <c r="AY303" s="410"/>
      <c r="AZ303" s="410"/>
      <c r="BA303" s="410"/>
      <c r="BB303" s="410"/>
      <c r="BC303" s="410"/>
      <c r="BD303" s="410"/>
      <c r="BE303" s="410"/>
      <c r="BF303" s="410"/>
      <c r="BG303" s="410"/>
      <c r="BH303" s="410"/>
      <c r="BI303" s="410"/>
      <c r="BJ303" s="410"/>
      <c r="BK303" s="410"/>
      <c r="BL303" s="410"/>
      <c r="BM303" s="410"/>
      <c r="BN303" s="410"/>
      <c r="BO303" s="410"/>
      <c r="BP303" s="410"/>
      <c r="BQ303" s="410"/>
      <c r="BR303" s="410"/>
      <c r="BS303" s="410"/>
      <c r="BT303" s="410"/>
      <c r="BU303" s="410"/>
      <c r="BV303" s="410"/>
      <c r="BW303" s="410"/>
      <c r="BX303" s="410"/>
      <c r="BY303" s="410"/>
      <c r="BZ303" s="410"/>
      <c r="CA303" s="410"/>
      <c r="CB303" s="410"/>
      <c r="CC303" s="410"/>
      <c r="CD303" s="410"/>
      <c r="CE303" s="410"/>
      <c r="CF303" s="410"/>
      <c r="CG303" s="410"/>
      <c r="CH303" s="410"/>
      <c r="CI303" s="410"/>
      <c r="CJ303" s="410"/>
      <c r="CK303" s="410"/>
      <c r="CL303" s="410"/>
      <c r="CM303" s="410"/>
      <c r="CN303" s="410"/>
      <c r="CO303" s="410"/>
      <c r="CP303" s="410"/>
      <c r="CQ303" s="410"/>
      <c r="CR303" s="410"/>
      <c r="CS303" s="410"/>
      <c r="CT303" s="410"/>
      <c r="CU303" s="410"/>
      <c r="CV303" s="410"/>
      <c r="CW303" s="410"/>
      <c r="CX303" s="410"/>
      <c r="CY303" s="410"/>
      <c r="CZ303" s="410"/>
      <c r="DA303" s="410"/>
      <c r="DB303" s="410"/>
      <c r="DC303" s="410"/>
    </row>
    <row r="304" spans="1:107" s="619" customFormat="1" ht="12" customHeight="1">
      <c r="A304" s="648">
        <v>12</v>
      </c>
      <c r="B304" s="573">
        <f>IFERROR((CK158+CF158)*1000/Klimadaten!O42,0)</f>
        <v>0</v>
      </c>
      <c r="C304" s="630">
        <f>IFERROR((CK226+CF226)*1000/Klimadaten!O42,0)</f>
        <v>0</v>
      </c>
      <c r="D304" s="645">
        <f>IFERROR((CE158+CJ158)*1000/Klimadaten!O42,0)</f>
        <v>0</v>
      </c>
      <c r="E304" s="644">
        <f>IFERROR((CE226+CJ226)*1000/Klimadaten!O42,0)</f>
        <v>0</v>
      </c>
      <c r="F304" s="410"/>
      <c r="G304" s="410"/>
      <c r="H304" s="648">
        <f t="shared" si="238"/>
        <v>12</v>
      </c>
      <c r="I304" s="649">
        <f t="shared" si="239"/>
        <v>980.77749510763238</v>
      </c>
      <c r="J304" s="410">
        <f t="shared" si="240"/>
        <v>0</v>
      </c>
      <c r="K304" s="573">
        <f t="shared" si="241"/>
        <v>-1.2388723187735973E-12</v>
      </c>
      <c r="L304" s="410">
        <f t="shared" si="242"/>
        <v>0</v>
      </c>
      <c r="M304" s="410">
        <f t="shared" si="278"/>
        <v>0</v>
      </c>
      <c r="N304" s="441">
        <f t="shared" si="278"/>
        <v>0</v>
      </c>
      <c r="O304" s="479">
        <f t="shared" ref="O304" si="283">BN158</f>
        <v>20.27027027027027</v>
      </c>
      <c r="P304" s="615">
        <f t="shared" si="245"/>
        <v>43.221901557763672</v>
      </c>
      <c r="Q304" s="410"/>
      <c r="R304" s="410"/>
      <c r="S304" s="410"/>
      <c r="T304" s="410"/>
      <c r="U304" s="410"/>
      <c r="V304" s="410"/>
      <c r="W304" s="410"/>
      <c r="X304" s="410"/>
      <c r="Y304" s="410"/>
      <c r="Z304" s="410"/>
      <c r="AA304" s="410"/>
      <c r="AB304" s="410"/>
      <c r="AC304" s="410"/>
      <c r="AD304" s="410"/>
      <c r="AE304" s="410"/>
      <c r="AF304" s="410"/>
      <c r="AG304" s="410"/>
      <c r="AH304" s="410"/>
      <c r="AI304" s="410"/>
      <c r="AJ304" s="410"/>
      <c r="AK304" s="410"/>
      <c r="AL304" s="410"/>
      <c r="AM304" s="410"/>
      <c r="AN304" s="410"/>
      <c r="AO304" s="410"/>
      <c r="AP304" s="410"/>
      <c r="AQ304" s="410"/>
      <c r="AR304" s="410"/>
      <c r="AS304" s="410"/>
      <c r="AT304" s="410"/>
      <c r="AU304" s="410"/>
      <c r="AV304" s="410"/>
      <c r="AW304" s="410"/>
      <c r="AX304" s="410"/>
      <c r="AY304" s="410"/>
      <c r="AZ304" s="410"/>
      <c r="BA304" s="410"/>
      <c r="BB304" s="410"/>
      <c r="BC304" s="410"/>
      <c r="BD304" s="410"/>
      <c r="BE304" s="410"/>
      <c r="BF304" s="410"/>
      <c r="BG304" s="410"/>
      <c r="BH304" s="410"/>
      <c r="BI304" s="410"/>
      <c r="BJ304" s="410"/>
      <c r="BK304" s="410"/>
      <c r="BL304" s="410"/>
      <c r="BM304" s="410"/>
      <c r="BN304" s="410"/>
      <c r="BO304" s="410"/>
      <c r="BP304" s="410"/>
      <c r="BQ304" s="410"/>
      <c r="BR304" s="410"/>
      <c r="BS304" s="410"/>
      <c r="BT304" s="410"/>
      <c r="BU304" s="410"/>
      <c r="BV304" s="410"/>
      <c r="BW304" s="410"/>
      <c r="BX304" s="410"/>
      <c r="BY304" s="410"/>
      <c r="BZ304" s="410"/>
      <c r="CA304" s="410"/>
      <c r="CB304" s="410"/>
      <c r="CC304" s="410"/>
      <c r="CD304" s="410"/>
      <c r="CE304" s="410"/>
      <c r="CF304" s="410"/>
      <c r="CG304" s="410"/>
      <c r="CH304" s="410"/>
      <c r="CI304" s="410"/>
      <c r="CJ304" s="410"/>
      <c r="CK304" s="410"/>
      <c r="CL304" s="410"/>
      <c r="CM304" s="410"/>
      <c r="CN304" s="410"/>
      <c r="CO304" s="410"/>
      <c r="CP304" s="410"/>
      <c r="CQ304" s="410"/>
      <c r="CR304" s="410"/>
      <c r="CS304" s="410"/>
      <c r="CT304" s="410"/>
      <c r="CU304" s="410"/>
      <c r="CV304" s="410"/>
      <c r="CW304" s="410"/>
      <c r="CX304" s="410"/>
      <c r="CY304" s="410"/>
      <c r="CZ304" s="410"/>
      <c r="DA304" s="410"/>
      <c r="DB304" s="410"/>
      <c r="DC304" s="410"/>
    </row>
    <row r="305" spans="1:107" s="619" customFormat="1" ht="12" customHeight="1">
      <c r="A305" s="648">
        <v>13</v>
      </c>
      <c r="B305" s="573">
        <f>IFERROR((CK159+CF159)*1000/Klimadaten!O43,0)</f>
        <v>0</v>
      </c>
      <c r="C305" s="630">
        <f>IFERROR((CK227+CF227)*1000/Klimadaten!O43,0)</f>
        <v>0</v>
      </c>
      <c r="D305" s="645">
        <f>IFERROR((CE159+CJ159)*1000/Klimadaten!O43,0)</f>
        <v>0</v>
      </c>
      <c r="E305" s="644">
        <f>IFERROR((CE227+CJ227)*1000/Klimadaten!O43,0)</f>
        <v>0</v>
      </c>
      <c r="F305" s="410"/>
      <c r="G305" s="410"/>
      <c r="H305" s="648">
        <f t="shared" si="238"/>
        <v>13</v>
      </c>
      <c r="I305" s="649">
        <f t="shared" si="239"/>
        <v>1069.3835616438357</v>
      </c>
      <c r="J305" s="410">
        <f t="shared" si="240"/>
        <v>0</v>
      </c>
      <c r="K305" s="573">
        <f t="shared" si="241"/>
        <v>0</v>
      </c>
      <c r="L305" s="410">
        <f t="shared" si="242"/>
        <v>0</v>
      </c>
      <c r="M305" s="410">
        <f t="shared" si="278"/>
        <v>0</v>
      </c>
      <c r="N305" s="441">
        <f t="shared" si="278"/>
        <v>0</v>
      </c>
      <c r="O305" s="479">
        <f t="shared" ref="O305" si="284">BN159</f>
        <v>20.243243243243242</v>
      </c>
      <c r="P305" s="615">
        <f t="shared" si="245"/>
        <v>48.536112860037214</v>
      </c>
      <c r="Q305" s="410"/>
      <c r="R305" s="410"/>
      <c r="S305" s="410"/>
      <c r="T305" s="410"/>
      <c r="U305" s="410"/>
      <c r="V305" s="410"/>
      <c r="W305" s="410"/>
      <c r="X305" s="410"/>
      <c r="Y305" s="410"/>
      <c r="Z305" s="410"/>
      <c r="AA305" s="410"/>
      <c r="AB305" s="410"/>
      <c r="AC305" s="410"/>
      <c r="AD305" s="410"/>
      <c r="AE305" s="410"/>
      <c r="AF305" s="410"/>
      <c r="AG305" s="410"/>
      <c r="AH305" s="410"/>
      <c r="AI305" s="410"/>
      <c r="AJ305" s="410"/>
      <c r="AK305" s="410"/>
      <c r="AL305" s="410"/>
      <c r="AM305" s="410"/>
      <c r="AN305" s="410"/>
      <c r="AO305" s="410"/>
      <c r="AP305" s="410"/>
      <c r="AQ305" s="410"/>
      <c r="AR305" s="410"/>
      <c r="AS305" s="410"/>
      <c r="AT305" s="410"/>
      <c r="AU305" s="410"/>
      <c r="AV305" s="410"/>
      <c r="AW305" s="410"/>
      <c r="AX305" s="410"/>
      <c r="AY305" s="410"/>
      <c r="AZ305" s="410"/>
      <c r="BA305" s="410"/>
      <c r="BB305" s="410"/>
      <c r="BC305" s="410"/>
      <c r="BD305" s="410"/>
      <c r="BE305" s="410"/>
      <c r="BF305" s="410"/>
      <c r="BG305" s="410"/>
      <c r="BH305" s="410"/>
      <c r="BI305" s="410"/>
      <c r="BJ305" s="410"/>
      <c r="BK305" s="410"/>
      <c r="BL305" s="410"/>
      <c r="BM305" s="410"/>
      <c r="BN305" s="410"/>
      <c r="BO305" s="410"/>
      <c r="BP305" s="410"/>
      <c r="BQ305" s="410"/>
      <c r="BR305" s="410"/>
      <c r="BS305" s="410"/>
      <c r="BT305" s="410"/>
      <c r="BU305" s="410"/>
      <c r="BV305" s="410"/>
      <c r="BW305" s="410"/>
      <c r="BX305" s="410"/>
      <c r="BY305" s="410"/>
      <c r="BZ305" s="410"/>
      <c r="CA305" s="410"/>
      <c r="CB305" s="410"/>
      <c r="CC305" s="410"/>
      <c r="CD305" s="410"/>
      <c r="CE305" s="410"/>
      <c r="CF305" s="410"/>
      <c r="CG305" s="410"/>
      <c r="CH305" s="410"/>
      <c r="CI305" s="410"/>
      <c r="CJ305" s="410"/>
      <c r="CK305" s="410"/>
      <c r="CL305" s="410"/>
      <c r="CM305" s="410"/>
      <c r="CN305" s="410"/>
      <c r="CO305" s="410"/>
      <c r="CP305" s="410"/>
      <c r="CQ305" s="410"/>
      <c r="CR305" s="410"/>
      <c r="CS305" s="410"/>
      <c r="CT305" s="410"/>
      <c r="CU305" s="410"/>
      <c r="CV305" s="410"/>
      <c r="CW305" s="410"/>
      <c r="CX305" s="410"/>
      <c r="CY305" s="410"/>
      <c r="CZ305" s="410"/>
      <c r="DA305" s="410"/>
      <c r="DB305" s="410"/>
      <c r="DC305" s="410"/>
    </row>
    <row r="306" spans="1:107" s="619" customFormat="1" ht="12" customHeight="1">
      <c r="A306" s="648">
        <v>14</v>
      </c>
      <c r="B306" s="573">
        <f>IFERROR((CK160+CF160)*1000/Klimadaten!O44,0)</f>
        <v>0</v>
      </c>
      <c r="C306" s="630">
        <f>IFERROR((CK228+CF228)*1000/Klimadaten!O44,0)</f>
        <v>0</v>
      </c>
      <c r="D306" s="645">
        <f>IFERROR((CE160+CJ160)*1000/Klimadaten!O44,0)</f>
        <v>0</v>
      </c>
      <c r="E306" s="644">
        <f>IFERROR((CE228+CJ228)*1000/Klimadaten!O44,0)</f>
        <v>0</v>
      </c>
      <c r="F306" s="410"/>
      <c r="G306" s="410"/>
      <c r="H306" s="648">
        <f t="shared" si="238"/>
        <v>14</v>
      </c>
      <c r="I306" s="649">
        <f t="shared" si="239"/>
        <v>1154.9342465753427</v>
      </c>
      <c r="J306" s="410">
        <f t="shared" si="240"/>
        <v>0</v>
      </c>
      <c r="K306" s="573">
        <f t="shared" si="241"/>
        <v>0</v>
      </c>
      <c r="L306" s="410">
        <f t="shared" si="242"/>
        <v>0</v>
      </c>
      <c r="M306" s="410">
        <f t="shared" si="278"/>
        <v>0</v>
      </c>
      <c r="N306" s="441">
        <f t="shared" si="278"/>
        <v>0</v>
      </c>
      <c r="O306" s="479">
        <f t="shared" ref="O306" si="285">BN160</f>
        <v>20.216216216216218</v>
      </c>
      <c r="P306" s="615">
        <f t="shared" si="245"/>
        <v>50.598648872877824</v>
      </c>
      <c r="Q306" s="410"/>
      <c r="R306" s="410"/>
      <c r="S306" s="410"/>
      <c r="T306" s="410"/>
      <c r="U306" s="410"/>
      <c r="V306" s="410"/>
      <c r="W306" s="410"/>
      <c r="X306" s="410"/>
      <c r="Y306" s="410"/>
      <c r="Z306" s="410"/>
      <c r="AA306" s="410"/>
      <c r="AB306" s="410"/>
      <c r="AC306" s="410"/>
      <c r="AD306" s="410"/>
      <c r="AE306" s="410"/>
      <c r="AF306" s="410"/>
      <c r="AG306" s="410"/>
      <c r="AH306" s="410"/>
      <c r="AI306" s="410"/>
      <c r="AJ306" s="410"/>
      <c r="AK306" s="410"/>
      <c r="AL306" s="410"/>
      <c r="AM306" s="410"/>
      <c r="AN306" s="410"/>
      <c r="AO306" s="410"/>
      <c r="AP306" s="410"/>
      <c r="AQ306" s="410"/>
      <c r="AR306" s="410"/>
      <c r="AS306" s="410"/>
      <c r="AT306" s="410"/>
      <c r="AU306" s="410"/>
      <c r="AV306" s="410"/>
      <c r="AW306" s="410"/>
      <c r="AX306" s="410"/>
      <c r="AY306" s="410"/>
      <c r="AZ306" s="410"/>
      <c r="BA306" s="410"/>
      <c r="BB306" s="410"/>
      <c r="BC306" s="410"/>
      <c r="BD306" s="410"/>
      <c r="BE306" s="410"/>
      <c r="BF306" s="410"/>
      <c r="BG306" s="410"/>
      <c r="BH306" s="410"/>
      <c r="BI306" s="410"/>
      <c r="BJ306" s="410"/>
      <c r="BK306" s="410"/>
      <c r="BL306" s="410"/>
      <c r="BM306" s="410"/>
      <c r="BN306" s="410"/>
      <c r="BO306" s="410"/>
      <c r="BP306" s="410"/>
      <c r="BQ306" s="410"/>
      <c r="BR306" s="410"/>
      <c r="BS306" s="410"/>
      <c r="BT306" s="410"/>
      <c r="BU306" s="410"/>
      <c r="BV306" s="410"/>
      <c r="BW306" s="410"/>
      <c r="BX306" s="410"/>
      <c r="BY306" s="410"/>
      <c r="BZ306" s="410"/>
      <c r="CA306" s="410"/>
      <c r="CB306" s="410"/>
      <c r="CC306" s="410"/>
      <c r="CD306" s="410"/>
      <c r="CE306" s="410"/>
      <c r="CF306" s="410"/>
      <c r="CG306" s="410"/>
      <c r="CH306" s="410"/>
      <c r="CI306" s="410"/>
      <c r="CJ306" s="410"/>
      <c r="CK306" s="410"/>
      <c r="CL306" s="410"/>
      <c r="CM306" s="410"/>
      <c r="CN306" s="410"/>
      <c r="CO306" s="410"/>
      <c r="CP306" s="410"/>
      <c r="CQ306" s="410"/>
      <c r="CR306" s="410"/>
      <c r="CS306" s="410"/>
      <c r="CT306" s="410"/>
      <c r="CU306" s="410"/>
      <c r="CV306" s="410"/>
      <c r="CW306" s="410"/>
      <c r="CX306" s="410"/>
      <c r="CY306" s="410"/>
      <c r="CZ306" s="410"/>
      <c r="DA306" s="410"/>
      <c r="DB306" s="410"/>
      <c r="DC306" s="410"/>
    </row>
    <row r="307" spans="1:107" s="619" customFormat="1" ht="12" customHeight="1">
      <c r="A307" s="648">
        <v>15</v>
      </c>
      <c r="B307" s="573">
        <f>IFERROR((CK161+CF161)*1000/Klimadaten!O45,0)</f>
        <v>0</v>
      </c>
      <c r="C307" s="630">
        <f>IFERROR((CK229+CF229)*1000/Klimadaten!O45,0)</f>
        <v>0</v>
      </c>
      <c r="D307" s="645">
        <f>IFERROR((CE161+CJ161)*1000/Klimadaten!O45,0)</f>
        <v>0</v>
      </c>
      <c r="E307" s="644">
        <f>IFERROR((CE229+CJ229)*1000/Klimadaten!O45,0)</f>
        <v>0</v>
      </c>
      <c r="F307" s="410"/>
      <c r="G307" s="410"/>
      <c r="H307" s="648">
        <f t="shared" si="238"/>
        <v>15</v>
      </c>
      <c r="I307" s="649">
        <f t="shared" si="239"/>
        <v>1008.2759295499025</v>
      </c>
      <c r="J307" s="410">
        <f t="shared" si="240"/>
        <v>0</v>
      </c>
      <c r="K307" s="573">
        <f t="shared" si="241"/>
        <v>0</v>
      </c>
      <c r="L307" s="410">
        <f t="shared" si="242"/>
        <v>0</v>
      </c>
      <c r="M307" s="410">
        <f t="shared" si="278"/>
        <v>0</v>
      </c>
      <c r="N307" s="441">
        <f t="shared" si="278"/>
        <v>0</v>
      </c>
      <c r="O307" s="479">
        <f t="shared" ref="O307" si="286">BN161</f>
        <v>20.189189189189189</v>
      </c>
      <c r="P307" s="615">
        <f t="shared" si="245"/>
        <v>53.609850961212537</v>
      </c>
      <c r="Q307" s="410"/>
      <c r="R307" s="410"/>
      <c r="S307" s="410"/>
      <c r="T307" s="410"/>
      <c r="U307" s="410"/>
      <c r="V307" s="410"/>
      <c r="W307" s="410"/>
      <c r="X307" s="410"/>
      <c r="Y307" s="410"/>
      <c r="Z307" s="410"/>
      <c r="AA307" s="410"/>
      <c r="AB307" s="410"/>
      <c r="AC307" s="410"/>
      <c r="AD307" s="410"/>
      <c r="AE307" s="410"/>
      <c r="AF307" s="410"/>
      <c r="AG307" s="410"/>
      <c r="AH307" s="410"/>
      <c r="AI307" s="410"/>
      <c r="AJ307" s="410"/>
      <c r="AK307" s="410"/>
      <c r="AL307" s="410"/>
      <c r="AM307" s="410"/>
      <c r="AN307" s="410"/>
      <c r="AO307" s="410"/>
      <c r="AP307" s="410"/>
      <c r="AQ307" s="410"/>
      <c r="AR307" s="410"/>
      <c r="AS307" s="410"/>
      <c r="AT307" s="410"/>
      <c r="AU307" s="410"/>
      <c r="AV307" s="410"/>
      <c r="AW307" s="410"/>
      <c r="AX307" s="410"/>
      <c r="AY307" s="410"/>
      <c r="AZ307" s="410"/>
      <c r="BA307" s="410"/>
      <c r="BB307" s="410"/>
      <c r="BC307" s="410"/>
      <c r="BD307" s="410"/>
      <c r="BE307" s="410"/>
      <c r="BF307" s="410"/>
      <c r="BG307" s="410"/>
      <c r="BH307" s="410"/>
      <c r="BI307" s="410"/>
      <c r="BJ307" s="410"/>
      <c r="BK307" s="410"/>
      <c r="BL307" s="410"/>
      <c r="BM307" s="410"/>
      <c r="BN307" s="410"/>
      <c r="BO307" s="410"/>
      <c r="BP307" s="410"/>
      <c r="BQ307" s="410"/>
      <c r="BR307" s="410"/>
      <c r="BS307" s="410"/>
      <c r="BT307" s="410"/>
      <c r="BU307" s="410"/>
      <c r="BV307" s="410"/>
      <c r="BW307" s="410"/>
      <c r="BX307" s="410"/>
      <c r="BY307" s="410"/>
      <c r="BZ307" s="410"/>
      <c r="CA307" s="410"/>
      <c r="CB307" s="410"/>
      <c r="CC307" s="410"/>
      <c r="CD307" s="410"/>
      <c r="CE307" s="410"/>
      <c r="CF307" s="410"/>
      <c r="CG307" s="410"/>
      <c r="CH307" s="410"/>
      <c r="CI307" s="410"/>
      <c r="CJ307" s="410"/>
      <c r="CK307" s="410"/>
      <c r="CL307" s="410"/>
      <c r="CM307" s="410"/>
      <c r="CN307" s="410"/>
      <c r="CO307" s="410"/>
      <c r="CP307" s="410"/>
      <c r="CQ307" s="410"/>
      <c r="CR307" s="410"/>
      <c r="CS307" s="410"/>
      <c r="CT307" s="410"/>
      <c r="CU307" s="410"/>
      <c r="CV307" s="410"/>
      <c r="CW307" s="410"/>
      <c r="CX307" s="410"/>
      <c r="CY307" s="410"/>
      <c r="CZ307" s="410"/>
      <c r="DA307" s="410"/>
      <c r="DB307" s="410"/>
      <c r="DC307" s="410"/>
    </row>
    <row r="308" spans="1:107" s="619" customFormat="1" ht="12" customHeight="1">
      <c r="A308" s="648">
        <v>16</v>
      </c>
      <c r="B308" s="573">
        <f>IFERROR((CK162+CF162)*1000/Klimadaten!O46,0)</f>
        <v>0</v>
      </c>
      <c r="C308" s="630">
        <f>IFERROR((CK230+CF230)*1000/Klimadaten!O46,0)</f>
        <v>0</v>
      </c>
      <c r="D308" s="645">
        <f>IFERROR((CE162+CJ162)*1000/Klimadaten!O46,0)</f>
        <v>0</v>
      </c>
      <c r="E308" s="644">
        <f>IFERROR((CE230+CJ230)*1000/Klimadaten!O46,0)</f>
        <v>0</v>
      </c>
      <c r="F308" s="410"/>
      <c r="G308" s="410"/>
      <c r="H308" s="648">
        <f t="shared" si="238"/>
        <v>16</v>
      </c>
      <c r="I308" s="649">
        <f t="shared" si="239"/>
        <v>1191.5988258317027</v>
      </c>
      <c r="J308" s="410">
        <f t="shared" si="240"/>
        <v>0</v>
      </c>
      <c r="K308" s="573">
        <f t="shared" si="241"/>
        <v>0</v>
      </c>
      <c r="L308" s="410">
        <f t="shared" si="242"/>
        <v>0</v>
      </c>
      <c r="M308" s="410">
        <f t="shared" si="278"/>
        <v>0</v>
      </c>
      <c r="N308" s="441">
        <f t="shared" si="278"/>
        <v>0</v>
      </c>
      <c r="O308" s="479">
        <f t="shared" ref="O308" si="287">BN162</f>
        <v>20.162162162162161</v>
      </c>
      <c r="P308" s="615">
        <f t="shared" si="245"/>
        <v>57.849206897048212</v>
      </c>
      <c r="Q308" s="410"/>
      <c r="R308" s="410"/>
      <c r="S308" s="410"/>
      <c r="T308" s="410"/>
      <c r="U308" s="410"/>
      <c r="V308" s="410"/>
      <c r="W308" s="410"/>
      <c r="X308" s="410"/>
      <c r="Y308" s="410"/>
      <c r="Z308" s="410"/>
      <c r="AA308" s="410"/>
      <c r="AB308" s="410"/>
      <c r="AC308" s="410"/>
      <c r="AD308" s="410"/>
      <c r="AE308" s="410"/>
      <c r="AF308" s="410"/>
      <c r="AG308" s="410"/>
      <c r="AH308" s="410"/>
      <c r="AI308" s="410"/>
      <c r="AJ308" s="410"/>
      <c r="AK308" s="410"/>
      <c r="AL308" s="410"/>
      <c r="AM308" s="410"/>
      <c r="AN308" s="410"/>
      <c r="AO308" s="410"/>
      <c r="AP308" s="410"/>
      <c r="AQ308" s="410"/>
      <c r="AR308" s="410"/>
      <c r="AS308" s="410"/>
      <c r="AT308" s="410"/>
      <c r="AU308" s="410"/>
      <c r="AV308" s="410"/>
      <c r="AW308" s="410"/>
      <c r="AX308" s="410"/>
      <c r="AY308" s="410"/>
      <c r="AZ308" s="410"/>
      <c r="BA308" s="410"/>
      <c r="BB308" s="410"/>
      <c r="BC308" s="410"/>
      <c r="BD308" s="410"/>
      <c r="BE308" s="410"/>
      <c r="BF308" s="410"/>
      <c r="BG308" s="410"/>
      <c r="BH308" s="410"/>
      <c r="BI308" s="410"/>
      <c r="BJ308" s="410"/>
      <c r="BK308" s="410"/>
      <c r="BL308" s="410"/>
      <c r="BM308" s="410"/>
      <c r="BN308" s="410"/>
      <c r="BO308" s="410"/>
      <c r="BP308" s="410"/>
      <c r="BQ308" s="410"/>
      <c r="BR308" s="410"/>
      <c r="BS308" s="410"/>
      <c r="BT308" s="410"/>
      <c r="BU308" s="410"/>
      <c r="BV308" s="410"/>
      <c r="BW308" s="410"/>
      <c r="BX308" s="410"/>
      <c r="BY308" s="410"/>
      <c r="BZ308" s="410"/>
      <c r="CA308" s="410"/>
      <c r="CB308" s="410"/>
      <c r="CC308" s="410"/>
      <c r="CD308" s="410"/>
      <c r="CE308" s="410"/>
      <c r="CF308" s="410"/>
      <c r="CG308" s="410"/>
      <c r="CH308" s="410"/>
      <c r="CI308" s="410"/>
      <c r="CJ308" s="410"/>
      <c r="CK308" s="410"/>
      <c r="CL308" s="410"/>
      <c r="CM308" s="410"/>
      <c r="CN308" s="410"/>
      <c r="CO308" s="410"/>
      <c r="CP308" s="410"/>
      <c r="CQ308" s="410"/>
      <c r="CR308" s="410"/>
      <c r="CS308" s="410"/>
      <c r="CT308" s="410"/>
      <c r="CU308" s="410"/>
      <c r="CV308" s="410"/>
      <c r="CW308" s="410"/>
      <c r="CX308" s="410"/>
      <c r="CY308" s="410"/>
      <c r="CZ308" s="410"/>
      <c r="DA308" s="410"/>
      <c r="DB308" s="410"/>
      <c r="DC308" s="410"/>
    </row>
    <row r="309" spans="1:107" s="619" customFormat="1" ht="12" customHeight="1">
      <c r="A309" s="648">
        <v>17</v>
      </c>
      <c r="B309" s="573">
        <f>IFERROR((CK163+CF163)*1000/Klimadaten!O47,0)</f>
        <v>0</v>
      </c>
      <c r="C309" s="630">
        <f>IFERROR((CK231+CF231)*1000/Klimadaten!O47,0)</f>
        <v>0</v>
      </c>
      <c r="D309" s="645">
        <f>IFERROR((CE163+CJ163)*1000/Klimadaten!O47,0)</f>
        <v>0</v>
      </c>
      <c r="E309" s="644">
        <f>IFERROR((CE231+CJ231)*1000/Klimadaten!O47,0)</f>
        <v>0</v>
      </c>
      <c r="F309" s="410"/>
      <c r="G309" s="410"/>
      <c r="H309" s="648">
        <f t="shared" si="238"/>
        <v>17</v>
      </c>
      <c r="I309" s="649">
        <f t="shared" si="239"/>
        <v>1115.2142857142858</v>
      </c>
      <c r="J309" s="410">
        <f t="shared" si="240"/>
        <v>0</v>
      </c>
      <c r="K309" s="573">
        <f t="shared" si="241"/>
        <v>1.4086865929980155E-12</v>
      </c>
      <c r="L309" s="410">
        <f t="shared" si="242"/>
        <v>0</v>
      </c>
      <c r="M309" s="410">
        <f t="shared" si="278"/>
        <v>0</v>
      </c>
      <c r="N309" s="441">
        <f t="shared" si="278"/>
        <v>0</v>
      </c>
      <c r="O309" s="479">
        <f t="shared" ref="O309" si="288">BN163</f>
        <v>20.135135135135137</v>
      </c>
      <c r="P309" s="615">
        <f t="shared" si="245"/>
        <v>60.099235450803882</v>
      </c>
      <c r="Q309" s="410"/>
      <c r="R309" s="410"/>
      <c r="S309" s="410"/>
      <c r="T309" s="410"/>
      <c r="U309" s="410"/>
      <c r="V309" s="410"/>
      <c r="W309" s="410"/>
      <c r="X309" s="410"/>
      <c r="Y309" s="410"/>
      <c r="Z309" s="410"/>
      <c r="AA309" s="410"/>
      <c r="AB309" s="410"/>
      <c r="AC309" s="410"/>
      <c r="AD309" s="410"/>
      <c r="AE309" s="410"/>
      <c r="AF309" s="410"/>
      <c r="AG309" s="410"/>
      <c r="AH309" s="410"/>
      <c r="AI309" s="410"/>
      <c r="AJ309" s="410"/>
      <c r="AK309" s="410"/>
      <c r="AL309" s="410"/>
      <c r="AM309" s="410"/>
      <c r="AN309" s="410"/>
      <c r="AO309" s="410"/>
      <c r="AP309" s="410"/>
      <c r="AQ309" s="410"/>
      <c r="AR309" s="410"/>
      <c r="AS309" s="410"/>
      <c r="AT309" s="410"/>
      <c r="AU309" s="410"/>
      <c r="AV309" s="410"/>
      <c r="AW309" s="410"/>
      <c r="AX309" s="410"/>
      <c r="AY309" s="410"/>
      <c r="AZ309" s="410"/>
      <c r="BA309" s="410"/>
      <c r="BB309" s="410"/>
      <c r="BC309" s="410"/>
      <c r="BD309" s="410"/>
      <c r="BE309" s="410"/>
      <c r="BF309" s="410"/>
      <c r="BG309" s="410"/>
      <c r="BH309" s="410"/>
      <c r="BI309" s="410"/>
      <c r="BJ309" s="410"/>
      <c r="BK309" s="410"/>
      <c r="BL309" s="410"/>
      <c r="BM309" s="410"/>
      <c r="BN309" s="410"/>
      <c r="BO309" s="410"/>
      <c r="BP309" s="410"/>
      <c r="BQ309" s="410"/>
      <c r="BR309" s="410"/>
      <c r="BS309" s="410"/>
      <c r="BT309" s="410"/>
      <c r="BU309" s="410"/>
      <c r="BV309" s="410"/>
      <c r="BW309" s="410"/>
      <c r="BX309" s="410"/>
      <c r="BY309" s="410"/>
      <c r="BZ309" s="410"/>
      <c r="CA309" s="410"/>
      <c r="CB309" s="410"/>
      <c r="CC309" s="410"/>
      <c r="CD309" s="410"/>
      <c r="CE309" s="410"/>
      <c r="CF309" s="410"/>
      <c r="CG309" s="410"/>
      <c r="CH309" s="410"/>
      <c r="CI309" s="410"/>
      <c r="CJ309" s="410"/>
      <c r="CK309" s="410"/>
      <c r="CL309" s="410"/>
      <c r="CM309" s="410"/>
      <c r="CN309" s="410"/>
      <c r="CO309" s="410"/>
      <c r="CP309" s="410"/>
      <c r="CQ309" s="410"/>
      <c r="CR309" s="410"/>
      <c r="CS309" s="410"/>
      <c r="CT309" s="410"/>
      <c r="CU309" s="410"/>
      <c r="CV309" s="410"/>
      <c r="CW309" s="410"/>
      <c r="CX309" s="410"/>
      <c r="CY309" s="410"/>
      <c r="CZ309" s="410"/>
      <c r="DA309" s="410"/>
      <c r="DB309" s="410"/>
      <c r="DC309" s="410"/>
    </row>
    <row r="310" spans="1:107" s="619" customFormat="1" ht="12" customHeight="1">
      <c r="A310" s="648">
        <v>18</v>
      </c>
      <c r="B310" s="573">
        <f>IFERROR((CK164+CF164)*1000/Klimadaten!O48,0)</f>
        <v>0</v>
      </c>
      <c r="C310" s="630">
        <f>IFERROR((CK232+CF232)*1000/Klimadaten!O48,0)</f>
        <v>0</v>
      </c>
      <c r="D310" s="645">
        <f>IFERROR((CE164+CJ164)*1000/Klimadaten!O48,0)</f>
        <v>0</v>
      </c>
      <c r="E310" s="644">
        <f>IFERROR((CE232+CJ232)*1000/Klimadaten!O48,0)</f>
        <v>0</v>
      </c>
      <c r="F310" s="410"/>
      <c r="G310" s="410"/>
      <c r="H310" s="648">
        <f t="shared" si="238"/>
        <v>18</v>
      </c>
      <c r="I310" s="649">
        <f t="shared" si="239"/>
        <v>901.33757338551879</v>
      </c>
      <c r="J310" s="410">
        <f t="shared" si="240"/>
        <v>0</v>
      </c>
      <c r="K310" s="573">
        <f t="shared" si="241"/>
        <v>0</v>
      </c>
      <c r="L310" s="410">
        <f t="shared" si="242"/>
        <v>0</v>
      </c>
      <c r="M310" s="410">
        <f t="shared" si="278"/>
        <v>0</v>
      </c>
      <c r="N310" s="441">
        <f t="shared" si="278"/>
        <v>0</v>
      </c>
      <c r="O310" s="479">
        <f t="shared" ref="O310" si="289">BN164</f>
        <v>20.108108108108109</v>
      </c>
      <c r="P310" s="615">
        <f t="shared" si="245"/>
        <v>60.655518780083959</v>
      </c>
      <c r="Q310" s="410"/>
      <c r="R310" s="410"/>
      <c r="S310" s="410"/>
      <c r="T310" s="410"/>
      <c r="U310" s="410"/>
      <c r="V310" s="410"/>
      <c r="W310" s="410"/>
      <c r="X310" s="410"/>
      <c r="Y310" s="410"/>
      <c r="Z310" s="410"/>
      <c r="AA310" s="410"/>
      <c r="AB310" s="410"/>
      <c r="AC310" s="410"/>
      <c r="AD310" s="410"/>
      <c r="AE310" s="410"/>
      <c r="AF310" s="410"/>
      <c r="AG310" s="410"/>
      <c r="AH310" s="410"/>
      <c r="AI310" s="410"/>
      <c r="AJ310" s="410"/>
      <c r="AK310" s="410"/>
      <c r="AL310" s="410"/>
      <c r="AM310" s="410"/>
      <c r="AN310" s="410"/>
      <c r="AO310" s="410"/>
      <c r="AP310" s="410"/>
      <c r="AQ310" s="410"/>
      <c r="AR310" s="410"/>
      <c r="AS310" s="410"/>
      <c r="AT310" s="410"/>
      <c r="AU310" s="410"/>
      <c r="AV310" s="410"/>
      <c r="AW310" s="410"/>
      <c r="AX310" s="410"/>
      <c r="AY310" s="410"/>
      <c r="AZ310" s="410"/>
      <c r="BA310" s="410"/>
      <c r="BB310" s="410"/>
      <c r="BC310" s="410"/>
      <c r="BD310" s="410"/>
      <c r="BE310" s="410"/>
      <c r="BF310" s="410"/>
      <c r="BG310" s="410"/>
      <c r="BH310" s="410"/>
      <c r="BI310" s="410"/>
      <c r="BJ310" s="410"/>
      <c r="BK310" s="410"/>
      <c r="BL310" s="410"/>
      <c r="BM310" s="410"/>
      <c r="BN310" s="410"/>
      <c r="BO310" s="410"/>
      <c r="BP310" s="410"/>
      <c r="BQ310" s="410"/>
      <c r="BR310" s="410"/>
      <c r="BS310" s="410"/>
      <c r="BT310" s="410"/>
      <c r="BU310" s="410"/>
      <c r="BV310" s="410"/>
      <c r="BW310" s="410"/>
      <c r="BX310" s="410"/>
      <c r="BY310" s="410"/>
      <c r="BZ310" s="410"/>
      <c r="CA310" s="410"/>
      <c r="CB310" s="410"/>
      <c r="CC310" s="410"/>
      <c r="CD310" s="410"/>
      <c r="CE310" s="410"/>
      <c r="CF310" s="410"/>
      <c r="CG310" s="410"/>
      <c r="CH310" s="410"/>
      <c r="CI310" s="410"/>
      <c r="CJ310" s="410"/>
      <c r="CK310" s="410"/>
      <c r="CL310" s="410"/>
      <c r="CM310" s="410"/>
      <c r="CN310" s="410"/>
      <c r="CO310" s="410"/>
      <c r="CP310" s="410"/>
      <c r="CQ310" s="410"/>
      <c r="CR310" s="410"/>
      <c r="CS310" s="410"/>
      <c r="CT310" s="410"/>
      <c r="CU310" s="410"/>
      <c r="CV310" s="410"/>
      <c r="CW310" s="410"/>
      <c r="CX310" s="410"/>
      <c r="CY310" s="410"/>
      <c r="CZ310" s="410"/>
      <c r="DA310" s="410"/>
      <c r="DB310" s="410"/>
      <c r="DC310" s="410"/>
    </row>
    <row r="311" spans="1:107" s="619" customFormat="1" ht="12" customHeight="1">
      <c r="A311" s="648">
        <v>19</v>
      </c>
      <c r="B311" s="573">
        <f>IFERROR((CK165+CF165)*1000/Klimadaten!O49,0)</f>
        <v>0</v>
      </c>
      <c r="C311" s="630">
        <f>IFERROR((CK233+CF233)*1000/Klimadaten!O49,0)</f>
        <v>0</v>
      </c>
      <c r="D311" s="645">
        <f>IFERROR((CE165+CJ165)*1000/Klimadaten!O49,0)</f>
        <v>0</v>
      </c>
      <c r="E311" s="644">
        <f>IFERROR((CE233+CJ233)*1000/Klimadaten!O49,0)</f>
        <v>0</v>
      </c>
      <c r="F311" s="410"/>
      <c r="G311" s="410"/>
      <c r="H311" s="648">
        <f t="shared" si="238"/>
        <v>19</v>
      </c>
      <c r="I311" s="649">
        <f t="shared" si="239"/>
        <v>727.18082191780832</v>
      </c>
      <c r="J311" s="410">
        <f t="shared" si="240"/>
        <v>0</v>
      </c>
      <c r="K311" s="573">
        <f t="shared" si="241"/>
        <v>0</v>
      </c>
      <c r="L311" s="410">
        <f t="shared" si="242"/>
        <v>0</v>
      </c>
      <c r="M311" s="410">
        <f t="shared" si="278"/>
        <v>0</v>
      </c>
      <c r="N311" s="441">
        <f t="shared" si="278"/>
        <v>0</v>
      </c>
      <c r="O311" s="479">
        <f t="shared" ref="O311" si="290">BN165</f>
        <v>20.081081081081081</v>
      </c>
      <c r="P311" s="615">
        <f t="shared" si="245"/>
        <v>62.393827539960569</v>
      </c>
      <c r="Q311" s="410"/>
      <c r="R311" s="410"/>
      <c r="S311" s="410"/>
      <c r="T311" s="410"/>
      <c r="U311" s="410"/>
      <c r="V311" s="410"/>
      <c r="W311" s="410"/>
      <c r="X311" s="410"/>
      <c r="Y311" s="410"/>
      <c r="Z311" s="410"/>
      <c r="AA311" s="410"/>
      <c r="AB311" s="410"/>
      <c r="AC311" s="410"/>
      <c r="AD311" s="410"/>
      <c r="AE311" s="410"/>
      <c r="AF311" s="410"/>
      <c r="AG311" s="410"/>
      <c r="AH311" s="410"/>
      <c r="AI311" s="410"/>
      <c r="AJ311" s="410"/>
      <c r="AK311" s="410"/>
      <c r="AL311" s="410"/>
      <c r="AM311" s="410"/>
      <c r="AN311" s="410"/>
      <c r="AO311" s="410"/>
      <c r="AP311" s="410"/>
      <c r="AQ311" s="410"/>
      <c r="AR311" s="410"/>
      <c r="AS311" s="410"/>
      <c r="AT311" s="410"/>
      <c r="AU311" s="410"/>
      <c r="AV311" s="410"/>
      <c r="AW311" s="410"/>
      <c r="AX311" s="410"/>
      <c r="AY311" s="410"/>
      <c r="AZ311" s="410"/>
      <c r="BA311" s="410"/>
      <c r="BB311" s="410"/>
      <c r="BC311" s="410"/>
      <c r="BD311" s="410"/>
      <c r="BE311" s="410"/>
      <c r="BF311" s="410"/>
      <c r="BG311" s="410"/>
      <c r="BH311" s="410"/>
      <c r="BI311" s="410"/>
      <c r="BJ311" s="410"/>
      <c r="BK311" s="410"/>
      <c r="BL311" s="410"/>
      <c r="BM311" s="410"/>
      <c r="BN311" s="410"/>
      <c r="BO311" s="410"/>
      <c r="BP311" s="410"/>
      <c r="BQ311" s="410"/>
      <c r="BR311" s="410"/>
      <c r="BS311" s="410"/>
      <c r="BT311" s="410"/>
      <c r="BU311" s="410"/>
      <c r="BV311" s="410"/>
      <c r="BW311" s="410"/>
      <c r="BX311" s="410"/>
      <c r="BY311" s="410"/>
      <c r="BZ311" s="410"/>
      <c r="CA311" s="410"/>
      <c r="CB311" s="410"/>
      <c r="CC311" s="410"/>
      <c r="CD311" s="410"/>
      <c r="CE311" s="410"/>
      <c r="CF311" s="410"/>
      <c r="CG311" s="410"/>
      <c r="CH311" s="410"/>
      <c r="CI311" s="410"/>
      <c r="CJ311" s="410"/>
      <c r="CK311" s="410"/>
      <c r="CL311" s="410"/>
      <c r="CM311" s="410"/>
      <c r="CN311" s="410"/>
      <c r="CO311" s="410"/>
      <c r="CP311" s="410"/>
      <c r="CQ311" s="410"/>
      <c r="CR311" s="410"/>
      <c r="CS311" s="410"/>
      <c r="CT311" s="410"/>
      <c r="CU311" s="410"/>
      <c r="CV311" s="410"/>
      <c r="CW311" s="410"/>
      <c r="CX311" s="410"/>
      <c r="CY311" s="410"/>
      <c r="CZ311" s="410"/>
      <c r="DA311" s="410"/>
      <c r="DB311" s="410"/>
      <c r="DC311" s="410"/>
    </row>
    <row r="312" spans="1:107" s="619" customFormat="1" ht="12" customHeight="1">
      <c r="A312" s="648">
        <v>20</v>
      </c>
      <c r="B312" s="573">
        <f>IFERROR((CK166+CF166)*1000/Klimadaten!O50,0)</f>
        <v>0</v>
      </c>
      <c r="C312" s="630">
        <f>IFERROR((CK234+CF234)*1000/Klimadaten!O50,0)</f>
        <v>0</v>
      </c>
      <c r="D312" s="645">
        <f>IFERROR((CE166+CJ166)*1000/Klimadaten!O50,0)</f>
        <v>0</v>
      </c>
      <c r="E312" s="644">
        <f>IFERROR((CE234+CJ234)*1000/Klimadaten!O50,0)</f>
        <v>0</v>
      </c>
      <c r="F312" s="410"/>
      <c r="G312" s="410"/>
      <c r="H312" s="648">
        <f t="shared" si="238"/>
        <v>20</v>
      </c>
      <c r="I312" s="649">
        <f t="shared" si="239"/>
        <v>574.41174168297471</v>
      </c>
      <c r="J312" s="410">
        <f t="shared" si="240"/>
        <v>0</v>
      </c>
      <c r="K312" s="573">
        <f t="shared" si="241"/>
        <v>-7.2557008077706014E-13</v>
      </c>
      <c r="L312" s="410">
        <f t="shared" si="242"/>
        <v>0</v>
      </c>
      <c r="M312" s="410">
        <f t="shared" si="278"/>
        <v>0</v>
      </c>
      <c r="N312" s="441">
        <f t="shared" si="278"/>
        <v>0</v>
      </c>
      <c r="O312" s="479">
        <f t="shared" ref="O312" si="291">BN166</f>
        <v>20.054054054054053</v>
      </c>
      <c r="P312" s="615">
        <f t="shared" si="245"/>
        <v>59.051986516414132</v>
      </c>
      <c r="Q312" s="410"/>
      <c r="R312" s="410"/>
      <c r="S312" s="410"/>
      <c r="T312" s="410"/>
      <c r="U312" s="410"/>
      <c r="V312" s="410"/>
      <c r="W312" s="410"/>
      <c r="X312" s="410"/>
      <c r="Y312" s="410"/>
      <c r="Z312" s="410"/>
      <c r="AA312" s="410"/>
      <c r="AB312" s="410"/>
      <c r="AC312" s="410"/>
      <c r="AD312" s="410"/>
      <c r="AE312" s="410"/>
      <c r="AF312" s="410"/>
      <c r="AG312" s="410"/>
      <c r="AH312" s="410"/>
      <c r="AI312" s="410"/>
      <c r="AJ312" s="410"/>
      <c r="AK312" s="410"/>
      <c r="AL312" s="410"/>
      <c r="AM312" s="410"/>
      <c r="AN312" s="410"/>
      <c r="AO312" s="410"/>
      <c r="AP312" s="410"/>
      <c r="AQ312" s="410"/>
      <c r="AR312" s="410"/>
      <c r="AS312" s="410"/>
      <c r="AT312" s="410"/>
      <c r="AU312" s="410"/>
      <c r="AV312" s="410"/>
      <c r="AW312" s="410"/>
      <c r="AX312" s="410"/>
      <c r="AY312" s="410"/>
      <c r="AZ312" s="410"/>
      <c r="BA312" s="410"/>
      <c r="BB312" s="410"/>
      <c r="BC312" s="410"/>
      <c r="BD312" s="410"/>
      <c r="BE312" s="410"/>
      <c r="BF312" s="410"/>
      <c r="BG312" s="410"/>
      <c r="BH312" s="410"/>
      <c r="BI312" s="410"/>
      <c r="BJ312" s="410"/>
      <c r="BK312" s="410"/>
      <c r="BL312" s="410"/>
      <c r="BM312" s="410"/>
      <c r="BN312" s="410"/>
      <c r="BO312" s="410"/>
      <c r="BP312" s="410"/>
      <c r="BQ312" s="410"/>
      <c r="BR312" s="410"/>
      <c r="BS312" s="410"/>
      <c r="BT312" s="410"/>
      <c r="BU312" s="410"/>
      <c r="BV312" s="410"/>
      <c r="BW312" s="410"/>
      <c r="BX312" s="410"/>
      <c r="BY312" s="410"/>
      <c r="BZ312" s="410"/>
      <c r="CA312" s="410"/>
      <c r="CB312" s="410"/>
      <c r="CC312" s="410"/>
      <c r="CD312" s="410"/>
      <c r="CE312" s="410"/>
      <c r="CF312" s="410"/>
      <c r="CG312" s="410"/>
      <c r="CH312" s="410"/>
      <c r="CI312" s="410"/>
      <c r="CJ312" s="410"/>
      <c r="CK312" s="410"/>
      <c r="CL312" s="410"/>
      <c r="CM312" s="410"/>
      <c r="CN312" s="410"/>
      <c r="CO312" s="410"/>
      <c r="CP312" s="410"/>
      <c r="CQ312" s="410"/>
      <c r="CR312" s="410"/>
      <c r="CS312" s="410"/>
      <c r="CT312" s="410"/>
      <c r="CU312" s="410"/>
      <c r="CV312" s="410"/>
      <c r="CW312" s="410"/>
      <c r="CX312" s="410"/>
      <c r="CY312" s="410"/>
      <c r="CZ312" s="410"/>
      <c r="DA312" s="410"/>
      <c r="DB312" s="410"/>
      <c r="DC312" s="410"/>
    </row>
    <row r="313" spans="1:107" s="619" customFormat="1" ht="12" customHeight="1">
      <c r="A313" s="648">
        <v>21</v>
      </c>
      <c r="B313" s="573">
        <f>IFERROR((CK167+CF167)*1000/Klimadaten!O51,0)</f>
        <v>0</v>
      </c>
      <c r="C313" s="630">
        <f>IFERROR((CK235+CF235)*1000/Klimadaten!O51,0)</f>
        <v>0</v>
      </c>
      <c r="D313" s="645">
        <f>IFERROR((CE167+CJ167)*1000/Klimadaten!O51,0)</f>
        <v>0.76799939728624855</v>
      </c>
      <c r="E313" s="644">
        <f>IFERROR((CE235+CJ235)*1000/Klimadaten!O51,0)</f>
        <v>0</v>
      </c>
      <c r="F313" s="410"/>
      <c r="G313" s="410"/>
      <c r="H313" s="648">
        <f t="shared" si="238"/>
        <v>21</v>
      </c>
      <c r="I313" s="649">
        <f t="shared" si="239"/>
        <v>446.08571428571435</v>
      </c>
      <c r="J313" s="410">
        <f t="shared" si="240"/>
        <v>0</v>
      </c>
      <c r="K313" s="573">
        <f t="shared" si="241"/>
        <v>-5.6347463719920612E-13</v>
      </c>
      <c r="L313" s="410">
        <f t="shared" si="242"/>
        <v>112.12791200379229</v>
      </c>
      <c r="M313" s="410">
        <f t="shared" si="278"/>
        <v>0</v>
      </c>
      <c r="N313" s="441">
        <f t="shared" si="278"/>
        <v>0</v>
      </c>
      <c r="O313" s="479">
        <f t="shared" ref="O313" si="292">BN167</f>
        <v>20.027027027027028</v>
      </c>
      <c r="P313" s="615">
        <f t="shared" si="245"/>
        <v>61.864798061354939</v>
      </c>
      <c r="Q313" s="410"/>
      <c r="R313" s="410"/>
      <c r="S313" s="410"/>
      <c r="T313" s="410"/>
      <c r="U313" s="410"/>
      <c r="V313" s="410"/>
      <c r="W313" s="410"/>
      <c r="X313" s="410"/>
      <c r="Y313" s="410"/>
      <c r="Z313" s="410"/>
      <c r="AA313" s="410"/>
      <c r="AB313" s="410"/>
      <c r="AC313" s="410"/>
      <c r="AD313" s="410"/>
      <c r="AE313" s="410"/>
      <c r="AF313" s="410"/>
      <c r="AG313" s="410"/>
      <c r="AH313" s="410"/>
      <c r="AI313" s="410"/>
      <c r="AJ313" s="410"/>
      <c r="AK313" s="410"/>
      <c r="AL313" s="410"/>
      <c r="AM313" s="410"/>
      <c r="AN313" s="410"/>
      <c r="AO313" s="410"/>
      <c r="AP313" s="410"/>
      <c r="AQ313" s="410"/>
      <c r="AR313" s="410"/>
      <c r="AS313" s="410"/>
      <c r="AT313" s="410"/>
      <c r="AU313" s="410"/>
      <c r="AV313" s="410"/>
      <c r="AW313" s="410"/>
      <c r="AX313" s="410"/>
      <c r="AY313" s="410"/>
      <c r="AZ313" s="410"/>
      <c r="BA313" s="410"/>
      <c r="BB313" s="410"/>
      <c r="BC313" s="410"/>
      <c r="BD313" s="410"/>
      <c r="BE313" s="410"/>
      <c r="BF313" s="410"/>
      <c r="BG313" s="410"/>
      <c r="BH313" s="410"/>
      <c r="BI313" s="410"/>
      <c r="BJ313" s="410"/>
      <c r="BK313" s="410"/>
      <c r="BL313" s="410"/>
      <c r="BM313" s="410"/>
      <c r="BN313" s="410"/>
      <c r="BO313" s="410"/>
      <c r="BP313" s="410"/>
      <c r="BQ313" s="410"/>
      <c r="BR313" s="410"/>
      <c r="BS313" s="410"/>
      <c r="BT313" s="410"/>
      <c r="BU313" s="410"/>
      <c r="BV313" s="410"/>
      <c r="BW313" s="410"/>
      <c r="BX313" s="410"/>
      <c r="BY313" s="410"/>
      <c r="BZ313" s="410"/>
      <c r="CA313" s="410"/>
      <c r="CB313" s="410"/>
      <c r="CC313" s="410"/>
      <c r="CD313" s="410"/>
      <c r="CE313" s="410"/>
      <c r="CF313" s="410"/>
      <c r="CG313" s="410"/>
      <c r="CH313" s="410"/>
      <c r="CI313" s="410"/>
      <c r="CJ313" s="410"/>
      <c r="CK313" s="410"/>
      <c r="CL313" s="410"/>
      <c r="CM313" s="410"/>
      <c r="CN313" s="410"/>
      <c r="CO313" s="410"/>
      <c r="CP313" s="410"/>
      <c r="CQ313" s="410"/>
      <c r="CR313" s="410"/>
      <c r="CS313" s="410"/>
      <c r="CT313" s="410"/>
      <c r="CU313" s="410"/>
      <c r="CV313" s="410"/>
      <c r="CW313" s="410"/>
      <c r="CX313" s="410"/>
      <c r="CY313" s="410"/>
      <c r="CZ313" s="410"/>
      <c r="DA313" s="410"/>
      <c r="DB313" s="410"/>
      <c r="DC313" s="410"/>
    </row>
    <row r="314" spans="1:107" s="619" customFormat="1" ht="12" customHeight="1">
      <c r="A314" s="648">
        <v>22</v>
      </c>
      <c r="B314" s="573">
        <f>IFERROR((CK168+CF168)*1000/Klimadaten!O52,0)</f>
        <v>0</v>
      </c>
      <c r="C314" s="630">
        <f>IFERROR((CK236+CF236)*1000/Klimadaten!O52,0)</f>
        <v>0</v>
      </c>
      <c r="D314" s="645">
        <f>IFERROR((CE168+CJ168)*1000/Klimadaten!O52,0)</f>
        <v>1.6264902775744641</v>
      </c>
      <c r="E314" s="644">
        <f>IFERROR((CE236+CJ236)*1000/Klimadaten!O52,0)</f>
        <v>0</v>
      </c>
      <c r="F314" s="410"/>
      <c r="G314" s="410"/>
      <c r="H314" s="648">
        <f t="shared" si="238"/>
        <v>22</v>
      </c>
      <c r="I314" s="649">
        <f t="shared" si="239"/>
        <v>409.42113502935428</v>
      </c>
      <c r="J314" s="410">
        <f t="shared" si="240"/>
        <v>0</v>
      </c>
      <c r="K314" s="573">
        <f t="shared" si="241"/>
        <v>5.1716165331981935E-13</v>
      </c>
      <c r="L314" s="410">
        <f t="shared" si="242"/>
        <v>217.94969719497817</v>
      </c>
      <c r="M314" s="410">
        <f t="shared" si="278"/>
        <v>0</v>
      </c>
      <c r="N314" s="441">
        <f t="shared" si="278"/>
        <v>0</v>
      </c>
      <c r="O314" s="479">
        <f t="shared" ref="O314" si="293">BN168</f>
        <v>20</v>
      </c>
      <c r="P314" s="615">
        <f t="shared" si="245"/>
        <v>64.439391165118252</v>
      </c>
      <c r="Q314" s="410"/>
      <c r="R314" s="410"/>
      <c r="S314" s="410"/>
      <c r="T314" s="410"/>
      <c r="U314" s="410"/>
      <c r="V314" s="410"/>
      <c r="W314" s="410"/>
      <c r="X314" s="410"/>
      <c r="Y314" s="410"/>
      <c r="Z314" s="410"/>
      <c r="AA314" s="410"/>
      <c r="AB314" s="410"/>
      <c r="AC314" s="410"/>
      <c r="AD314" s="410"/>
      <c r="AE314" s="410"/>
      <c r="AF314" s="410"/>
      <c r="AG314" s="410"/>
      <c r="AH314" s="410"/>
      <c r="AI314" s="410"/>
      <c r="AJ314" s="410"/>
      <c r="AK314" s="410"/>
      <c r="AL314" s="410"/>
      <c r="AM314" s="410"/>
      <c r="AN314" s="410"/>
      <c r="AO314" s="410"/>
      <c r="AP314" s="410"/>
      <c r="AQ314" s="410"/>
      <c r="AR314" s="410"/>
      <c r="AS314" s="410"/>
      <c r="AT314" s="410"/>
      <c r="AU314" s="410"/>
      <c r="AV314" s="410"/>
      <c r="AW314" s="410"/>
      <c r="AX314" s="410"/>
      <c r="AY314" s="410"/>
      <c r="AZ314" s="410"/>
      <c r="BA314" s="410"/>
      <c r="BB314" s="410"/>
      <c r="BC314" s="410"/>
      <c r="BD314" s="410"/>
      <c r="BE314" s="410"/>
      <c r="BF314" s="410"/>
      <c r="BG314" s="410"/>
      <c r="BH314" s="410"/>
      <c r="BI314" s="410"/>
      <c r="BJ314" s="410"/>
      <c r="BK314" s="410"/>
      <c r="BL314" s="410"/>
      <c r="BM314" s="410"/>
      <c r="BN314" s="410"/>
      <c r="BO314" s="410"/>
      <c r="BP314" s="410"/>
      <c r="BQ314" s="410"/>
      <c r="BR314" s="410"/>
      <c r="BS314" s="410"/>
      <c r="BT314" s="410"/>
      <c r="BU314" s="410"/>
      <c r="BV314" s="410"/>
      <c r="BW314" s="410"/>
      <c r="BX314" s="410"/>
      <c r="BY314" s="410"/>
      <c r="BZ314" s="410"/>
      <c r="CA314" s="410"/>
      <c r="CB314" s="410"/>
      <c r="CC314" s="410"/>
      <c r="CD314" s="410"/>
      <c r="CE314" s="410"/>
      <c r="CF314" s="410"/>
      <c r="CG314" s="410"/>
      <c r="CH314" s="410"/>
      <c r="CI314" s="410"/>
      <c r="CJ314" s="410"/>
      <c r="CK314" s="410"/>
      <c r="CL314" s="410"/>
      <c r="CM314" s="410"/>
      <c r="CN314" s="410"/>
      <c r="CO314" s="410"/>
      <c r="CP314" s="410"/>
      <c r="CQ314" s="410"/>
      <c r="CR314" s="410"/>
      <c r="CS314" s="410"/>
      <c r="CT314" s="410"/>
      <c r="CU314" s="410"/>
      <c r="CV314" s="410"/>
      <c r="CW314" s="410"/>
      <c r="CX314" s="410"/>
      <c r="CY314" s="410"/>
      <c r="CZ314" s="410"/>
      <c r="DA314" s="410"/>
      <c r="DB314" s="410"/>
      <c r="DC314" s="410"/>
    </row>
    <row r="315" spans="1:107" s="619" customFormat="1" ht="12" customHeight="1">
      <c r="A315" s="648">
        <v>23</v>
      </c>
      <c r="B315" s="573">
        <f>IFERROR((CK169+CF169)*1000/Klimadaten!O53,0)</f>
        <v>0</v>
      </c>
      <c r="C315" s="630">
        <f>IFERROR((CK237+CF237)*1000/Klimadaten!O53,0)</f>
        <v>0</v>
      </c>
      <c r="D315" s="645">
        <f>IFERROR((CE169+CJ169)*1000/Klimadaten!O53,0)</f>
        <v>2.5096575409130661</v>
      </c>
      <c r="E315" s="644">
        <f>IFERROR((CE237+CJ237)*1000/Klimadaten!O53,0)</f>
        <v>0</v>
      </c>
      <c r="F315" s="410"/>
      <c r="G315" s="410"/>
      <c r="H315" s="648">
        <f t="shared" si="238"/>
        <v>23</v>
      </c>
      <c r="I315" s="649">
        <f t="shared" si="239"/>
        <v>348.31350293542079</v>
      </c>
      <c r="J315" s="410">
        <f t="shared" si="240"/>
        <v>0</v>
      </c>
      <c r="K315" s="573">
        <f t="shared" si="241"/>
        <v>0</v>
      </c>
      <c r="L315" s="410">
        <f t="shared" si="242"/>
        <v>286.10095966408954</v>
      </c>
      <c r="M315" s="410">
        <f t="shared" si="278"/>
        <v>0</v>
      </c>
      <c r="N315" s="441">
        <f t="shared" si="278"/>
        <v>0</v>
      </c>
      <c r="O315" s="479">
        <f t="shared" ref="O315" si="294">BN169</f>
        <v>20</v>
      </c>
      <c r="P315" s="615">
        <f t="shared" si="245"/>
        <v>67.081714190136907</v>
      </c>
      <c r="Q315" s="410"/>
      <c r="R315" s="410"/>
      <c r="S315" s="410"/>
      <c r="T315" s="410"/>
      <c r="U315" s="410"/>
      <c r="V315" s="410"/>
      <c r="W315" s="410"/>
      <c r="X315" s="410"/>
      <c r="Y315" s="410"/>
      <c r="Z315" s="410"/>
      <c r="AA315" s="410"/>
      <c r="AB315" s="410"/>
      <c r="AC315" s="410"/>
      <c r="AD315" s="410"/>
      <c r="AE315" s="410"/>
      <c r="AF315" s="410"/>
      <c r="AG315" s="410"/>
      <c r="AH315" s="410"/>
      <c r="AI315" s="410"/>
      <c r="AJ315" s="410"/>
      <c r="AK315" s="410"/>
      <c r="AL315" s="410"/>
      <c r="AM315" s="410"/>
      <c r="AN315" s="410"/>
      <c r="AO315" s="410"/>
      <c r="AP315" s="410"/>
      <c r="AQ315" s="410"/>
      <c r="AR315" s="410"/>
      <c r="AS315" s="410"/>
      <c r="AT315" s="410"/>
      <c r="AU315" s="410"/>
      <c r="AV315" s="410"/>
      <c r="AW315" s="410"/>
      <c r="AX315" s="410"/>
      <c r="AY315" s="410"/>
      <c r="AZ315" s="410"/>
      <c r="BA315" s="410"/>
      <c r="BB315" s="410"/>
      <c r="BC315" s="410"/>
      <c r="BD315" s="410"/>
      <c r="BE315" s="410"/>
      <c r="BF315" s="410"/>
      <c r="BG315" s="410"/>
      <c r="BH315" s="410"/>
      <c r="BI315" s="410"/>
      <c r="BJ315" s="410"/>
      <c r="BK315" s="410"/>
      <c r="BL315" s="410"/>
      <c r="BM315" s="410"/>
      <c r="BN315" s="410"/>
      <c r="BO315" s="410"/>
      <c r="BP315" s="410"/>
      <c r="BQ315" s="410"/>
      <c r="BR315" s="410"/>
      <c r="BS315" s="410"/>
      <c r="BT315" s="410"/>
      <c r="BU315" s="410"/>
      <c r="BV315" s="410"/>
      <c r="BW315" s="410"/>
      <c r="BX315" s="410"/>
      <c r="BY315" s="410"/>
      <c r="BZ315" s="410"/>
      <c r="CA315" s="410"/>
      <c r="CB315" s="410"/>
      <c r="CC315" s="410"/>
      <c r="CD315" s="410"/>
      <c r="CE315" s="410"/>
      <c r="CF315" s="410"/>
      <c r="CG315" s="410"/>
      <c r="CH315" s="410"/>
      <c r="CI315" s="410"/>
      <c r="CJ315" s="410"/>
      <c r="CK315" s="410"/>
      <c r="CL315" s="410"/>
      <c r="CM315" s="410"/>
      <c r="CN315" s="410"/>
      <c r="CO315" s="410"/>
      <c r="CP315" s="410"/>
      <c r="CQ315" s="410"/>
      <c r="CR315" s="410"/>
      <c r="CS315" s="410"/>
      <c r="CT315" s="410"/>
      <c r="CU315" s="410"/>
      <c r="CV315" s="410"/>
      <c r="CW315" s="410"/>
      <c r="CX315" s="410"/>
      <c r="CY315" s="410"/>
      <c r="CZ315" s="410"/>
      <c r="DA315" s="410"/>
      <c r="DB315" s="410"/>
      <c r="DC315" s="410"/>
    </row>
    <row r="316" spans="1:107" s="619" customFormat="1" ht="12" customHeight="1">
      <c r="A316" s="648">
        <v>24</v>
      </c>
      <c r="B316" s="573">
        <f>IFERROR((CK170+CF170)*1000/Klimadaten!O54,0)</f>
        <v>0</v>
      </c>
      <c r="C316" s="630">
        <f>IFERROR((CK238+CF238)*1000/Klimadaten!O54,0)</f>
        <v>0</v>
      </c>
      <c r="D316" s="645">
        <f>IFERROR((CE170+CJ170)*1000/Klimadaten!O54,0)</f>
        <v>3.1421640128282018</v>
      </c>
      <c r="E316" s="644">
        <f>IFERROR((CE238+CJ238)*1000/Klimadaten!O54,0)</f>
        <v>0</v>
      </c>
      <c r="F316" s="410"/>
      <c r="G316" s="410"/>
      <c r="H316" s="648">
        <f t="shared" si="238"/>
        <v>24</v>
      </c>
      <c r="I316" s="649">
        <f t="shared" si="239"/>
        <v>314.70430528375738</v>
      </c>
      <c r="J316" s="410">
        <f t="shared" si="240"/>
        <v>0</v>
      </c>
      <c r="K316" s="573">
        <f t="shared" si="241"/>
        <v>-3.9751977829807005E-13</v>
      </c>
      <c r="L316" s="410">
        <f t="shared" si="242"/>
        <v>323.64289332130477</v>
      </c>
      <c r="M316" s="410">
        <f t="shared" ref="M316:N327" si="295">CE170*1000</f>
        <v>0</v>
      </c>
      <c r="N316" s="441">
        <f t="shared" si="295"/>
        <v>0</v>
      </c>
      <c r="O316" s="479">
        <f t="shared" ref="O316" si="296">BN170</f>
        <v>20</v>
      </c>
      <c r="P316" s="615">
        <f t="shared" si="245"/>
        <v>64.882589897338789</v>
      </c>
      <c r="Q316" s="410"/>
      <c r="R316" s="410"/>
      <c r="S316" s="410"/>
      <c r="T316" s="410"/>
      <c r="U316" s="410"/>
      <c r="V316" s="410"/>
      <c r="W316" s="410"/>
      <c r="X316" s="410"/>
      <c r="Y316" s="410"/>
      <c r="Z316" s="410"/>
      <c r="AA316" s="410"/>
      <c r="AB316" s="410"/>
      <c r="AC316" s="410"/>
      <c r="AD316" s="410"/>
      <c r="AE316" s="410"/>
      <c r="AF316" s="410"/>
      <c r="AG316" s="410"/>
      <c r="AH316" s="410"/>
      <c r="AI316" s="410"/>
      <c r="AJ316" s="410"/>
      <c r="AK316" s="410"/>
      <c r="AL316" s="410"/>
      <c r="AM316" s="410"/>
      <c r="AN316" s="410"/>
      <c r="AO316" s="410"/>
      <c r="AP316" s="410"/>
      <c r="AQ316" s="410"/>
      <c r="AR316" s="410"/>
      <c r="AS316" s="410"/>
      <c r="AT316" s="410"/>
      <c r="AU316" s="410"/>
      <c r="AV316" s="410"/>
      <c r="AW316" s="410"/>
      <c r="AX316" s="410"/>
      <c r="AY316" s="410"/>
      <c r="AZ316" s="410"/>
      <c r="BA316" s="410"/>
      <c r="BB316" s="410"/>
      <c r="BC316" s="410"/>
      <c r="BD316" s="410"/>
      <c r="BE316" s="410"/>
      <c r="BF316" s="410"/>
      <c r="BG316" s="410"/>
      <c r="BH316" s="410"/>
      <c r="BI316" s="410"/>
      <c r="BJ316" s="410"/>
      <c r="BK316" s="410"/>
      <c r="BL316" s="410"/>
      <c r="BM316" s="410"/>
      <c r="BN316" s="410"/>
      <c r="BO316" s="410"/>
      <c r="BP316" s="410"/>
      <c r="BQ316" s="410"/>
      <c r="BR316" s="410"/>
      <c r="BS316" s="410"/>
      <c r="BT316" s="410"/>
      <c r="BU316" s="410"/>
      <c r="BV316" s="410"/>
      <c r="BW316" s="410"/>
      <c r="BX316" s="410"/>
      <c r="BY316" s="410"/>
      <c r="BZ316" s="410"/>
      <c r="CA316" s="410"/>
      <c r="CB316" s="410"/>
      <c r="CC316" s="410"/>
      <c r="CD316" s="410"/>
      <c r="CE316" s="410"/>
      <c r="CF316" s="410"/>
      <c r="CG316" s="410"/>
      <c r="CH316" s="410"/>
      <c r="CI316" s="410"/>
      <c r="CJ316" s="410"/>
      <c r="CK316" s="410"/>
      <c r="CL316" s="410"/>
      <c r="CM316" s="410"/>
      <c r="CN316" s="410"/>
      <c r="CO316" s="410"/>
      <c r="CP316" s="410"/>
      <c r="CQ316" s="410"/>
      <c r="CR316" s="410"/>
      <c r="CS316" s="410"/>
      <c r="CT316" s="410"/>
      <c r="CU316" s="410"/>
      <c r="CV316" s="410"/>
      <c r="CW316" s="410"/>
      <c r="CX316" s="410"/>
      <c r="CY316" s="410"/>
      <c r="CZ316" s="410"/>
      <c r="DA316" s="410"/>
      <c r="DB316" s="410"/>
      <c r="DC316" s="410"/>
    </row>
    <row r="317" spans="1:107" s="619" customFormat="1" ht="12" customHeight="1">
      <c r="A317" s="648">
        <v>25</v>
      </c>
      <c r="B317" s="573">
        <f>IFERROR((CK171+CF171)*1000/Klimadaten!O55,0)</f>
        <v>0</v>
      </c>
      <c r="C317" s="630">
        <f>IFERROR((CK239+CF239)*1000/Klimadaten!O55,0)</f>
        <v>0</v>
      </c>
      <c r="D317" s="645">
        <f>IFERROR((CE171+CJ171)*1000/Klimadaten!O55,0)</f>
        <v>4.095091731677833</v>
      </c>
      <c r="E317" s="644">
        <f>IFERROR((CE239+CJ239)*1000/Klimadaten!O55,0)</f>
        <v>0</v>
      </c>
      <c r="F317" s="410"/>
      <c r="G317" s="410"/>
      <c r="H317" s="648">
        <f t="shared" si="238"/>
        <v>25</v>
      </c>
      <c r="I317" s="649">
        <f t="shared" si="239"/>
        <v>140.54755381604699</v>
      </c>
      <c r="J317" s="410">
        <f t="shared" si="240"/>
        <v>0</v>
      </c>
      <c r="K317" s="573">
        <f t="shared" si="241"/>
        <v>3.5506620974196558E-13</v>
      </c>
      <c r="L317" s="410">
        <f t="shared" si="242"/>
        <v>188.37421965718033</v>
      </c>
      <c r="M317" s="410">
        <f t="shared" si="295"/>
        <v>0</v>
      </c>
      <c r="N317" s="441">
        <f t="shared" si="295"/>
        <v>0</v>
      </c>
      <c r="O317" s="479">
        <f t="shared" ref="O317" si="297">BN171</f>
        <v>20</v>
      </c>
      <c r="P317" s="615">
        <f t="shared" si="245"/>
        <v>68.341317880181435</v>
      </c>
      <c r="Q317" s="410"/>
      <c r="R317" s="410"/>
      <c r="S317" s="410"/>
      <c r="T317" s="410"/>
      <c r="U317" s="410"/>
      <c r="V317" s="410"/>
      <c r="W317" s="410"/>
      <c r="X317" s="410"/>
      <c r="Y317" s="410"/>
      <c r="Z317" s="410"/>
      <c r="AA317" s="410"/>
      <c r="AB317" s="410"/>
      <c r="AC317" s="410"/>
      <c r="AD317" s="410"/>
      <c r="AE317" s="410"/>
      <c r="AF317" s="410"/>
      <c r="AG317" s="410"/>
      <c r="AH317" s="410"/>
      <c r="AI317" s="410"/>
      <c r="AJ317" s="410"/>
      <c r="AK317" s="410"/>
      <c r="AL317" s="410"/>
      <c r="AM317" s="410"/>
      <c r="AN317" s="410"/>
      <c r="AO317" s="410"/>
      <c r="AP317" s="410"/>
      <c r="AQ317" s="410"/>
      <c r="AR317" s="410"/>
      <c r="AS317" s="410"/>
      <c r="AT317" s="410"/>
      <c r="AU317" s="410"/>
      <c r="AV317" s="410"/>
      <c r="AW317" s="410"/>
      <c r="AX317" s="410"/>
      <c r="AY317" s="410"/>
      <c r="AZ317" s="410"/>
      <c r="BA317" s="410"/>
      <c r="BB317" s="410"/>
      <c r="BC317" s="410"/>
      <c r="BD317" s="410"/>
      <c r="BE317" s="410"/>
      <c r="BF317" s="410"/>
      <c r="BG317" s="410"/>
      <c r="BH317" s="410"/>
      <c r="BI317" s="410"/>
      <c r="BJ317" s="410"/>
      <c r="BK317" s="410"/>
      <c r="BL317" s="410"/>
      <c r="BM317" s="410"/>
      <c r="BN317" s="410"/>
      <c r="BO317" s="410"/>
      <c r="BP317" s="410"/>
      <c r="BQ317" s="410"/>
      <c r="BR317" s="410"/>
      <c r="BS317" s="410"/>
      <c r="BT317" s="410"/>
      <c r="BU317" s="410"/>
      <c r="BV317" s="410"/>
      <c r="BW317" s="410"/>
      <c r="BX317" s="410"/>
      <c r="BY317" s="410"/>
      <c r="BZ317" s="410"/>
      <c r="CA317" s="410"/>
      <c r="CB317" s="410"/>
      <c r="CC317" s="410"/>
      <c r="CD317" s="410"/>
      <c r="CE317" s="410"/>
      <c r="CF317" s="410"/>
      <c r="CG317" s="410"/>
      <c r="CH317" s="410"/>
      <c r="CI317" s="410"/>
      <c r="CJ317" s="410"/>
      <c r="CK317" s="410"/>
      <c r="CL317" s="410"/>
      <c r="CM317" s="410"/>
      <c r="CN317" s="410"/>
      <c r="CO317" s="410"/>
      <c r="CP317" s="410"/>
      <c r="CQ317" s="410"/>
      <c r="CR317" s="410"/>
      <c r="CS317" s="410"/>
      <c r="CT317" s="410"/>
      <c r="CU317" s="410"/>
      <c r="CV317" s="410"/>
      <c r="CW317" s="410"/>
      <c r="CX317" s="410"/>
      <c r="CY317" s="410"/>
      <c r="CZ317" s="410"/>
      <c r="DA317" s="410"/>
      <c r="DB317" s="410"/>
      <c r="DC317" s="410"/>
    </row>
    <row r="318" spans="1:107" s="619" customFormat="1" ht="12" customHeight="1">
      <c r="A318" s="648">
        <v>26</v>
      </c>
      <c r="B318" s="573">
        <f>IFERROR((CK172+CF172)*1000/Klimadaten!O56,0)</f>
        <v>0</v>
      </c>
      <c r="C318" s="630">
        <f>IFERROR((CK240+CF240)*1000/Klimadaten!O56,0)</f>
        <v>0</v>
      </c>
      <c r="D318" s="645">
        <f>IFERROR((CE172+CJ172)*1000/Klimadaten!O56,0)</f>
        <v>4.2121725455332113</v>
      </c>
      <c r="E318" s="644">
        <f>IFERROR((CE240+CJ240)*1000/Klimadaten!O56,0)</f>
        <v>0</v>
      </c>
      <c r="F318" s="410"/>
      <c r="G318" s="410"/>
      <c r="H318" s="648">
        <f t="shared" si="238"/>
        <v>26</v>
      </c>
      <c r="I318" s="649">
        <f t="shared" si="239"/>
        <v>143.60293542074368</v>
      </c>
      <c r="J318" s="410">
        <f t="shared" si="240"/>
        <v>0</v>
      </c>
      <c r="K318" s="573">
        <f t="shared" si="241"/>
        <v>0</v>
      </c>
      <c r="L318" s="410">
        <f t="shared" si="242"/>
        <v>197.97210964006095</v>
      </c>
      <c r="M318" s="410">
        <f t="shared" si="295"/>
        <v>0</v>
      </c>
      <c r="N318" s="441">
        <f t="shared" si="295"/>
        <v>0</v>
      </c>
      <c r="O318" s="479">
        <f t="shared" ref="O318" si="298">BN172</f>
        <v>20</v>
      </c>
      <c r="P318" s="615">
        <f t="shared" si="245"/>
        <v>67.920100442423504</v>
      </c>
      <c r="Q318" s="410"/>
      <c r="R318" s="410"/>
      <c r="S318" s="410"/>
      <c r="T318" s="410"/>
      <c r="U318" s="410"/>
      <c r="V318" s="410"/>
      <c r="W318" s="410"/>
      <c r="X318" s="410"/>
      <c r="Y318" s="410"/>
      <c r="Z318" s="410"/>
      <c r="AA318" s="410"/>
      <c r="AB318" s="410"/>
      <c r="AC318" s="410"/>
      <c r="AD318" s="410"/>
      <c r="AE318" s="410"/>
      <c r="AF318" s="410"/>
      <c r="AG318" s="410"/>
      <c r="AH318" s="410"/>
      <c r="AI318" s="410"/>
      <c r="AJ318" s="410"/>
      <c r="AK318" s="410"/>
      <c r="AL318" s="410"/>
      <c r="AM318" s="410"/>
      <c r="AN318" s="410"/>
      <c r="AO318" s="410"/>
      <c r="AP318" s="410"/>
      <c r="AQ318" s="410"/>
      <c r="AR318" s="410"/>
      <c r="AS318" s="410"/>
      <c r="AT318" s="410"/>
      <c r="AU318" s="410"/>
      <c r="AV318" s="410"/>
      <c r="AW318" s="410"/>
      <c r="AX318" s="410"/>
      <c r="AY318" s="410"/>
      <c r="AZ318" s="410"/>
      <c r="BA318" s="410"/>
      <c r="BB318" s="410"/>
      <c r="BC318" s="410"/>
      <c r="BD318" s="410"/>
      <c r="BE318" s="410"/>
      <c r="BF318" s="410"/>
      <c r="BG318" s="410"/>
      <c r="BH318" s="410"/>
      <c r="BI318" s="410"/>
      <c r="BJ318" s="410"/>
      <c r="BK318" s="410"/>
      <c r="BL318" s="410"/>
      <c r="BM318" s="410"/>
      <c r="BN318" s="410"/>
      <c r="BO318" s="410"/>
      <c r="BP318" s="410"/>
      <c r="BQ318" s="410"/>
      <c r="BR318" s="410"/>
      <c r="BS318" s="410"/>
      <c r="BT318" s="410"/>
      <c r="BU318" s="410"/>
      <c r="BV318" s="410"/>
      <c r="BW318" s="410"/>
      <c r="BX318" s="410"/>
      <c r="BY318" s="410"/>
      <c r="BZ318" s="410"/>
      <c r="CA318" s="410"/>
      <c r="CB318" s="410"/>
      <c r="CC318" s="410"/>
      <c r="CD318" s="410"/>
      <c r="CE318" s="410"/>
      <c r="CF318" s="410"/>
      <c r="CG318" s="410"/>
      <c r="CH318" s="410"/>
      <c r="CI318" s="410"/>
      <c r="CJ318" s="410"/>
      <c r="CK318" s="410"/>
      <c r="CL318" s="410"/>
      <c r="CM318" s="410"/>
      <c r="CN318" s="410"/>
      <c r="CO318" s="410"/>
      <c r="CP318" s="410"/>
      <c r="CQ318" s="410"/>
      <c r="CR318" s="410"/>
      <c r="CS318" s="410"/>
      <c r="CT318" s="410"/>
      <c r="CU318" s="410"/>
      <c r="CV318" s="410"/>
      <c r="CW318" s="410"/>
      <c r="CX318" s="410"/>
      <c r="CY318" s="410"/>
      <c r="CZ318" s="410"/>
      <c r="DA318" s="410"/>
      <c r="DB318" s="410"/>
      <c r="DC318" s="410"/>
    </row>
    <row r="319" spans="1:107" s="619" customFormat="1" ht="12" customHeight="1">
      <c r="A319" s="648">
        <v>27</v>
      </c>
      <c r="B319" s="573">
        <f>IFERROR((CK173+CF173)*1000/Klimadaten!O57,0)</f>
        <v>0</v>
      </c>
      <c r="C319" s="630">
        <f>IFERROR((CK241+CF241)*1000/Klimadaten!O57,0)</f>
        <v>0</v>
      </c>
      <c r="D319" s="645">
        <f>IFERROR((CE173+CJ173)*1000/Klimadaten!O57,0)</f>
        <v>4.3291987034319392</v>
      </c>
      <c r="E319" s="644">
        <f>IFERROR((CE241+CJ241)*1000/Klimadaten!O57,0)</f>
        <v>0</v>
      </c>
      <c r="F319" s="410"/>
      <c r="G319" s="410"/>
      <c r="H319" s="648">
        <f t="shared" si="238"/>
        <v>27</v>
      </c>
      <c r="I319" s="649">
        <f t="shared" si="239"/>
        <v>88.606066536203542</v>
      </c>
      <c r="J319" s="410">
        <f t="shared" si="240"/>
        <v>0</v>
      </c>
      <c r="K319" s="573">
        <f t="shared" si="241"/>
        <v>0</v>
      </c>
      <c r="L319" s="410">
        <f t="shared" si="242"/>
        <v>125.54676239952623</v>
      </c>
      <c r="M319" s="410">
        <f t="shared" si="295"/>
        <v>0</v>
      </c>
      <c r="N319" s="441">
        <f t="shared" si="295"/>
        <v>0</v>
      </c>
      <c r="O319" s="479">
        <f t="shared" ref="O319" si="299">BN173</f>
        <v>20</v>
      </c>
      <c r="P319" s="615">
        <f t="shared" si="245"/>
        <v>67.531261759641239</v>
      </c>
      <c r="Q319" s="410"/>
      <c r="R319" s="410"/>
      <c r="S319" s="410"/>
      <c r="T319" s="410"/>
      <c r="U319" s="410"/>
      <c r="V319" s="410"/>
      <c r="W319" s="410"/>
      <c r="X319" s="410"/>
      <c r="Y319" s="410"/>
      <c r="Z319" s="410"/>
      <c r="AA319" s="410"/>
      <c r="AB319" s="410"/>
      <c r="AC319" s="410"/>
      <c r="AD319" s="410"/>
      <c r="AE319" s="410"/>
      <c r="AF319" s="410"/>
      <c r="AG319" s="410"/>
      <c r="AH319" s="410"/>
      <c r="AI319" s="410"/>
      <c r="AJ319" s="410"/>
      <c r="AK319" s="410"/>
      <c r="AL319" s="410"/>
      <c r="AM319" s="410"/>
      <c r="AN319" s="410"/>
      <c r="AO319" s="410"/>
      <c r="AP319" s="410"/>
      <c r="AQ319" s="410"/>
      <c r="AR319" s="410"/>
      <c r="AS319" s="410"/>
      <c r="AT319" s="410"/>
      <c r="AU319" s="410"/>
      <c r="AV319" s="410"/>
      <c r="AW319" s="410"/>
      <c r="AX319" s="410"/>
      <c r="AY319" s="410"/>
      <c r="AZ319" s="410"/>
      <c r="BA319" s="410"/>
      <c r="BB319" s="410"/>
      <c r="BC319" s="410"/>
      <c r="BD319" s="410"/>
      <c r="BE319" s="410"/>
      <c r="BF319" s="410"/>
      <c r="BG319" s="410"/>
      <c r="BH319" s="410"/>
      <c r="BI319" s="410"/>
      <c r="BJ319" s="410"/>
      <c r="BK319" s="410"/>
      <c r="BL319" s="410"/>
      <c r="BM319" s="410"/>
      <c r="BN319" s="410"/>
      <c r="BO319" s="410"/>
      <c r="BP319" s="410"/>
      <c r="BQ319" s="410"/>
      <c r="BR319" s="410"/>
      <c r="BS319" s="410"/>
      <c r="BT319" s="410"/>
      <c r="BU319" s="410"/>
      <c r="BV319" s="410"/>
      <c r="BW319" s="410"/>
      <c r="BX319" s="410"/>
      <c r="BY319" s="410"/>
      <c r="BZ319" s="410"/>
      <c r="CA319" s="410"/>
      <c r="CB319" s="410"/>
      <c r="CC319" s="410"/>
      <c r="CD319" s="410"/>
      <c r="CE319" s="410"/>
      <c r="CF319" s="410"/>
      <c r="CG319" s="410"/>
      <c r="CH319" s="410"/>
      <c r="CI319" s="410"/>
      <c r="CJ319" s="410"/>
      <c r="CK319" s="410"/>
      <c r="CL319" s="410"/>
      <c r="CM319" s="410"/>
      <c r="CN319" s="410"/>
      <c r="CO319" s="410"/>
      <c r="CP319" s="410"/>
      <c r="CQ319" s="410"/>
      <c r="CR319" s="410"/>
      <c r="CS319" s="410"/>
      <c r="CT319" s="410"/>
      <c r="CU319" s="410"/>
      <c r="CV319" s="410"/>
      <c r="CW319" s="410"/>
      <c r="CX319" s="410"/>
      <c r="CY319" s="410"/>
      <c r="CZ319" s="410"/>
      <c r="DA319" s="410"/>
      <c r="DB319" s="410"/>
      <c r="DC319" s="410"/>
    </row>
    <row r="320" spans="1:107" s="619" customFormat="1" ht="12" customHeight="1">
      <c r="A320" s="648">
        <v>28</v>
      </c>
      <c r="B320" s="573">
        <f>IFERROR((CK174+CF174)*1000/Klimadaten!O58,0)</f>
        <v>0</v>
      </c>
      <c r="C320" s="630">
        <f>IFERROR((CK242+CF242)*1000/Klimadaten!O58,0)</f>
        <v>0</v>
      </c>
      <c r="D320" s="645">
        <f>IFERROR((CE174+CJ174)*1000/Klimadaten!O58,0)</f>
        <v>4.2707424469450128</v>
      </c>
      <c r="E320" s="644">
        <f>IFERROR((CE242+CJ242)*1000/Klimadaten!O58,0)</f>
        <v>0</v>
      </c>
      <c r="F320" s="410"/>
      <c r="G320" s="410"/>
      <c r="H320" s="648">
        <f t="shared" si="238"/>
        <v>28</v>
      </c>
      <c r="I320" s="649">
        <f t="shared" si="239"/>
        <v>73.32915851272017</v>
      </c>
      <c r="J320" s="410">
        <f t="shared" si="240"/>
        <v>0</v>
      </c>
      <c r="K320" s="573">
        <f t="shared" si="241"/>
        <v>1.8525193551754723E-13</v>
      </c>
      <c r="L320" s="410">
        <f t="shared" si="242"/>
        <v>102.49781872668031</v>
      </c>
      <c r="M320" s="410">
        <f t="shared" si="295"/>
        <v>0</v>
      </c>
      <c r="N320" s="441">
        <f t="shared" si="295"/>
        <v>0</v>
      </c>
      <c r="O320" s="479">
        <f t="shared" ref="O320" si="300">BN174</f>
        <v>20</v>
      </c>
      <c r="P320" s="615">
        <f t="shared" si="245"/>
        <v>64.819095526462647</v>
      </c>
      <c r="Q320" s="410"/>
      <c r="R320" s="410"/>
      <c r="S320" s="410"/>
      <c r="T320" s="410"/>
      <c r="U320" s="410"/>
      <c r="V320" s="410"/>
      <c r="W320" s="410"/>
      <c r="X320" s="410"/>
      <c r="Y320" s="410"/>
      <c r="Z320" s="410"/>
      <c r="AA320" s="410"/>
      <c r="AB320" s="410"/>
      <c r="AC320" s="410"/>
      <c r="AD320" s="410"/>
      <c r="AE320" s="410"/>
      <c r="AF320" s="410"/>
      <c r="AG320" s="410"/>
      <c r="AH320" s="410"/>
      <c r="AI320" s="410"/>
      <c r="AJ320" s="410"/>
      <c r="AK320" s="410"/>
      <c r="AL320" s="410"/>
      <c r="AM320" s="410"/>
      <c r="AN320" s="410"/>
      <c r="AO320" s="410"/>
      <c r="AP320" s="410"/>
      <c r="AQ320" s="410"/>
      <c r="AR320" s="410"/>
      <c r="AS320" s="410"/>
      <c r="AT320" s="410"/>
      <c r="AU320" s="410"/>
      <c r="AV320" s="410"/>
      <c r="AW320" s="410"/>
      <c r="AX320" s="410"/>
      <c r="AY320" s="410"/>
      <c r="AZ320" s="410"/>
      <c r="BA320" s="410"/>
      <c r="BB320" s="410"/>
      <c r="BC320" s="410"/>
      <c r="BD320" s="410"/>
      <c r="BE320" s="410"/>
      <c r="BF320" s="410"/>
      <c r="BG320" s="410"/>
      <c r="BH320" s="410"/>
      <c r="BI320" s="410"/>
      <c r="BJ320" s="410"/>
      <c r="BK320" s="410"/>
      <c r="BL320" s="410"/>
      <c r="BM320" s="410"/>
      <c r="BN320" s="410"/>
      <c r="BO320" s="410"/>
      <c r="BP320" s="410"/>
      <c r="BQ320" s="410"/>
      <c r="BR320" s="410"/>
      <c r="BS320" s="410"/>
      <c r="BT320" s="410"/>
      <c r="BU320" s="410"/>
      <c r="BV320" s="410"/>
      <c r="BW320" s="410"/>
      <c r="BX320" s="410"/>
      <c r="BY320" s="410"/>
      <c r="BZ320" s="410"/>
      <c r="CA320" s="410"/>
      <c r="CB320" s="410"/>
      <c r="CC320" s="410"/>
      <c r="CD320" s="410"/>
      <c r="CE320" s="410"/>
      <c r="CF320" s="410"/>
      <c r="CG320" s="410"/>
      <c r="CH320" s="410"/>
      <c r="CI320" s="410"/>
      <c r="CJ320" s="410"/>
      <c r="CK320" s="410"/>
      <c r="CL320" s="410"/>
      <c r="CM320" s="410"/>
      <c r="CN320" s="410"/>
      <c r="CO320" s="410"/>
      <c r="CP320" s="410"/>
      <c r="CQ320" s="410"/>
      <c r="CR320" s="410"/>
      <c r="CS320" s="410"/>
      <c r="CT320" s="410"/>
      <c r="CU320" s="410"/>
      <c r="CV320" s="410"/>
      <c r="CW320" s="410"/>
      <c r="CX320" s="410"/>
      <c r="CY320" s="410"/>
      <c r="CZ320" s="410"/>
      <c r="DA320" s="410"/>
      <c r="DB320" s="410"/>
      <c r="DC320" s="410"/>
    </row>
    <row r="321" spans="1:107" s="619" customFormat="1" ht="12" customHeight="1">
      <c r="A321" s="648">
        <v>29</v>
      </c>
      <c r="B321" s="573">
        <f>IFERROR((CK175+CF175)*1000/Klimadaten!O59,0)</f>
        <v>0</v>
      </c>
      <c r="C321" s="630">
        <f>IFERROR((CK243+CF243)*1000/Klimadaten!O59,0)</f>
        <v>0</v>
      </c>
      <c r="D321" s="645">
        <f>IFERROR((CE175+CJ175)*1000/Klimadaten!O59,0)</f>
        <v>4.6471866082421922</v>
      </c>
      <c r="E321" s="644">
        <f>IFERROR((CE243+CJ243)*1000/Klimadaten!O59,0)</f>
        <v>0</v>
      </c>
      <c r="F321" s="410"/>
      <c r="G321" s="410"/>
      <c r="H321" s="648">
        <f t="shared" si="238"/>
        <v>29</v>
      </c>
      <c r="I321" s="649">
        <f t="shared" si="239"/>
        <v>42.775342465753432</v>
      </c>
      <c r="J321" s="410">
        <f t="shared" si="240"/>
        <v>0</v>
      </c>
      <c r="K321" s="573">
        <f t="shared" si="241"/>
        <v>0</v>
      </c>
      <c r="L321" s="410">
        <f t="shared" si="242"/>
        <v>65.060612515390687</v>
      </c>
      <c r="M321" s="410">
        <f t="shared" si="295"/>
        <v>0</v>
      </c>
      <c r="N321" s="441">
        <f t="shared" si="295"/>
        <v>0</v>
      </c>
      <c r="O321" s="479">
        <f t="shared" ref="O321" si="301">BN175</f>
        <v>20</v>
      </c>
      <c r="P321" s="615">
        <f t="shared" si="245"/>
        <v>67.938203471300568</v>
      </c>
      <c r="Q321" s="410"/>
      <c r="R321" s="410"/>
      <c r="S321" s="410"/>
      <c r="T321" s="410"/>
      <c r="U321" s="410"/>
      <c r="V321" s="410"/>
      <c r="W321" s="410"/>
      <c r="X321" s="410"/>
      <c r="Y321" s="410"/>
      <c r="Z321" s="410"/>
      <c r="AA321" s="410"/>
      <c r="AB321" s="410"/>
      <c r="AC321" s="410"/>
      <c r="AD321" s="410"/>
      <c r="AE321" s="410"/>
      <c r="AF321" s="410"/>
      <c r="AG321" s="410"/>
      <c r="AH321" s="410"/>
      <c r="AI321" s="410"/>
      <c r="AJ321" s="410"/>
      <c r="AK321" s="410"/>
      <c r="AL321" s="410"/>
      <c r="AM321" s="410"/>
      <c r="AN321" s="410"/>
      <c r="AO321" s="410"/>
      <c r="AP321" s="410"/>
      <c r="AQ321" s="410"/>
      <c r="AR321" s="410"/>
      <c r="AS321" s="410"/>
      <c r="AT321" s="410"/>
      <c r="AU321" s="410"/>
      <c r="AV321" s="410"/>
      <c r="AW321" s="410"/>
      <c r="AX321" s="410"/>
      <c r="AY321" s="410"/>
      <c r="AZ321" s="410"/>
      <c r="BA321" s="410"/>
      <c r="BB321" s="410"/>
      <c r="BC321" s="410"/>
      <c r="BD321" s="410"/>
      <c r="BE321" s="410"/>
      <c r="BF321" s="410"/>
      <c r="BG321" s="410"/>
      <c r="BH321" s="410"/>
      <c r="BI321" s="410"/>
      <c r="BJ321" s="410"/>
      <c r="BK321" s="410"/>
      <c r="BL321" s="410"/>
      <c r="BM321" s="410"/>
      <c r="BN321" s="410"/>
      <c r="BO321" s="410"/>
      <c r="BP321" s="410"/>
      <c r="BQ321" s="410"/>
      <c r="BR321" s="410"/>
      <c r="BS321" s="410"/>
      <c r="BT321" s="410"/>
      <c r="BU321" s="410"/>
      <c r="BV321" s="410"/>
      <c r="BW321" s="410"/>
      <c r="BX321" s="410"/>
      <c r="BY321" s="410"/>
      <c r="BZ321" s="410"/>
      <c r="CA321" s="410"/>
      <c r="CB321" s="410"/>
      <c r="CC321" s="410"/>
      <c r="CD321" s="410"/>
      <c r="CE321" s="410"/>
      <c r="CF321" s="410"/>
      <c r="CG321" s="410"/>
      <c r="CH321" s="410"/>
      <c r="CI321" s="410"/>
      <c r="CJ321" s="410"/>
      <c r="CK321" s="410"/>
      <c r="CL321" s="410"/>
      <c r="CM321" s="410"/>
      <c r="CN321" s="410"/>
      <c r="CO321" s="410"/>
      <c r="CP321" s="410"/>
      <c r="CQ321" s="410"/>
      <c r="CR321" s="410"/>
      <c r="CS321" s="410"/>
      <c r="CT321" s="410"/>
      <c r="CU321" s="410"/>
      <c r="CV321" s="410"/>
      <c r="CW321" s="410"/>
      <c r="CX321" s="410"/>
      <c r="CY321" s="410"/>
      <c r="CZ321" s="410"/>
      <c r="DA321" s="410"/>
      <c r="DB321" s="410"/>
      <c r="DC321" s="410"/>
    </row>
    <row r="322" spans="1:107" s="619" customFormat="1" ht="12" customHeight="1">
      <c r="A322" s="648">
        <v>30</v>
      </c>
      <c r="B322" s="573">
        <f>IFERROR((CK176+CF176)*1000/Klimadaten!O60,0)</f>
        <v>0</v>
      </c>
      <c r="C322" s="630">
        <f>IFERROR((CK244+CF244)*1000/Klimadaten!O60,0)</f>
        <v>0</v>
      </c>
      <c r="D322" s="645">
        <f>IFERROR((CE176+CJ176)*1000/Klimadaten!O60,0)</f>
        <v>4.9518295298870108</v>
      </c>
      <c r="E322" s="644">
        <f>IFERROR((CE244+CJ244)*1000/Klimadaten!O60,0)</f>
        <v>0</v>
      </c>
      <c r="F322" s="410"/>
      <c r="G322" s="410"/>
      <c r="H322" s="648">
        <f t="shared" si="238"/>
        <v>30</v>
      </c>
      <c r="I322" s="649">
        <f t="shared" si="239"/>
        <v>48.88610567514678</v>
      </c>
      <c r="J322" s="410">
        <f t="shared" si="240"/>
        <v>0</v>
      </c>
      <c r="K322" s="573">
        <f t="shared" si="241"/>
        <v>0</v>
      </c>
      <c r="L322" s="410">
        <f t="shared" si="242"/>
        <v>79.229272478192172</v>
      </c>
      <c r="M322" s="410">
        <f t="shared" si="295"/>
        <v>0</v>
      </c>
      <c r="N322" s="441">
        <f t="shared" si="295"/>
        <v>0</v>
      </c>
      <c r="O322" s="479">
        <f t="shared" ref="O322" si="302">BN176</f>
        <v>20</v>
      </c>
      <c r="P322" s="615">
        <f t="shared" si="245"/>
        <v>70.00594742577924</v>
      </c>
      <c r="Q322" s="410"/>
      <c r="R322" s="410"/>
      <c r="S322" s="410"/>
      <c r="T322" s="410"/>
      <c r="U322" s="410"/>
      <c r="V322" s="410"/>
      <c r="W322" s="410"/>
      <c r="X322" s="410"/>
      <c r="Y322" s="410"/>
      <c r="Z322" s="410"/>
      <c r="AA322" s="410"/>
      <c r="AB322" s="410"/>
      <c r="AC322" s="410"/>
      <c r="AD322" s="410"/>
      <c r="AE322" s="410"/>
      <c r="AF322" s="410"/>
      <c r="AG322" s="410"/>
      <c r="AH322" s="410"/>
      <c r="AI322" s="410"/>
      <c r="AJ322" s="410"/>
      <c r="AK322" s="410"/>
      <c r="AL322" s="410"/>
      <c r="AM322" s="410"/>
      <c r="AN322" s="410"/>
      <c r="AO322" s="410"/>
      <c r="AP322" s="410"/>
      <c r="AQ322" s="410"/>
      <c r="AR322" s="410"/>
      <c r="AS322" s="410"/>
      <c r="AT322" s="410"/>
      <c r="AU322" s="410"/>
      <c r="AV322" s="410"/>
      <c r="AW322" s="410"/>
      <c r="AX322" s="410"/>
      <c r="AY322" s="410"/>
      <c r="AZ322" s="410"/>
      <c r="BA322" s="410"/>
      <c r="BB322" s="410"/>
      <c r="BC322" s="410"/>
      <c r="BD322" s="410"/>
      <c r="BE322" s="410"/>
      <c r="BF322" s="410"/>
      <c r="BG322" s="410"/>
      <c r="BH322" s="410"/>
      <c r="BI322" s="410"/>
      <c r="BJ322" s="410"/>
      <c r="BK322" s="410"/>
      <c r="BL322" s="410"/>
      <c r="BM322" s="410"/>
      <c r="BN322" s="410"/>
      <c r="BO322" s="410"/>
      <c r="BP322" s="410"/>
      <c r="BQ322" s="410"/>
      <c r="BR322" s="410"/>
      <c r="BS322" s="410"/>
      <c r="BT322" s="410"/>
      <c r="BU322" s="410"/>
      <c r="BV322" s="410"/>
      <c r="BW322" s="410"/>
      <c r="BX322" s="410"/>
      <c r="BY322" s="410"/>
      <c r="BZ322" s="410"/>
      <c r="CA322" s="410"/>
      <c r="CB322" s="410"/>
      <c r="CC322" s="410"/>
      <c r="CD322" s="410"/>
      <c r="CE322" s="410"/>
      <c r="CF322" s="410"/>
      <c r="CG322" s="410"/>
      <c r="CH322" s="410"/>
      <c r="CI322" s="410"/>
      <c r="CJ322" s="410"/>
      <c r="CK322" s="410"/>
      <c r="CL322" s="410"/>
      <c r="CM322" s="410"/>
      <c r="CN322" s="410"/>
      <c r="CO322" s="410"/>
      <c r="CP322" s="410"/>
      <c r="CQ322" s="410"/>
      <c r="CR322" s="410"/>
      <c r="CS322" s="410"/>
      <c r="CT322" s="410"/>
      <c r="CU322" s="410"/>
      <c r="CV322" s="410"/>
      <c r="CW322" s="410"/>
      <c r="CX322" s="410"/>
      <c r="CY322" s="410"/>
      <c r="CZ322" s="410"/>
      <c r="DA322" s="410"/>
      <c r="DB322" s="410"/>
      <c r="DC322" s="410"/>
    </row>
    <row r="323" spans="1:107" s="619" customFormat="1" ht="12" customHeight="1">
      <c r="A323" s="650">
        <v>31</v>
      </c>
      <c r="B323" s="573">
        <f>IFERROR((CK177+CF177)*1000/Klimadaten!O61,0)</f>
        <v>0</v>
      </c>
      <c r="C323" s="630">
        <f>IFERROR((CK245+CF245)*1000/Klimadaten!O61,0)</f>
        <v>0</v>
      </c>
      <c r="D323" s="645">
        <f>IFERROR((CE177+CJ177)*1000/Klimadaten!O61,0)</f>
        <v>5.1099690512621088</v>
      </c>
      <c r="E323" s="644">
        <f>IFERROR((CE245+CJ245)*1000/Klimadaten!O61,0)</f>
        <v>0</v>
      </c>
      <c r="F323" s="410"/>
      <c r="G323" s="410"/>
      <c r="H323" s="648">
        <f t="shared" si="238"/>
        <v>31</v>
      </c>
      <c r="I323" s="649">
        <f t="shared" si="239"/>
        <v>18.332289628180042</v>
      </c>
      <c r="J323" s="410">
        <f t="shared" si="240"/>
        <v>0</v>
      </c>
      <c r="K323" s="573">
        <f t="shared" si="241"/>
        <v>4.6312983879386808E-14</v>
      </c>
      <c r="L323" s="410">
        <f t="shared" si="242"/>
        <v>30.659814307572653</v>
      </c>
      <c r="M323" s="410">
        <f t="shared" si="295"/>
        <v>0</v>
      </c>
      <c r="N323" s="441">
        <f t="shared" si="295"/>
        <v>0</v>
      </c>
      <c r="O323" s="479">
        <f t="shared" ref="O323" si="303">BN177</f>
        <v>20</v>
      </c>
      <c r="P323" s="615">
        <f t="shared" si="245"/>
        <v>70.16102261081744</v>
      </c>
      <c r="Q323" s="410"/>
      <c r="R323" s="410"/>
      <c r="S323" s="410"/>
      <c r="T323" s="410"/>
      <c r="U323" s="410"/>
      <c r="V323" s="410"/>
      <c r="W323" s="410"/>
      <c r="X323" s="410"/>
      <c r="Y323" s="410"/>
      <c r="Z323" s="410"/>
      <c r="AA323" s="410"/>
      <c r="AB323" s="410"/>
      <c r="AC323" s="410"/>
      <c r="AD323" s="410"/>
      <c r="AE323" s="410"/>
      <c r="AF323" s="410"/>
      <c r="AG323" s="410"/>
      <c r="AH323" s="410"/>
      <c r="AI323" s="410"/>
      <c r="AJ323" s="410"/>
      <c r="AK323" s="410"/>
      <c r="AL323" s="410"/>
      <c r="AM323" s="410"/>
      <c r="AN323" s="410"/>
      <c r="AO323" s="410"/>
      <c r="AP323" s="410"/>
      <c r="AQ323" s="410"/>
      <c r="AR323" s="410"/>
      <c r="AS323" s="410"/>
      <c r="AT323" s="410"/>
      <c r="AU323" s="410"/>
      <c r="AV323" s="410"/>
      <c r="AW323" s="410"/>
      <c r="AX323" s="410"/>
      <c r="AY323" s="410"/>
      <c r="AZ323" s="410"/>
      <c r="BA323" s="410"/>
      <c r="BB323" s="410"/>
      <c r="BC323" s="410"/>
      <c r="BD323" s="410"/>
      <c r="BE323" s="410"/>
      <c r="BF323" s="410"/>
      <c r="BG323" s="410"/>
      <c r="BH323" s="410"/>
      <c r="BI323" s="410"/>
      <c r="BJ323" s="410"/>
      <c r="BK323" s="410"/>
      <c r="BL323" s="410"/>
      <c r="BM323" s="410"/>
      <c r="BN323" s="410"/>
      <c r="BO323" s="410"/>
      <c r="BP323" s="410"/>
      <c r="BQ323" s="410"/>
      <c r="BR323" s="410"/>
      <c r="BS323" s="410"/>
      <c r="BT323" s="410"/>
      <c r="BU323" s="410"/>
      <c r="BV323" s="410"/>
      <c r="BW323" s="410"/>
      <c r="BX323" s="410"/>
      <c r="BY323" s="410"/>
      <c r="BZ323" s="410"/>
      <c r="CA323" s="410"/>
      <c r="CB323" s="410"/>
      <c r="CC323" s="410"/>
      <c r="CD323" s="410"/>
      <c r="CE323" s="410"/>
      <c r="CF323" s="410"/>
      <c r="CG323" s="410"/>
      <c r="CH323" s="410"/>
      <c r="CI323" s="410"/>
      <c r="CJ323" s="410"/>
      <c r="CK323" s="410"/>
      <c r="CL323" s="410"/>
      <c r="CM323" s="410"/>
      <c r="CN323" s="410"/>
      <c r="CO323" s="410"/>
      <c r="CP323" s="410"/>
      <c r="CQ323" s="410"/>
      <c r="CR323" s="410"/>
      <c r="CS323" s="410"/>
      <c r="CT323" s="410"/>
      <c r="CU323" s="410"/>
      <c r="CV323" s="410"/>
      <c r="CW323" s="410"/>
      <c r="CX323" s="410"/>
      <c r="CY323" s="410"/>
      <c r="CZ323" s="410"/>
      <c r="DA323" s="410"/>
      <c r="DB323" s="410"/>
      <c r="DC323" s="410"/>
    </row>
    <row r="324" spans="1:107" s="619" customFormat="1" ht="12" customHeight="1">
      <c r="A324" s="650">
        <v>32</v>
      </c>
      <c r="B324" s="573">
        <f>IFERROR((CK178+CF178)*1000/Klimadaten!O62,0)</f>
        <v>0</v>
      </c>
      <c r="C324" s="630">
        <f>IFERROR((CK246+CF246)*1000/Klimadaten!O62,0)</f>
        <v>0</v>
      </c>
      <c r="D324" s="645">
        <f>IFERROR((CE178+CJ178)*1000/Klimadaten!O62,0)</f>
        <v>4.4302050338005881</v>
      </c>
      <c r="E324" s="644">
        <f>IFERROR((CE246+CJ246)*1000/Klimadaten!O62,0)</f>
        <v>0</v>
      </c>
      <c r="F324" s="410"/>
      <c r="G324" s="410"/>
      <c r="H324" s="648">
        <f t="shared" si="238"/>
        <v>32</v>
      </c>
      <c r="I324" s="649">
        <f t="shared" si="239"/>
        <v>6.1107632093933475</v>
      </c>
      <c r="J324" s="410">
        <f t="shared" si="240"/>
        <v>0</v>
      </c>
      <c r="K324" s="573">
        <f t="shared" si="241"/>
        <v>1.5437661293128936E-14</v>
      </c>
      <c r="L324" s="410">
        <f t="shared" si="242"/>
        <v>8.8604100676011761</v>
      </c>
      <c r="M324" s="410">
        <f t="shared" si="295"/>
        <v>0</v>
      </c>
      <c r="N324" s="441">
        <f t="shared" si="295"/>
        <v>0</v>
      </c>
      <c r="O324" s="479">
        <f t="shared" ref="O324" si="304">BN178</f>
        <v>20</v>
      </c>
      <c r="P324" s="615">
        <f t="shared" si="245"/>
        <v>60.01681579620525</v>
      </c>
      <c r="Q324" s="410"/>
      <c r="R324" s="410"/>
      <c r="S324" s="410"/>
      <c r="T324" s="410"/>
      <c r="U324" s="410"/>
      <c r="V324" s="410"/>
      <c r="W324" s="410"/>
      <c r="X324" s="410"/>
      <c r="Y324" s="410"/>
      <c r="Z324" s="410"/>
      <c r="AA324" s="410"/>
      <c r="AB324" s="410"/>
      <c r="AC324" s="410"/>
      <c r="AD324" s="410"/>
      <c r="AE324" s="410"/>
      <c r="AF324" s="410"/>
      <c r="AG324" s="410"/>
      <c r="AH324" s="410"/>
      <c r="AI324" s="410"/>
      <c r="AJ324" s="410"/>
      <c r="AK324" s="410"/>
      <c r="AL324" s="410"/>
      <c r="AM324" s="410"/>
      <c r="AN324" s="410"/>
      <c r="AO324" s="410"/>
      <c r="AP324" s="410"/>
      <c r="AQ324" s="410"/>
      <c r="AR324" s="410"/>
      <c r="AS324" s="410"/>
      <c r="AT324" s="410"/>
      <c r="AU324" s="410"/>
      <c r="AV324" s="410"/>
      <c r="AW324" s="410"/>
      <c r="AX324" s="410"/>
      <c r="AY324" s="410"/>
      <c r="AZ324" s="410"/>
      <c r="BA324" s="410"/>
      <c r="BB324" s="410"/>
      <c r="BC324" s="410"/>
      <c r="BD324" s="410"/>
      <c r="BE324" s="410"/>
      <c r="BF324" s="410"/>
      <c r="BG324" s="410"/>
      <c r="BH324" s="410"/>
      <c r="BI324" s="410"/>
      <c r="BJ324" s="410"/>
      <c r="BK324" s="410"/>
      <c r="BL324" s="410"/>
      <c r="BM324" s="410"/>
      <c r="BN324" s="410"/>
      <c r="BO324" s="410"/>
      <c r="BP324" s="410"/>
      <c r="BQ324" s="410"/>
      <c r="BR324" s="410"/>
      <c r="BS324" s="410"/>
      <c r="BT324" s="410"/>
      <c r="BU324" s="410"/>
      <c r="BV324" s="410"/>
      <c r="BW324" s="410"/>
      <c r="BX324" s="410"/>
      <c r="BY324" s="410"/>
      <c r="BZ324" s="410"/>
      <c r="CA324" s="410"/>
      <c r="CB324" s="410"/>
      <c r="CC324" s="410"/>
      <c r="CD324" s="410"/>
      <c r="CE324" s="410"/>
      <c r="CF324" s="410"/>
      <c r="CG324" s="410"/>
      <c r="CH324" s="410"/>
      <c r="CI324" s="410"/>
      <c r="CJ324" s="410"/>
      <c r="CK324" s="410"/>
      <c r="CL324" s="410"/>
      <c r="CM324" s="410"/>
      <c r="CN324" s="410"/>
      <c r="CO324" s="410"/>
      <c r="CP324" s="410"/>
      <c r="CQ324" s="410"/>
      <c r="CR324" s="410"/>
      <c r="CS324" s="410"/>
      <c r="CT324" s="410"/>
      <c r="CU324" s="410"/>
      <c r="CV324" s="410"/>
      <c r="CW324" s="410"/>
      <c r="CX324" s="410"/>
      <c r="CY324" s="410"/>
      <c r="CZ324" s="410"/>
      <c r="DA324" s="410"/>
      <c r="DB324" s="410"/>
      <c r="DC324" s="410"/>
    </row>
    <row r="325" spans="1:107" s="619" customFormat="1" ht="12" customHeight="1">
      <c r="A325" s="650">
        <v>33</v>
      </c>
      <c r="B325" s="573">
        <f>IFERROR((CK179+CF179)*1000/Klimadaten!O63,0)</f>
        <v>0</v>
      </c>
      <c r="C325" s="630">
        <f>IFERROR((CK247+CF247)*1000/Klimadaten!O63,0)</f>
        <v>0</v>
      </c>
      <c r="D325" s="645">
        <f>IFERROR((CE179+CJ179)*1000/Klimadaten!O63,0)</f>
        <v>4.045740541816909</v>
      </c>
      <c r="E325" s="644">
        <f>IFERROR((CE247+CJ247)*1000/Klimadaten!O63,0)</f>
        <v>0</v>
      </c>
      <c r="F325" s="410"/>
      <c r="G325" s="410"/>
      <c r="H325" s="648">
        <f t="shared" si="238"/>
        <v>33</v>
      </c>
      <c r="I325" s="649">
        <f t="shared" si="239"/>
        <v>9.1661448140900212</v>
      </c>
      <c r="J325" s="410">
        <f t="shared" si="240"/>
        <v>0</v>
      </c>
      <c r="K325" s="573">
        <f t="shared" si="241"/>
        <v>0</v>
      </c>
      <c r="L325" s="410">
        <f t="shared" si="242"/>
        <v>12.137221625450726</v>
      </c>
      <c r="M325" s="410">
        <f t="shared" si="295"/>
        <v>0</v>
      </c>
      <c r="N325" s="441">
        <f t="shared" si="295"/>
        <v>0</v>
      </c>
      <c r="O325" s="479">
        <f t="shared" ref="O325" si="305">BN179</f>
        <v>20</v>
      </c>
      <c r="P325" s="615">
        <f t="shared" si="245"/>
        <v>53.809054822030369</v>
      </c>
      <c r="Q325" s="410"/>
      <c r="R325" s="410"/>
      <c r="S325" s="410"/>
      <c r="T325" s="410"/>
      <c r="U325" s="410"/>
      <c r="V325" s="410"/>
      <c r="W325" s="410"/>
      <c r="X325" s="410"/>
      <c r="Y325" s="410"/>
      <c r="Z325" s="410"/>
      <c r="AA325" s="410"/>
      <c r="AB325" s="410"/>
      <c r="AC325" s="410"/>
      <c r="AD325" s="410"/>
      <c r="AE325" s="410"/>
      <c r="AF325" s="410"/>
      <c r="AG325" s="410"/>
      <c r="AH325" s="410"/>
      <c r="AI325" s="410"/>
      <c r="AJ325" s="410"/>
      <c r="AK325" s="410"/>
      <c r="AL325" s="410"/>
      <c r="AM325" s="410"/>
      <c r="AN325" s="410"/>
      <c r="AO325" s="410"/>
      <c r="AP325" s="410"/>
      <c r="AQ325" s="410"/>
      <c r="AR325" s="410"/>
      <c r="AS325" s="410"/>
      <c r="AT325" s="410"/>
      <c r="AU325" s="410"/>
      <c r="AV325" s="410"/>
      <c r="AW325" s="410"/>
      <c r="AX325" s="410"/>
      <c r="AY325" s="410"/>
      <c r="AZ325" s="410"/>
      <c r="BA325" s="410"/>
      <c r="BB325" s="410"/>
      <c r="BC325" s="410"/>
      <c r="BD325" s="410"/>
      <c r="BE325" s="410"/>
      <c r="BF325" s="410"/>
      <c r="BG325" s="410"/>
      <c r="BH325" s="410"/>
      <c r="BI325" s="410"/>
      <c r="BJ325" s="410"/>
      <c r="BK325" s="410"/>
      <c r="BL325" s="410"/>
      <c r="BM325" s="410"/>
      <c r="BN325" s="410"/>
      <c r="BO325" s="410"/>
      <c r="BP325" s="410"/>
      <c r="BQ325" s="410"/>
      <c r="BR325" s="410"/>
      <c r="BS325" s="410"/>
      <c r="BT325" s="410"/>
      <c r="BU325" s="410"/>
      <c r="BV325" s="410"/>
      <c r="BW325" s="410"/>
      <c r="BX325" s="410"/>
      <c r="BY325" s="410"/>
      <c r="BZ325" s="410"/>
      <c r="CA325" s="410"/>
      <c r="CB325" s="410"/>
      <c r="CC325" s="410"/>
      <c r="CD325" s="410"/>
      <c r="CE325" s="410"/>
      <c r="CF325" s="410"/>
      <c r="CG325" s="410"/>
      <c r="CH325" s="410"/>
      <c r="CI325" s="410"/>
      <c r="CJ325" s="410"/>
      <c r="CK325" s="410"/>
      <c r="CL325" s="410"/>
      <c r="CM325" s="410"/>
      <c r="CN325" s="410"/>
      <c r="CO325" s="410"/>
      <c r="CP325" s="410"/>
      <c r="CQ325" s="410"/>
      <c r="CR325" s="410"/>
      <c r="CS325" s="410"/>
      <c r="CT325" s="410"/>
      <c r="CU325" s="410"/>
      <c r="CV325" s="410"/>
      <c r="CW325" s="410"/>
      <c r="CX325" s="410"/>
      <c r="CY325" s="410"/>
      <c r="CZ325" s="410"/>
      <c r="DA325" s="410"/>
      <c r="DB325" s="410"/>
      <c r="DC325" s="410"/>
    </row>
    <row r="326" spans="1:107" s="619" customFormat="1" ht="12" customHeight="1">
      <c r="A326" s="650">
        <v>34</v>
      </c>
      <c r="B326" s="573">
        <f>IFERROR((CK180+CF180)*1000/Klimadaten!O64,0)</f>
        <v>0</v>
      </c>
      <c r="C326" s="630">
        <f>IFERROR((CK248+CF248)*1000/Klimadaten!O64,0)</f>
        <v>0</v>
      </c>
      <c r="D326" s="645">
        <f>IFERROR((CE180+CJ180)*1000/Klimadaten!O64,0)</f>
        <v>0</v>
      </c>
      <c r="E326" s="644">
        <f>IFERROR((CE248+CJ248)*1000/Klimadaten!O64,0)</f>
        <v>0</v>
      </c>
      <c r="F326" s="410"/>
      <c r="G326" s="410"/>
      <c r="H326" s="648">
        <f t="shared" si="238"/>
        <v>34</v>
      </c>
      <c r="I326" s="649">
        <f t="shared" si="239"/>
        <v>0</v>
      </c>
      <c r="J326" s="410">
        <f t="shared" si="240"/>
        <v>0</v>
      </c>
      <c r="K326" s="573">
        <f t="shared" si="241"/>
        <v>0</v>
      </c>
      <c r="L326" s="410">
        <f t="shared" si="242"/>
        <v>0</v>
      </c>
      <c r="M326" s="410">
        <f t="shared" si="295"/>
        <v>0</v>
      </c>
      <c r="N326" s="441">
        <f t="shared" si="295"/>
        <v>0</v>
      </c>
      <c r="O326" s="479">
        <f t="shared" ref="O326" si="306">BN180</f>
        <v>20</v>
      </c>
      <c r="P326" s="615">
        <f t="shared" si="245"/>
        <v>0</v>
      </c>
      <c r="Q326" s="410"/>
      <c r="R326" s="410"/>
      <c r="S326" s="410"/>
      <c r="T326" s="410"/>
      <c r="U326" s="410"/>
      <c r="V326" s="410"/>
      <c r="W326" s="410"/>
      <c r="X326" s="410"/>
      <c r="Y326" s="410"/>
      <c r="Z326" s="410"/>
      <c r="AA326" s="410"/>
      <c r="AB326" s="410"/>
      <c r="AC326" s="410"/>
      <c r="AD326" s="410"/>
      <c r="AE326" s="410"/>
      <c r="AF326" s="410"/>
      <c r="AG326" s="410"/>
      <c r="AH326" s="410"/>
      <c r="AI326" s="410"/>
      <c r="AJ326" s="410"/>
      <c r="AK326" s="410"/>
      <c r="AL326" s="410"/>
      <c r="AM326" s="410"/>
      <c r="AN326" s="410"/>
      <c r="AO326" s="410"/>
      <c r="AP326" s="410"/>
      <c r="AQ326" s="410"/>
      <c r="AR326" s="410"/>
      <c r="AS326" s="410"/>
      <c r="AT326" s="410"/>
      <c r="AU326" s="410"/>
      <c r="AV326" s="410"/>
      <c r="AW326" s="410"/>
      <c r="AX326" s="410"/>
      <c r="AY326" s="410"/>
      <c r="AZ326" s="410"/>
      <c r="BA326" s="410"/>
      <c r="BB326" s="410"/>
      <c r="BC326" s="410"/>
      <c r="BD326" s="410"/>
      <c r="BE326" s="410"/>
      <c r="BF326" s="410"/>
      <c r="BG326" s="410"/>
      <c r="BH326" s="410"/>
      <c r="BI326" s="410"/>
      <c r="BJ326" s="410"/>
      <c r="BK326" s="410"/>
      <c r="BL326" s="410"/>
      <c r="BM326" s="410"/>
      <c r="BN326" s="410"/>
      <c r="BO326" s="410"/>
      <c r="BP326" s="410"/>
      <c r="BQ326" s="410"/>
      <c r="BR326" s="410"/>
      <c r="BS326" s="410"/>
      <c r="BT326" s="410"/>
      <c r="BU326" s="410"/>
      <c r="BV326" s="410"/>
      <c r="BW326" s="410"/>
      <c r="BX326" s="410"/>
      <c r="BY326" s="410"/>
      <c r="BZ326" s="410"/>
      <c r="CA326" s="410"/>
      <c r="CB326" s="410"/>
      <c r="CC326" s="410"/>
      <c r="CD326" s="410"/>
      <c r="CE326" s="410"/>
      <c r="CF326" s="410"/>
      <c r="CG326" s="410"/>
      <c r="CH326" s="410"/>
      <c r="CI326" s="410"/>
      <c r="CJ326" s="410"/>
      <c r="CK326" s="410"/>
      <c r="CL326" s="410"/>
      <c r="CM326" s="410"/>
      <c r="CN326" s="410"/>
      <c r="CO326" s="410"/>
      <c r="CP326" s="410"/>
      <c r="CQ326" s="410"/>
      <c r="CR326" s="410"/>
      <c r="CS326" s="410"/>
      <c r="CT326" s="410"/>
      <c r="CU326" s="410"/>
      <c r="CV326" s="410"/>
      <c r="CW326" s="410"/>
      <c r="CX326" s="410"/>
      <c r="CY326" s="410"/>
      <c r="CZ326" s="410"/>
      <c r="DA326" s="410"/>
      <c r="DB326" s="410"/>
      <c r="DC326" s="410"/>
    </row>
    <row r="327" spans="1:107" s="619" customFormat="1" ht="12" customHeight="1">
      <c r="A327" s="651">
        <v>35</v>
      </c>
      <c r="B327" s="637">
        <f>IFERROR((CK181+CF181)*1000/Klimadaten!O65,0)</f>
        <v>0</v>
      </c>
      <c r="C327" s="638">
        <f>IFERROR((CK249+CF249)*1000/Klimadaten!O65,0)</f>
        <v>0</v>
      </c>
      <c r="D327" s="652">
        <f>IFERROR((CE181+CJ181)*1000/Klimadaten!O65,0)</f>
        <v>0</v>
      </c>
      <c r="E327" s="817">
        <f>IFERROR((CE249+CJ249)*1000/Klimadaten!O65,0)</f>
        <v>0</v>
      </c>
      <c r="F327" s="410"/>
      <c r="G327" s="410"/>
      <c r="H327" s="653">
        <f t="shared" si="238"/>
        <v>35</v>
      </c>
      <c r="I327" s="581">
        <f t="shared" si="239"/>
        <v>0</v>
      </c>
      <c r="J327" s="518">
        <f t="shared" si="240"/>
        <v>0</v>
      </c>
      <c r="K327" s="637">
        <f t="shared" si="241"/>
        <v>0</v>
      </c>
      <c r="L327" s="518">
        <f t="shared" si="242"/>
        <v>0</v>
      </c>
      <c r="M327" s="518">
        <f t="shared" si="295"/>
        <v>0</v>
      </c>
      <c r="N327" s="531">
        <f t="shared" si="295"/>
        <v>0</v>
      </c>
      <c r="O327" s="820">
        <f t="shared" ref="O327" si="307">BN181</f>
        <v>20</v>
      </c>
      <c r="P327" s="821">
        <f t="shared" si="245"/>
        <v>0</v>
      </c>
      <c r="Q327" s="410"/>
      <c r="R327" s="410"/>
      <c r="S327" s="410"/>
      <c r="T327" s="410"/>
      <c r="U327" s="410"/>
      <c r="V327" s="410"/>
      <c r="W327" s="410"/>
      <c r="X327" s="410"/>
      <c r="Y327" s="410"/>
      <c r="Z327" s="410"/>
      <c r="AA327" s="410"/>
      <c r="AB327" s="410"/>
      <c r="AC327" s="410"/>
      <c r="AD327" s="410"/>
      <c r="AE327" s="410"/>
      <c r="AF327" s="410"/>
      <c r="AG327" s="410"/>
      <c r="AH327" s="410"/>
      <c r="AI327" s="410"/>
      <c r="AJ327" s="410"/>
      <c r="AK327" s="410"/>
      <c r="AL327" s="410"/>
      <c r="AM327" s="410"/>
      <c r="AN327" s="410"/>
      <c r="AO327" s="410"/>
      <c r="AP327" s="410"/>
      <c r="AQ327" s="410"/>
      <c r="AR327" s="410"/>
      <c r="AS327" s="410"/>
      <c r="AT327" s="410"/>
      <c r="AU327" s="410"/>
      <c r="AV327" s="410"/>
      <c r="AW327" s="410"/>
      <c r="AX327" s="410"/>
      <c r="AY327" s="410"/>
      <c r="AZ327" s="410"/>
      <c r="BA327" s="410"/>
      <c r="BB327" s="410"/>
      <c r="BC327" s="410"/>
      <c r="BD327" s="410"/>
      <c r="BE327" s="410"/>
      <c r="BF327" s="410"/>
      <c r="BG327" s="410"/>
      <c r="BH327" s="410"/>
      <c r="BI327" s="410"/>
      <c r="BJ327" s="410"/>
      <c r="BK327" s="410"/>
      <c r="BL327" s="410"/>
      <c r="BM327" s="410"/>
      <c r="BN327" s="410"/>
      <c r="BO327" s="410"/>
      <c r="BP327" s="410"/>
      <c r="BQ327" s="410"/>
      <c r="BR327" s="410"/>
      <c r="BS327" s="410"/>
      <c r="BT327" s="410"/>
      <c r="BU327" s="410"/>
      <c r="BV327" s="410"/>
      <c r="BW327" s="410"/>
      <c r="BX327" s="410"/>
      <c r="BY327" s="410"/>
      <c r="BZ327" s="410"/>
      <c r="CA327" s="410"/>
      <c r="CB327" s="410"/>
      <c r="CC327" s="410"/>
      <c r="CD327" s="410"/>
      <c r="CE327" s="410"/>
      <c r="CF327" s="410"/>
      <c r="CG327" s="410"/>
      <c r="CH327" s="410"/>
      <c r="CI327" s="410"/>
      <c r="CJ327" s="410"/>
      <c r="CK327" s="410"/>
      <c r="CL327" s="410"/>
      <c r="CM327" s="410"/>
      <c r="CN327" s="410"/>
      <c r="CO327" s="410"/>
      <c r="CP327" s="410"/>
      <c r="CQ327" s="410"/>
      <c r="CR327" s="410"/>
      <c r="CS327" s="410"/>
      <c r="CT327" s="410"/>
      <c r="CU327" s="410"/>
      <c r="CV327" s="410"/>
      <c r="CW327" s="410"/>
      <c r="CX327" s="410"/>
      <c r="CY327" s="410"/>
      <c r="CZ327" s="410"/>
      <c r="DA327" s="410"/>
      <c r="DB327" s="410"/>
      <c r="DC327" s="410"/>
    </row>
    <row r="328" spans="1:107" s="619" customFormat="1" ht="12" customHeight="1">
      <c r="D328" s="621"/>
      <c r="E328" s="621"/>
      <c r="F328" s="410"/>
      <c r="G328" s="410"/>
      <c r="H328" s="410" t="s">
        <v>146</v>
      </c>
      <c r="I328" s="475">
        <f t="shared" ref="I328:N328" si="308">SUM(I267:I327)</f>
        <v>26765.142857142855</v>
      </c>
      <c r="J328" s="475">
        <f t="shared" si="308"/>
        <v>3786.2957285656107</v>
      </c>
      <c r="K328" s="475">
        <f t="shared" si="308"/>
        <v>-3.2534871175269233E-12</v>
      </c>
      <c r="L328" s="475">
        <f t="shared" si="308"/>
        <v>1750.15970360182</v>
      </c>
      <c r="M328" s="475">
        <f t="shared" si="308"/>
        <v>0</v>
      </c>
      <c r="N328" s="475">
        <f t="shared" si="308"/>
        <v>0</v>
      </c>
      <c r="O328" s="410"/>
      <c r="P328" s="410"/>
      <c r="Q328" s="410"/>
      <c r="R328" s="410"/>
      <c r="S328" s="410"/>
      <c r="T328" s="410"/>
      <c r="U328" s="410"/>
      <c r="V328" s="410"/>
      <c r="W328" s="410"/>
      <c r="X328" s="410"/>
      <c r="Y328" s="410"/>
      <c r="Z328" s="410"/>
      <c r="AA328" s="410"/>
      <c r="AB328" s="410"/>
      <c r="AC328" s="410"/>
      <c r="AD328" s="410"/>
      <c r="AE328" s="410"/>
      <c r="AF328" s="410"/>
      <c r="AG328" s="410"/>
      <c r="AH328" s="410"/>
      <c r="AI328" s="410"/>
      <c r="AJ328" s="410"/>
      <c r="AK328" s="410"/>
      <c r="AL328" s="410"/>
      <c r="AM328" s="410"/>
      <c r="AN328" s="410"/>
      <c r="AO328" s="410"/>
      <c r="AP328" s="410"/>
      <c r="AQ328" s="410"/>
      <c r="AR328" s="410"/>
      <c r="AS328" s="410"/>
      <c r="AT328" s="410"/>
      <c r="AU328" s="410"/>
      <c r="AV328" s="410"/>
      <c r="AW328" s="410"/>
      <c r="AX328" s="410"/>
      <c r="AY328" s="410"/>
      <c r="AZ328" s="410"/>
      <c r="BA328" s="410"/>
      <c r="BB328" s="410"/>
      <c r="BC328" s="410"/>
      <c r="BD328" s="410"/>
      <c r="BE328" s="410"/>
      <c r="BF328" s="410"/>
      <c r="BG328" s="410"/>
      <c r="BH328" s="410"/>
      <c r="BI328" s="410"/>
      <c r="BJ328" s="410"/>
      <c r="BK328" s="410"/>
      <c r="BL328" s="410"/>
      <c r="BM328" s="410"/>
      <c r="BN328" s="410"/>
      <c r="BO328" s="410"/>
      <c r="BP328" s="410"/>
      <c r="BQ328" s="410"/>
      <c r="BR328" s="410"/>
      <c r="BS328" s="410"/>
      <c r="BT328" s="410"/>
      <c r="BU328" s="410"/>
      <c r="BV328" s="410"/>
      <c r="BW328" s="410"/>
      <c r="BX328" s="410"/>
      <c r="BY328" s="410"/>
      <c r="BZ328" s="410"/>
      <c r="CA328" s="410"/>
      <c r="CB328" s="410"/>
      <c r="CC328" s="410"/>
      <c r="CD328" s="410"/>
      <c r="CE328" s="410"/>
      <c r="CF328" s="410"/>
      <c r="CG328" s="410"/>
      <c r="CH328" s="410"/>
      <c r="CI328" s="410"/>
      <c r="CJ328" s="410"/>
      <c r="CK328" s="410"/>
      <c r="CL328" s="410"/>
      <c r="CM328" s="410"/>
      <c r="CN328" s="410"/>
      <c r="CO328" s="410"/>
      <c r="CP328" s="410"/>
      <c r="CQ328" s="410"/>
      <c r="CR328" s="410"/>
      <c r="CS328" s="410"/>
      <c r="CT328" s="410"/>
      <c r="CU328" s="410"/>
      <c r="CV328" s="410"/>
      <c r="CW328" s="410"/>
      <c r="CX328" s="410"/>
      <c r="CY328" s="410"/>
      <c r="CZ328" s="410"/>
      <c r="DA328" s="410"/>
      <c r="DB328" s="410"/>
      <c r="DC328" s="410"/>
    </row>
  </sheetData>
  <sheetProtection algorithmName="SHA-512" hashValue="Ly4gXSUjfAogtcasWW135PE8yG9cnXI5LSsRQfuWzMhWfltpNqtoHMzFS6/MBnfbpMpt2JmAwPllDbxIAw6KXw==" saltValue="QAnyrkldZFc/FqdvHg6PKg==" spinCount="100000" sheet="1" objects="1" scenarios="1" selectLockedCells="1"/>
  <mergeCells count="26">
    <mergeCell ref="BB185:BC185"/>
    <mergeCell ref="BD185:BE185"/>
    <mergeCell ref="BF185:BG185"/>
    <mergeCell ref="BH185:BI185"/>
    <mergeCell ref="AH186:AJ186"/>
    <mergeCell ref="AK186:AM186"/>
    <mergeCell ref="AN186:AP186"/>
    <mergeCell ref="AQ186:AS186"/>
    <mergeCell ref="AT186:AV186"/>
    <mergeCell ref="AX186:BA186"/>
    <mergeCell ref="AH185:AJ185"/>
    <mergeCell ref="AK185:AM185"/>
    <mergeCell ref="AN185:AP185"/>
    <mergeCell ref="AQ185:AS185"/>
    <mergeCell ref="AT185:AV185"/>
    <mergeCell ref="AX185:BA185"/>
    <mergeCell ref="BR186:BT186"/>
    <mergeCell ref="BU186:BW186"/>
    <mergeCell ref="CE186:CF186"/>
    <mergeCell ref="CG186:CH186"/>
    <mergeCell ref="BB186:BC186"/>
    <mergeCell ref="BD186:BE186"/>
    <mergeCell ref="BF186:BG186"/>
    <mergeCell ref="BH186:BI186"/>
    <mergeCell ref="BJ186:BM186"/>
    <mergeCell ref="BN186:BQ186"/>
  </mergeCells>
  <dataValidations count="11">
    <dataValidation type="list" allowBlank="1" showInputMessage="1" showErrorMessage="1" sqref="F22 F17" xr:uid="{B3D61187-7583-4443-8ADB-D1F8355F2506}">
      <formula1>$M$13:$M$16</formula1>
    </dataValidation>
    <dataValidation type="list" allowBlank="1" showInputMessage="1" showErrorMessage="1" sqref="E14:F15" xr:uid="{934FBA28-AD89-4D6C-8CCB-43F92FF8A445}">
      <formula1>$M$28:$M$44</formula1>
    </dataValidation>
    <dataValidation type="list" allowBlank="1" showInputMessage="1" showErrorMessage="1" sqref="E36:F36" xr:uid="{40DC15BD-D37B-4FF6-AB76-89C27804CBAB}">
      <formula1>$S$13:$S$14</formula1>
    </dataValidation>
    <dataValidation type="list" allowBlank="1" showInputMessage="1" showErrorMessage="1" sqref="E13:F13" xr:uid="{2C233C54-C666-4840-B29D-60B2887F1209}">
      <formula1>$S$10:$S$11</formula1>
    </dataValidation>
    <dataValidation type="list" allowBlank="1" showInputMessage="1" showErrorMessage="1" sqref="E49:F49" xr:uid="{B6DD7B24-E57E-4EBD-A353-8D85D4887112}">
      <formula1>$S$16:$S$18</formula1>
    </dataValidation>
    <dataValidation type="list" allowBlank="1" showInputMessage="1" showErrorMessage="1" sqref="E47:F47 E39:F39 E42:F42 E30:F31" xr:uid="{3159BDFA-9E67-4CA6-AD33-94481AC827B8}">
      <formula1>$S$20:$S$21</formula1>
    </dataValidation>
    <dataValidation type="custom" allowBlank="1" showInputMessage="1" showErrorMessage="1" sqref="E50:F50" xr:uid="{6D451640-D7B3-4C3B-AC39-4EE97C190683}">
      <formula1>E50&gt;0</formula1>
    </dataValidation>
    <dataValidation type="list" allowBlank="1" showInputMessage="1" showErrorMessage="1" sqref="E38:F38" xr:uid="{B8E6743C-D6B0-4CFF-B730-BB215EB7DC38}">
      <formula1>$AO$63:$AO$65</formula1>
    </dataValidation>
    <dataValidation type="list" allowBlank="1" showInputMessage="1" showErrorMessage="1" sqref="E37:F37" xr:uid="{0BA69AC3-1AF6-48F4-AECE-EAB035465214}">
      <formula1>$AM$63:$AM$83</formula1>
    </dataValidation>
    <dataValidation type="list" allowBlank="1" showInputMessage="1" showErrorMessage="1" sqref="E17" xr:uid="{E3199271-CE1B-422E-9464-6BF5DE2E63F8}">
      <formula1>$M$11:$M$16</formula1>
    </dataValidation>
    <dataValidation type="list" allowBlank="1" showInputMessage="1" showErrorMessage="1" sqref="B6:B8" xr:uid="{A711DD53-5A0D-4573-8DFE-64ADA29C9A8A}">
      <formula1>#REF!</formula1>
    </dataValidation>
  </dataValidations>
  <pageMargins left="0.70866141732283472" right="0.70866141732283472" top="0.74803149606299213" bottom="0.74803149606299213" header="0.31496062992125984" footer="0.31496062992125984"/>
  <pageSetup paperSize="8" scale="46" fitToHeight="2" orientation="landscape" r:id="rId1"/>
  <headerFooter alignWithMargins="0">
    <oddHeader>&amp;LWärmepumpe Erdsonden 35°C&amp;CVersion 1.3&amp;R4/20/2025</oddHeader>
    <oddFooter>&amp;LCopyright by Lemon Consult AG&amp;CSIA 2024, Copyright © 2017 by SIA Zurich</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6767A-BF0A-43B0-8DB4-A3C8541B7BF4}">
  <sheetPr codeName="tblKlimadaten"/>
  <dimension ref="A1:CT76"/>
  <sheetViews>
    <sheetView showGridLines="0" zoomScale="80" zoomScaleNormal="80" workbookViewId="0">
      <selection activeCell="AT1" sqref="AT1"/>
    </sheetView>
  </sheetViews>
  <sheetFormatPr baseColWidth="10" defaultColWidth="11.4609375" defaultRowHeight="10.3"/>
  <cols>
    <col min="1" max="1" width="12.765625" style="780" customWidth="1"/>
    <col min="2" max="2" width="15.4609375" style="780" customWidth="1"/>
    <col min="3" max="14" width="11.4609375" style="780"/>
    <col min="15" max="15" width="16.53515625" style="780" bestFit="1" customWidth="1"/>
    <col min="16" max="20" width="11.4609375" style="780"/>
    <col min="21" max="21" width="11.4609375" style="781"/>
    <col min="22" max="16384" width="11.4609375" style="780"/>
  </cols>
  <sheetData>
    <row r="1" spans="2:98" ht="11.25" customHeight="1">
      <c r="I1" s="783" t="s">
        <v>1004</v>
      </c>
      <c r="J1" s="784"/>
      <c r="N1" s="976" t="str" cm="1">
        <f t="array" ref="N1">INDEX(B4:B43,Gebäude!D2,0)</f>
        <v>Zürich-MeteoSchweiz</v>
      </c>
      <c r="S1" s="783" t="s">
        <v>1005</v>
      </c>
      <c r="T1" s="785" t="str">
        <f>S1</f>
        <v>Adelboden</v>
      </c>
      <c r="U1" s="786" t="s">
        <v>1006</v>
      </c>
      <c r="V1" s="786" t="s">
        <v>1006</v>
      </c>
      <c r="W1" s="786" t="s">
        <v>1007</v>
      </c>
      <c r="X1" s="785" t="str">
        <f>W1</f>
        <v>Altdorf</v>
      </c>
      <c r="Y1" s="786" t="s">
        <v>1008</v>
      </c>
      <c r="Z1" s="785" t="str">
        <f>Y1</f>
        <v>Basel-Binningen</v>
      </c>
      <c r="AA1" s="786" t="s">
        <v>1009</v>
      </c>
      <c r="AB1" s="785" t="str">
        <f>AA1</f>
        <v>Bern-Liebefeld</v>
      </c>
      <c r="AC1" s="786" t="s">
        <v>1010</v>
      </c>
      <c r="AD1" s="785" t="str">
        <f>AC1</f>
        <v>Buchs-Aarau</v>
      </c>
      <c r="AE1" s="786" t="s">
        <v>1011</v>
      </c>
      <c r="AF1" s="785" t="str">
        <f>AE1</f>
        <v>La Chaux-de-Fonds</v>
      </c>
      <c r="AG1" s="786" t="s">
        <v>1012</v>
      </c>
      <c r="AH1" s="785" t="str">
        <f>AG1</f>
        <v>Chur</v>
      </c>
      <c r="AI1" s="786" t="s">
        <v>1013</v>
      </c>
      <c r="AJ1" s="785" t="str">
        <f>AI1</f>
        <v>Davos</v>
      </c>
      <c r="AK1" s="786" t="s">
        <v>1014</v>
      </c>
      <c r="AL1" s="785" t="str">
        <f>AK1</f>
        <v>Disentis</v>
      </c>
      <c r="AM1" s="786" t="s">
        <v>1015</v>
      </c>
      <c r="AN1" s="785" t="str">
        <f>AM1</f>
        <v>Engelberg</v>
      </c>
      <c r="AO1" s="786" t="s">
        <v>1016</v>
      </c>
      <c r="AP1" s="785" t="str">
        <f>AO1</f>
        <v>La Fretaz</v>
      </c>
      <c r="AQ1" s="786" t="s">
        <v>1017</v>
      </c>
      <c r="AR1" s="785" t="str">
        <f>AQ1</f>
        <v>Glarus</v>
      </c>
      <c r="AS1" s="786" t="s">
        <v>1422</v>
      </c>
      <c r="AT1" s="785" t="s">
        <v>1422</v>
      </c>
      <c r="AU1" s="786" t="s">
        <v>1018</v>
      </c>
      <c r="AV1" s="785" t="str">
        <f>AU1</f>
        <v>Güttingen</v>
      </c>
      <c r="AW1" s="786" t="s">
        <v>1019</v>
      </c>
      <c r="AX1" s="785" t="str">
        <f>AW1</f>
        <v>Genllve.-Cointrin</v>
      </c>
      <c r="AY1" s="786" t="s">
        <v>1020</v>
      </c>
      <c r="AZ1" s="785" t="str">
        <f>AY1</f>
        <v>lnterlaken</v>
      </c>
      <c r="BA1" s="786" t="s">
        <v>1021</v>
      </c>
      <c r="BB1" s="785" t="str">
        <f>BA1</f>
        <v>Zürich-Kloten</v>
      </c>
      <c r="BC1" s="786" t="s">
        <v>1022</v>
      </c>
      <c r="BD1" s="785" t="str">
        <f>BC1</f>
        <v>Lugano</v>
      </c>
      <c r="BE1" s="786" t="s">
        <v>1023</v>
      </c>
      <c r="BF1" s="785" t="str">
        <f>BE1</f>
        <v>Luzern</v>
      </c>
      <c r="BG1" s="786" t="s">
        <v>1024</v>
      </c>
      <c r="BH1" s="785" t="str">
        <f>BG1</f>
        <v>Magadino</v>
      </c>
      <c r="BI1" s="786" t="s">
        <v>1025</v>
      </c>
      <c r="BJ1" s="785" t="str">
        <f>BI1</f>
        <v>Montana</v>
      </c>
      <c r="BK1" s="786" t="s">
        <v>1026</v>
      </c>
      <c r="BL1" s="785" t="str">
        <f>BK1</f>
        <v>Neuchatel</v>
      </c>
      <c r="BM1" s="786" t="s">
        <v>1027</v>
      </c>
      <c r="BN1" s="785" t="str">
        <f>BM1</f>
        <v>Locamo-Monti</v>
      </c>
      <c r="BO1" s="786" t="s">
        <v>1028</v>
      </c>
      <c r="BP1" s="785" t="str">
        <f>BO1</f>
        <v xml:space="preserve">Payerne </v>
      </c>
      <c r="BQ1" s="786" t="s">
        <v>1029</v>
      </c>
      <c r="BR1" s="785" t="str">
        <f>BQ1</f>
        <v>Piotta</v>
      </c>
      <c r="BS1" s="786" t="s">
        <v>1030</v>
      </c>
      <c r="BT1" s="785" t="str">
        <f>BS1</f>
        <v>Pully</v>
      </c>
      <c r="BU1" s="786" t="s">
        <v>1031</v>
      </c>
      <c r="BV1" s="785" t="str">
        <f>BU1</f>
        <v>Robbia</v>
      </c>
      <c r="BW1" s="786" t="s">
        <v>1032</v>
      </c>
      <c r="BX1" s="785" t="str">
        <f>BW1</f>
        <v>Rünenberg</v>
      </c>
      <c r="BY1" s="786" t="s">
        <v>1033</v>
      </c>
      <c r="BZ1" s="785" t="str">
        <f>BY1</f>
        <v>Samedan</v>
      </c>
      <c r="CA1" s="786" t="s">
        <v>1034</v>
      </c>
      <c r="CB1" s="785" t="str">
        <f>CA1</f>
        <v>San Bernardino</v>
      </c>
      <c r="CC1" s="786" t="s">
        <v>1035</v>
      </c>
      <c r="CD1" s="785" t="str">
        <f>CC1</f>
        <v>Scuol</v>
      </c>
      <c r="CE1" s="786" t="s">
        <v>1036</v>
      </c>
      <c r="CF1" s="785" t="str">
        <f>CE1</f>
        <v>Schaffhausen</v>
      </c>
      <c r="CG1" s="786" t="s">
        <v>1037</v>
      </c>
      <c r="CH1" s="785" t="str">
        <f>CG1</f>
        <v>Sion</v>
      </c>
      <c r="CI1" s="797" t="s">
        <v>1428</v>
      </c>
      <c r="CJ1" s="797" t="s">
        <v>1428</v>
      </c>
      <c r="CK1" s="786" t="s">
        <v>1038</v>
      </c>
      <c r="CL1" s="785" t="str">
        <f>CK1</f>
        <v>St. Gallen</v>
      </c>
      <c r="CM1" s="786" t="s">
        <v>1039</v>
      </c>
      <c r="CN1" s="785" t="str">
        <f>CM1</f>
        <v>Ulrichen</v>
      </c>
      <c r="CO1" s="786" t="s">
        <v>1040</v>
      </c>
      <c r="CP1" s="785" t="str">
        <f>CO1</f>
        <v>Vaduz</v>
      </c>
      <c r="CQ1" s="786" t="s">
        <v>1041</v>
      </c>
      <c r="CR1" s="785" t="str">
        <f>CQ1</f>
        <v>Wynau</v>
      </c>
      <c r="CS1" s="786" t="s">
        <v>1042</v>
      </c>
      <c r="CT1" s="785" t="str">
        <f>CS1</f>
        <v>Zermatt</v>
      </c>
    </row>
    <row r="2" spans="2:98" ht="11.25" customHeight="1">
      <c r="B2" s="787" t="s">
        <v>1043</v>
      </c>
      <c r="C2" s="787" t="s">
        <v>1044</v>
      </c>
      <c r="D2" s="787" t="s">
        <v>1045</v>
      </c>
      <c r="E2" s="788" t="s">
        <v>1046</v>
      </c>
      <c r="F2" s="788"/>
      <c r="G2" s="784" t="s">
        <v>1047</v>
      </c>
      <c r="H2" s="784"/>
      <c r="I2" s="784" t="s">
        <v>4</v>
      </c>
      <c r="J2" s="784" t="s">
        <v>1</v>
      </c>
      <c r="K2" s="783"/>
      <c r="M2" s="789"/>
      <c r="N2" s="790" t="str">
        <f>N1&amp;N3</f>
        <v>Zürich-MeteoSchweizFeuchtigkeit</v>
      </c>
      <c r="O2" s="790" t="str">
        <f>N1&amp;O3</f>
        <v>Zürich-MeteoSchweizAnzahl Stunden Tac</v>
      </c>
      <c r="P2" s="790"/>
      <c r="Q2" s="791"/>
      <c r="S2" s="780" t="str">
        <f>S1&amp;S3</f>
        <v>AdelbodenFeuchtigkeit</v>
      </c>
      <c r="T2" s="780" t="str">
        <f>T1&amp;T3</f>
        <v>AdelbodenAnzahl Stunden Tac</v>
      </c>
      <c r="U2" s="780" t="str">
        <f>U1&amp;U3</f>
        <v>AigleFeuchtigkeit</v>
      </c>
      <c r="V2" s="780" t="str">
        <f>V1&amp;V3</f>
        <v>AigleAnzahl Stunden Tac</v>
      </c>
      <c r="W2" s="780" t="str">
        <f t="shared" ref="W2:CH2" si="0">W1&amp;W3</f>
        <v>AltdorfFeuchtigkeit</v>
      </c>
      <c r="X2" s="780" t="str">
        <f t="shared" si="0"/>
        <v>AltdorfAnzahl Stunden Tac</v>
      </c>
      <c r="Y2" s="780" t="str">
        <f t="shared" si="0"/>
        <v>Basel-BinningenFeuchtigkeit</v>
      </c>
      <c r="Z2" s="780" t="str">
        <f t="shared" si="0"/>
        <v>Basel-BinningenAnzahl Stunden Tac</v>
      </c>
      <c r="AA2" s="780" t="str">
        <f t="shared" si="0"/>
        <v>Bern-LiebefeldFeuchtigkeit</v>
      </c>
      <c r="AB2" s="780" t="str">
        <f t="shared" si="0"/>
        <v>Bern-LiebefeldAnzahl Stunden Tac</v>
      </c>
      <c r="AC2" s="780" t="str">
        <f t="shared" si="0"/>
        <v>Buchs-AarauFeuchtigkeit</v>
      </c>
      <c r="AD2" s="780" t="str">
        <f t="shared" si="0"/>
        <v>Buchs-AarauAnzahl Stunden Tac</v>
      </c>
      <c r="AE2" s="780" t="str">
        <f t="shared" si="0"/>
        <v>La Chaux-de-FondsFeuchtigkeit</v>
      </c>
      <c r="AF2" s="780" t="str">
        <f t="shared" si="0"/>
        <v>La Chaux-de-FondsAnzahl Stunden Tac</v>
      </c>
      <c r="AG2" s="780" t="str">
        <f t="shared" si="0"/>
        <v>ChurFeuchtigkeit</v>
      </c>
      <c r="AH2" s="780" t="str">
        <f t="shared" si="0"/>
        <v>ChurAnzahl Stunden Tac</v>
      </c>
      <c r="AI2" s="780" t="str">
        <f t="shared" si="0"/>
        <v>DavosFeuchtigkeit</v>
      </c>
      <c r="AJ2" s="780" t="str">
        <f t="shared" si="0"/>
        <v>DavosAnzahl Stunden Tac</v>
      </c>
      <c r="AK2" s="780" t="str">
        <f t="shared" si="0"/>
        <v>DisentisFeuchtigkeit</v>
      </c>
      <c r="AL2" s="780" t="str">
        <f t="shared" si="0"/>
        <v>DisentisAnzahl Stunden Tac</v>
      </c>
      <c r="AM2" s="780" t="str">
        <f t="shared" si="0"/>
        <v>EngelbergFeuchtigkeit</v>
      </c>
      <c r="AN2" s="780" t="str">
        <f t="shared" si="0"/>
        <v>EngelbergAnzahl Stunden Tac</v>
      </c>
      <c r="AO2" s="780" t="str">
        <f t="shared" si="0"/>
        <v>La FretazFeuchtigkeit</v>
      </c>
      <c r="AP2" s="780" t="str">
        <f t="shared" si="0"/>
        <v>La FretazAnzahl Stunden Tac</v>
      </c>
      <c r="AQ2" s="780" t="str">
        <f t="shared" si="0"/>
        <v>GlarusFeuchtigkeit</v>
      </c>
      <c r="AR2" s="780" t="str">
        <f t="shared" si="0"/>
        <v>GlarusAnzahl Stunden Tac</v>
      </c>
      <c r="AS2" s="780" t="str">
        <f t="shared" si="0"/>
        <v>Grand-St-BernardFeuchtigkeit</v>
      </c>
      <c r="AT2" s="780" t="str">
        <f t="shared" si="0"/>
        <v>Grand-St-BernardAnzahl Stunden Tac</v>
      </c>
      <c r="AU2" s="780" t="str">
        <f t="shared" si="0"/>
        <v>GüttingenFeuchtigkeit</v>
      </c>
      <c r="AV2" s="780" t="str">
        <f t="shared" si="0"/>
        <v>GüttingenAnzahl Stunden Tac</v>
      </c>
      <c r="AW2" s="780" t="str">
        <f t="shared" si="0"/>
        <v>Genllve.-CointrinFeuchtigkeit</v>
      </c>
      <c r="AX2" s="780" t="str">
        <f t="shared" si="0"/>
        <v>Genllve.-CointrinAnzahl Stunden Tac</v>
      </c>
      <c r="AY2" s="780" t="str">
        <f t="shared" si="0"/>
        <v>lnterlakenFeuchtigkeit</v>
      </c>
      <c r="AZ2" s="780" t="str">
        <f t="shared" si="0"/>
        <v>lnterlakenAnzahl Stunden Tac</v>
      </c>
      <c r="BA2" s="780" t="str">
        <f t="shared" si="0"/>
        <v>Zürich-KlotenFeuchtigkeit</v>
      </c>
      <c r="BB2" s="780" t="str">
        <f t="shared" si="0"/>
        <v>Zürich-KlotenAnzahl Stunden Tac</v>
      </c>
      <c r="BC2" s="780" t="str">
        <f t="shared" si="0"/>
        <v>LuganoFeuchtigkeit</v>
      </c>
      <c r="BD2" s="780" t="str">
        <f t="shared" si="0"/>
        <v>LuganoAnzahl Stunden Tac</v>
      </c>
      <c r="BE2" s="780" t="str">
        <f t="shared" si="0"/>
        <v>LuzernFeuchtigkeit</v>
      </c>
      <c r="BF2" s="780" t="str">
        <f t="shared" si="0"/>
        <v>LuzernAnzahl Stunden Tac</v>
      </c>
      <c r="BG2" s="780" t="str">
        <f t="shared" si="0"/>
        <v>MagadinoFeuchtigkeit</v>
      </c>
      <c r="BH2" s="780" t="str">
        <f t="shared" si="0"/>
        <v>MagadinoAnzahl Stunden Tac</v>
      </c>
      <c r="BI2" s="780" t="str">
        <f t="shared" si="0"/>
        <v>MontanaFeuchtigkeit</v>
      </c>
      <c r="BJ2" s="780" t="str">
        <f t="shared" si="0"/>
        <v>MontanaAnzahl Stunden Tac</v>
      </c>
      <c r="BK2" s="780" t="str">
        <f t="shared" si="0"/>
        <v>NeuchatelFeuchtigkeit</v>
      </c>
      <c r="BL2" s="780" t="str">
        <f t="shared" si="0"/>
        <v>NeuchatelAnzahl Stunden Tac</v>
      </c>
      <c r="BM2" s="780" t="str">
        <f t="shared" si="0"/>
        <v>Locamo-MontiFeuchtigkeit</v>
      </c>
      <c r="BN2" s="780" t="str">
        <f t="shared" si="0"/>
        <v>Locamo-MontiAnzahl Stunden Tac</v>
      </c>
      <c r="BO2" s="780" t="str">
        <f t="shared" si="0"/>
        <v>Payerne Feuchtigkeit</v>
      </c>
      <c r="BP2" s="780" t="str">
        <f t="shared" si="0"/>
        <v>Payerne Anzahl Stunden Tac</v>
      </c>
      <c r="BQ2" s="780" t="str">
        <f t="shared" si="0"/>
        <v>PiottaFeuchtigkeit</v>
      </c>
      <c r="BR2" s="780" t="str">
        <f t="shared" si="0"/>
        <v>PiottaAnzahl Stunden Tac</v>
      </c>
      <c r="BS2" s="780" t="str">
        <f t="shared" si="0"/>
        <v>PullyFeuchtigkeit</v>
      </c>
      <c r="BT2" s="780" t="str">
        <f t="shared" si="0"/>
        <v>PullyAnzahl Stunden Tac</v>
      </c>
      <c r="BU2" s="780" t="str">
        <f t="shared" si="0"/>
        <v>RobbiaFeuchtigkeit</v>
      </c>
      <c r="BV2" s="780" t="str">
        <f t="shared" si="0"/>
        <v>RobbiaAnzahl Stunden Tac</v>
      </c>
      <c r="BW2" s="780" t="str">
        <f t="shared" si="0"/>
        <v>RünenbergFeuchtigkeit</v>
      </c>
      <c r="BX2" s="780" t="str">
        <f t="shared" si="0"/>
        <v>RünenbergAnzahl Stunden Tac</v>
      </c>
      <c r="BY2" s="780" t="str">
        <f t="shared" si="0"/>
        <v>SamedanFeuchtigkeit</v>
      </c>
      <c r="BZ2" s="780" t="str">
        <f t="shared" si="0"/>
        <v>SamedanAnzahl Stunden Tac</v>
      </c>
      <c r="CA2" s="780" t="str">
        <f t="shared" si="0"/>
        <v>San BernardinoFeuchtigkeit</v>
      </c>
      <c r="CB2" s="780" t="str">
        <f t="shared" si="0"/>
        <v>San BernardinoAnzahl Stunden Tac</v>
      </c>
      <c r="CC2" s="780" t="str">
        <f t="shared" si="0"/>
        <v>ScuolFeuchtigkeit</v>
      </c>
      <c r="CD2" s="780" t="str">
        <f t="shared" si="0"/>
        <v>ScuolAnzahl Stunden Tac</v>
      </c>
      <c r="CE2" s="780" t="str">
        <f t="shared" si="0"/>
        <v>SchaffhausenFeuchtigkeit</v>
      </c>
      <c r="CF2" s="780" t="str">
        <f t="shared" si="0"/>
        <v>SchaffhausenAnzahl Stunden Tac</v>
      </c>
      <c r="CG2" s="780" t="str">
        <f t="shared" si="0"/>
        <v>SionFeuchtigkeit</v>
      </c>
      <c r="CH2" s="780" t="str">
        <f t="shared" si="0"/>
        <v>SionAnzahl Stunden Tac</v>
      </c>
      <c r="CI2" s="780" t="str">
        <f t="shared" ref="CI2:CT2" si="1">CI1&amp;CI3</f>
        <v>Zürich-MeteoSchweizFeuchtigkeit</v>
      </c>
      <c r="CJ2" s="780" t="str">
        <f t="shared" si="1"/>
        <v>Zürich-MeteoSchweizAnzahl Stunden Tac</v>
      </c>
      <c r="CK2" s="780" t="str">
        <f t="shared" si="1"/>
        <v>St. GallenFeuchtigkeit</v>
      </c>
      <c r="CL2" s="780" t="str">
        <f t="shared" si="1"/>
        <v>St. GallenAnzahl Stunden Tac</v>
      </c>
      <c r="CM2" s="780" t="str">
        <f t="shared" si="1"/>
        <v>UlrichenFeuchtigkeit</v>
      </c>
      <c r="CN2" s="780" t="str">
        <f t="shared" si="1"/>
        <v>UlrichenAnzahl Stunden Tac</v>
      </c>
      <c r="CO2" s="780" t="str">
        <f t="shared" si="1"/>
        <v>VaduzFeuchtigkeit</v>
      </c>
      <c r="CP2" s="780" t="str">
        <f t="shared" si="1"/>
        <v>VaduzAnzahl Stunden Tac</v>
      </c>
      <c r="CQ2" s="780" t="str">
        <f t="shared" si="1"/>
        <v>WynauFeuchtigkeit</v>
      </c>
      <c r="CR2" s="780" t="str">
        <f t="shared" si="1"/>
        <v>WynauAnzahl Stunden Tac</v>
      </c>
      <c r="CS2" s="780" t="str">
        <f t="shared" si="1"/>
        <v>ZermattFeuchtigkeit</v>
      </c>
      <c r="CT2" s="780" t="str">
        <f t="shared" si="1"/>
        <v>ZermattAnzahl Stunden Tac</v>
      </c>
    </row>
    <row r="3" spans="2:98" ht="11.25" customHeight="1">
      <c r="K3" s="792"/>
      <c r="M3" s="793" t="s">
        <v>998</v>
      </c>
      <c r="N3" s="794" t="s">
        <v>1048</v>
      </c>
      <c r="O3" s="795" t="s">
        <v>1049</v>
      </c>
      <c r="P3" s="795" t="s">
        <v>1049</v>
      </c>
      <c r="Q3" s="796" t="s">
        <v>1048</v>
      </c>
      <c r="S3" s="783" t="s">
        <v>1048</v>
      </c>
      <c r="T3" s="783" t="s">
        <v>1049</v>
      </c>
      <c r="U3" s="786" t="s">
        <v>1048</v>
      </c>
      <c r="V3" s="783" t="s">
        <v>1049</v>
      </c>
      <c r="W3" s="786" t="s">
        <v>1048</v>
      </c>
      <c r="X3" s="783" t="s">
        <v>1049</v>
      </c>
      <c r="Y3" s="786" t="s">
        <v>1048</v>
      </c>
      <c r="Z3" s="783" t="s">
        <v>1049</v>
      </c>
      <c r="AA3" s="786" t="s">
        <v>1048</v>
      </c>
      <c r="AB3" s="783" t="s">
        <v>1049</v>
      </c>
      <c r="AC3" s="786" t="s">
        <v>1048</v>
      </c>
      <c r="AD3" s="783" t="s">
        <v>1049</v>
      </c>
      <c r="AE3" s="786" t="s">
        <v>1048</v>
      </c>
      <c r="AF3" s="783" t="s">
        <v>1049</v>
      </c>
      <c r="AG3" s="786" t="s">
        <v>1048</v>
      </c>
      <c r="AH3" s="783" t="s">
        <v>1049</v>
      </c>
      <c r="AI3" s="786" t="s">
        <v>1048</v>
      </c>
      <c r="AJ3" s="783" t="s">
        <v>1049</v>
      </c>
      <c r="AK3" s="786" t="s">
        <v>1048</v>
      </c>
      <c r="AL3" s="783" t="s">
        <v>1049</v>
      </c>
      <c r="AM3" s="786" t="s">
        <v>1048</v>
      </c>
      <c r="AN3" s="783" t="s">
        <v>1049</v>
      </c>
      <c r="AO3" s="786" t="s">
        <v>1048</v>
      </c>
      <c r="AP3" s="783" t="s">
        <v>1049</v>
      </c>
      <c r="AQ3" s="786" t="s">
        <v>1048</v>
      </c>
      <c r="AR3" s="783" t="s">
        <v>1049</v>
      </c>
      <c r="AS3" s="786" t="s">
        <v>1048</v>
      </c>
      <c r="AT3" s="783" t="s">
        <v>1049</v>
      </c>
      <c r="AU3" s="786" t="s">
        <v>1048</v>
      </c>
      <c r="AV3" s="783" t="s">
        <v>1049</v>
      </c>
      <c r="AW3" s="786" t="s">
        <v>1048</v>
      </c>
      <c r="AX3" s="783" t="s">
        <v>1049</v>
      </c>
      <c r="AY3" s="786" t="s">
        <v>1048</v>
      </c>
      <c r="AZ3" s="783" t="s">
        <v>1049</v>
      </c>
      <c r="BA3" s="786" t="s">
        <v>1048</v>
      </c>
      <c r="BB3" s="783" t="s">
        <v>1049</v>
      </c>
      <c r="BC3" s="786" t="s">
        <v>1048</v>
      </c>
      <c r="BD3" s="783" t="s">
        <v>1049</v>
      </c>
      <c r="BE3" s="786" t="s">
        <v>1048</v>
      </c>
      <c r="BF3" s="783" t="s">
        <v>1049</v>
      </c>
      <c r="BG3" s="786" t="s">
        <v>1048</v>
      </c>
      <c r="BH3" s="783" t="s">
        <v>1049</v>
      </c>
      <c r="BI3" s="786" t="s">
        <v>1048</v>
      </c>
      <c r="BJ3" s="783" t="s">
        <v>1049</v>
      </c>
      <c r="BK3" s="786" t="s">
        <v>1048</v>
      </c>
      <c r="BL3" s="783" t="s">
        <v>1049</v>
      </c>
      <c r="BM3" s="786" t="s">
        <v>1048</v>
      </c>
      <c r="BN3" s="783" t="s">
        <v>1049</v>
      </c>
      <c r="BO3" s="786" t="s">
        <v>1048</v>
      </c>
      <c r="BP3" s="783" t="s">
        <v>1049</v>
      </c>
      <c r="BQ3" s="786" t="s">
        <v>1048</v>
      </c>
      <c r="BR3" s="783" t="s">
        <v>1049</v>
      </c>
      <c r="BS3" s="786" t="s">
        <v>1048</v>
      </c>
      <c r="BT3" s="783" t="s">
        <v>1049</v>
      </c>
      <c r="BU3" s="786" t="s">
        <v>1048</v>
      </c>
      <c r="BV3" s="783" t="s">
        <v>1049</v>
      </c>
      <c r="BW3" s="786" t="s">
        <v>1048</v>
      </c>
      <c r="BX3" s="783" t="s">
        <v>1049</v>
      </c>
      <c r="BY3" s="786" t="s">
        <v>1048</v>
      </c>
      <c r="BZ3" s="783" t="s">
        <v>1049</v>
      </c>
      <c r="CA3" s="786" t="s">
        <v>1048</v>
      </c>
      <c r="CB3" s="783" t="s">
        <v>1049</v>
      </c>
      <c r="CC3" s="786" t="s">
        <v>1048</v>
      </c>
      <c r="CD3" s="783" t="s">
        <v>1049</v>
      </c>
      <c r="CE3" s="786" t="s">
        <v>1048</v>
      </c>
      <c r="CF3" s="783" t="s">
        <v>1049</v>
      </c>
      <c r="CG3" s="786" t="s">
        <v>1048</v>
      </c>
      <c r="CH3" s="783" t="s">
        <v>1049</v>
      </c>
      <c r="CI3" s="786" t="s">
        <v>1048</v>
      </c>
      <c r="CJ3" s="783" t="s">
        <v>1049</v>
      </c>
      <c r="CK3" s="786" t="s">
        <v>1048</v>
      </c>
      <c r="CL3" s="783" t="s">
        <v>1049</v>
      </c>
      <c r="CM3" s="786" t="s">
        <v>1048</v>
      </c>
      <c r="CN3" s="783" t="s">
        <v>1049</v>
      </c>
      <c r="CO3" s="786" t="s">
        <v>1048</v>
      </c>
      <c r="CP3" s="783" t="s">
        <v>1049</v>
      </c>
      <c r="CQ3" s="786" t="s">
        <v>1048</v>
      </c>
      <c r="CR3" s="783" t="s">
        <v>1049</v>
      </c>
      <c r="CS3" s="786" t="s">
        <v>1048</v>
      </c>
      <c r="CT3" s="783" t="s">
        <v>1049</v>
      </c>
    </row>
    <row r="4" spans="2:98" ht="11.25" customHeight="1">
      <c r="B4" s="797" t="s">
        <v>1005</v>
      </c>
      <c r="C4" s="797" t="s">
        <v>1050</v>
      </c>
      <c r="D4" s="798">
        <v>1320</v>
      </c>
      <c r="E4" s="799">
        <f>1013.25*(1-(0.0065*D4)/288.15)^5.255</f>
        <v>864.42769071035002</v>
      </c>
      <c r="F4" s="799">
        <f t="shared" ref="F4:F43" si="2">IF(B4=$N$1,E4,0)</f>
        <v>0</v>
      </c>
      <c r="G4" s="799">
        <v>4670</v>
      </c>
      <c r="H4" s="799">
        <f t="shared" ref="H4:H43" si="3">IF(B4=$N$1,G4,0)</f>
        <v>0</v>
      </c>
      <c r="I4" s="799">
        <v>-10.199999999999999</v>
      </c>
      <c r="J4" s="800">
        <v>-15.9</v>
      </c>
      <c r="K4" s="792"/>
      <c r="M4" s="793" t="s">
        <v>965</v>
      </c>
      <c r="N4" s="794" t="s">
        <v>1051</v>
      </c>
      <c r="O4" s="795" t="s">
        <v>1052</v>
      </c>
      <c r="P4" s="795" t="s">
        <v>1052</v>
      </c>
      <c r="Q4" s="796" t="s">
        <v>967</v>
      </c>
      <c r="R4" s="801"/>
      <c r="S4" s="783" t="s">
        <v>1051</v>
      </c>
      <c r="T4" s="783" t="s">
        <v>1052</v>
      </c>
      <c r="U4" s="786" t="s">
        <v>1051</v>
      </c>
      <c r="V4" s="783" t="s">
        <v>1052</v>
      </c>
      <c r="W4" s="786" t="s">
        <v>1051</v>
      </c>
      <c r="X4" s="783" t="s">
        <v>1052</v>
      </c>
      <c r="Y4" s="786" t="s">
        <v>1051</v>
      </c>
      <c r="Z4" s="783" t="s">
        <v>1052</v>
      </c>
      <c r="AA4" s="786" t="s">
        <v>1051</v>
      </c>
      <c r="AB4" s="783" t="s">
        <v>1052</v>
      </c>
      <c r="AC4" s="786" t="s">
        <v>1051</v>
      </c>
      <c r="AD4" s="783" t="s">
        <v>1052</v>
      </c>
      <c r="AE4" s="786" t="s">
        <v>1051</v>
      </c>
      <c r="AF4" s="783" t="s">
        <v>1052</v>
      </c>
      <c r="AG4" s="786" t="s">
        <v>1051</v>
      </c>
      <c r="AH4" s="783" t="s">
        <v>1052</v>
      </c>
      <c r="AI4" s="786" t="s">
        <v>1051</v>
      </c>
      <c r="AJ4" s="783" t="s">
        <v>1052</v>
      </c>
      <c r="AK4" s="786" t="s">
        <v>1051</v>
      </c>
      <c r="AL4" s="783" t="s">
        <v>1052</v>
      </c>
      <c r="AM4" s="786" t="s">
        <v>1051</v>
      </c>
      <c r="AN4" s="783" t="s">
        <v>1052</v>
      </c>
      <c r="AO4" s="786" t="s">
        <v>1051</v>
      </c>
      <c r="AP4" s="783" t="s">
        <v>1052</v>
      </c>
      <c r="AQ4" s="786" t="s">
        <v>1051</v>
      </c>
      <c r="AR4" s="783" t="s">
        <v>1052</v>
      </c>
      <c r="AS4" s="786" t="s">
        <v>1051</v>
      </c>
      <c r="AT4" s="783" t="s">
        <v>1052</v>
      </c>
      <c r="AU4" s="786" t="s">
        <v>1051</v>
      </c>
      <c r="AV4" s="783" t="s">
        <v>1052</v>
      </c>
      <c r="AW4" s="786" t="s">
        <v>1051</v>
      </c>
      <c r="AX4" s="783" t="s">
        <v>1052</v>
      </c>
      <c r="AY4" s="786" t="s">
        <v>1051</v>
      </c>
      <c r="AZ4" s="783" t="s">
        <v>1052</v>
      </c>
      <c r="BA4" s="786" t="s">
        <v>1051</v>
      </c>
      <c r="BB4" s="783" t="s">
        <v>1052</v>
      </c>
      <c r="BC4" s="786" t="s">
        <v>1051</v>
      </c>
      <c r="BD4" s="783" t="s">
        <v>1052</v>
      </c>
      <c r="BE4" s="786" t="s">
        <v>1051</v>
      </c>
      <c r="BF4" s="783" t="s">
        <v>1052</v>
      </c>
      <c r="BG4" s="786" t="s">
        <v>1051</v>
      </c>
      <c r="BH4" s="783" t="s">
        <v>1052</v>
      </c>
      <c r="BI4" s="786" t="s">
        <v>1051</v>
      </c>
      <c r="BJ4" s="783" t="s">
        <v>1052</v>
      </c>
      <c r="BK4" s="786" t="s">
        <v>1051</v>
      </c>
      <c r="BL4" s="783" t="s">
        <v>1052</v>
      </c>
      <c r="BM4" s="786" t="s">
        <v>1051</v>
      </c>
      <c r="BN4" s="783" t="s">
        <v>1052</v>
      </c>
      <c r="BO4" s="786" t="s">
        <v>1051</v>
      </c>
      <c r="BP4" s="783" t="s">
        <v>1052</v>
      </c>
      <c r="BQ4" s="786" t="s">
        <v>1051</v>
      </c>
      <c r="BR4" s="783" t="s">
        <v>1052</v>
      </c>
      <c r="BS4" s="786" t="s">
        <v>1051</v>
      </c>
      <c r="BT4" s="783" t="s">
        <v>1052</v>
      </c>
      <c r="BU4" s="786" t="s">
        <v>1051</v>
      </c>
      <c r="BV4" s="783" t="s">
        <v>1052</v>
      </c>
      <c r="BW4" s="786" t="s">
        <v>1051</v>
      </c>
      <c r="BX4" s="783" t="s">
        <v>1052</v>
      </c>
      <c r="BY4" s="786" t="s">
        <v>1051</v>
      </c>
      <c r="BZ4" s="783" t="s">
        <v>1052</v>
      </c>
      <c r="CA4" s="786" t="s">
        <v>1051</v>
      </c>
      <c r="CB4" s="783" t="s">
        <v>1052</v>
      </c>
      <c r="CC4" s="786" t="s">
        <v>1051</v>
      </c>
      <c r="CD4" s="783" t="s">
        <v>1052</v>
      </c>
      <c r="CE4" s="786" t="s">
        <v>1051</v>
      </c>
      <c r="CF4" s="783" t="s">
        <v>1052</v>
      </c>
      <c r="CG4" s="786" t="s">
        <v>1051</v>
      </c>
      <c r="CH4" s="783" t="s">
        <v>1052</v>
      </c>
      <c r="CI4" s="786" t="s">
        <v>1051</v>
      </c>
      <c r="CJ4" s="783" t="s">
        <v>1052</v>
      </c>
      <c r="CK4" s="786" t="s">
        <v>1051</v>
      </c>
      <c r="CL4" s="783" t="s">
        <v>1052</v>
      </c>
      <c r="CM4" s="786" t="s">
        <v>1051</v>
      </c>
      <c r="CN4" s="783" t="s">
        <v>1052</v>
      </c>
      <c r="CO4" s="786" t="s">
        <v>1051</v>
      </c>
      <c r="CP4" s="783" t="s">
        <v>1052</v>
      </c>
      <c r="CQ4" s="786" t="s">
        <v>1051</v>
      </c>
      <c r="CR4" s="783" t="s">
        <v>1052</v>
      </c>
      <c r="CS4" s="786" t="s">
        <v>1051</v>
      </c>
      <c r="CT4" s="783" t="s">
        <v>1052</v>
      </c>
    </row>
    <row r="5" spans="2:98" ht="11.25" customHeight="1">
      <c r="B5" s="797" t="s">
        <v>1006</v>
      </c>
      <c r="C5" s="797" t="s">
        <v>1053</v>
      </c>
      <c r="D5" s="798">
        <v>381</v>
      </c>
      <c r="E5" s="799">
        <f t="shared" ref="E5:E43" si="4">1013.25*(1-(0.0065*D5)/288.15)^5.255</f>
        <v>968.3165638120455</v>
      </c>
      <c r="F5" s="799">
        <f t="shared" si="2"/>
        <v>0</v>
      </c>
      <c r="G5" s="799">
        <v>3152</v>
      </c>
      <c r="H5" s="799">
        <f t="shared" si="3"/>
        <v>0</v>
      </c>
      <c r="I5" s="799">
        <v>-5.5</v>
      </c>
      <c r="J5" s="800">
        <v>-12.9</v>
      </c>
      <c r="K5" s="792"/>
      <c r="L5" s="802">
        <v>5</v>
      </c>
      <c r="M5" s="802">
        <v>-25</v>
      </c>
      <c r="N5" s="803">
        <f>INDEX($S$1:$CT$65,L5,MATCH($N$2,$S$2:$CT$2,0))</f>
        <v>0</v>
      </c>
      <c r="O5" s="804">
        <f t="shared" ref="O5:O65" si="5">INDEX($S$1:$CT$65,L5,MATCH($O$2,$S$2:$CT$2,0))</f>
        <v>0</v>
      </c>
      <c r="P5" s="805">
        <v>0</v>
      </c>
      <c r="Q5" s="806">
        <f t="shared" ref="Q5:Q36" si="6">AbsFeuchte(M5,N5,$F$44)</f>
        <v>0</v>
      </c>
      <c r="R5" s="801"/>
      <c r="S5" s="780">
        <v>0</v>
      </c>
      <c r="T5" s="780">
        <v>0</v>
      </c>
      <c r="U5" s="780">
        <v>0</v>
      </c>
      <c r="V5" s="780">
        <v>0</v>
      </c>
      <c r="W5" s="780">
        <v>0</v>
      </c>
      <c r="X5" s="780">
        <v>0</v>
      </c>
      <c r="Y5" s="780">
        <v>0</v>
      </c>
      <c r="Z5" s="780">
        <v>0</v>
      </c>
      <c r="AA5" s="780">
        <v>0</v>
      </c>
      <c r="AB5" s="780">
        <v>0</v>
      </c>
      <c r="AC5" s="780">
        <v>0</v>
      </c>
      <c r="AD5" s="780">
        <v>0</v>
      </c>
      <c r="AE5" s="780">
        <v>0</v>
      </c>
      <c r="AF5" s="780">
        <v>0</v>
      </c>
      <c r="AG5" s="780">
        <v>0</v>
      </c>
      <c r="AH5" s="780">
        <v>0</v>
      </c>
      <c r="AI5" s="780">
        <v>0</v>
      </c>
      <c r="AJ5" s="780">
        <v>0</v>
      </c>
      <c r="AK5" s="780">
        <v>0</v>
      </c>
      <c r="AL5" s="780">
        <v>0</v>
      </c>
      <c r="AM5" s="780">
        <v>0</v>
      </c>
      <c r="AN5" s="780">
        <v>0</v>
      </c>
      <c r="AO5" s="780">
        <v>0</v>
      </c>
      <c r="AP5" s="780">
        <v>0</v>
      </c>
      <c r="AQ5" s="780">
        <v>0</v>
      </c>
      <c r="AR5" s="780">
        <v>0</v>
      </c>
      <c r="AS5" s="780">
        <v>0</v>
      </c>
      <c r="AT5" s="780">
        <v>0</v>
      </c>
      <c r="AU5" s="780">
        <v>0</v>
      </c>
      <c r="AV5" s="780">
        <v>0</v>
      </c>
      <c r="AW5" s="780">
        <v>0</v>
      </c>
      <c r="AX5" s="780">
        <v>0</v>
      </c>
      <c r="AY5" s="780">
        <v>0</v>
      </c>
      <c r="AZ5" s="780">
        <v>0</v>
      </c>
      <c r="BA5" s="780">
        <v>0</v>
      </c>
      <c r="BB5" s="780">
        <v>0</v>
      </c>
      <c r="BC5" s="780">
        <v>0</v>
      </c>
      <c r="BD5" s="780">
        <v>0</v>
      </c>
      <c r="BE5" s="780">
        <v>0</v>
      </c>
      <c r="BF5" s="780">
        <v>0</v>
      </c>
      <c r="BG5" s="780">
        <v>0</v>
      </c>
      <c r="BH5" s="780">
        <v>0</v>
      </c>
      <c r="BI5" s="780">
        <v>0</v>
      </c>
      <c r="BJ5" s="780">
        <v>0</v>
      </c>
      <c r="BK5" s="780">
        <v>0</v>
      </c>
      <c r="BL5" s="780">
        <v>0</v>
      </c>
      <c r="BM5" s="780">
        <v>0</v>
      </c>
      <c r="BN5" s="780">
        <v>0</v>
      </c>
      <c r="BO5" s="780">
        <v>0</v>
      </c>
      <c r="BP5" s="780">
        <v>0</v>
      </c>
      <c r="BQ5" s="780">
        <v>0</v>
      </c>
      <c r="BR5" s="780">
        <v>0</v>
      </c>
      <c r="BS5" s="780">
        <v>0</v>
      </c>
      <c r="BT5" s="780">
        <v>0</v>
      </c>
      <c r="BU5" s="780">
        <v>0</v>
      </c>
      <c r="BV5" s="780">
        <v>0</v>
      </c>
      <c r="BW5" s="780">
        <v>0</v>
      </c>
      <c r="BX5" s="780">
        <v>0</v>
      </c>
      <c r="BY5" s="780">
        <v>0</v>
      </c>
      <c r="BZ5" s="780">
        <v>0</v>
      </c>
      <c r="CA5" s="780">
        <v>0</v>
      </c>
      <c r="CB5" s="780">
        <v>0</v>
      </c>
      <c r="CC5" s="780">
        <v>0</v>
      </c>
      <c r="CD5" s="780">
        <v>0</v>
      </c>
      <c r="CE5" s="780">
        <v>0</v>
      </c>
      <c r="CF5" s="780">
        <v>0</v>
      </c>
      <c r="CG5" s="780">
        <v>0</v>
      </c>
      <c r="CH5" s="780">
        <v>0</v>
      </c>
      <c r="CI5" s="780">
        <v>0</v>
      </c>
      <c r="CJ5" s="780">
        <v>0</v>
      </c>
      <c r="CK5" s="780">
        <v>0</v>
      </c>
      <c r="CL5" s="780">
        <v>0</v>
      </c>
      <c r="CM5" s="780">
        <v>0</v>
      </c>
      <c r="CN5" s="780">
        <v>0</v>
      </c>
      <c r="CO5" s="780">
        <v>0</v>
      </c>
      <c r="CP5" s="780">
        <v>0</v>
      </c>
      <c r="CQ5" s="780">
        <v>0</v>
      </c>
      <c r="CR5" s="780">
        <v>0</v>
      </c>
      <c r="CS5" s="780">
        <v>0</v>
      </c>
      <c r="CT5" s="780">
        <v>0</v>
      </c>
    </row>
    <row r="6" spans="2:98" ht="11.25" customHeight="1">
      <c r="B6" s="797" t="s">
        <v>1007</v>
      </c>
      <c r="C6" s="797" t="s">
        <v>1054</v>
      </c>
      <c r="D6" s="798">
        <v>449</v>
      </c>
      <c r="E6" s="799">
        <f t="shared" si="4"/>
        <v>960.46939726677113</v>
      </c>
      <c r="F6" s="799">
        <f t="shared" si="2"/>
        <v>0</v>
      </c>
      <c r="G6" s="807">
        <v>3200</v>
      </c>
      <c r="H6" s="799">
        <f t="shared" si="3"/>
        <v>0</v>
      </c>
      <c r="I6" s="799">
        <v>-5.6</v>
      </c>
      <c r="J6" s="800">
        <v>-10.8</v>
      </c>
      <c r="K6" s="792"/>
      <c r="L6" s="802">
        <v>6</v>
      </c>
      <c r="M6" s="802">
        <v>-24</v>
      </c>
      <c r="N6" s="803">
        <f t="shared" ref="N6:N65" si="7">INDEX($S$1:$CT$65,L6,MATCH($N$2,$S$2:$CT$2,0))</f>
        <v>0</v>
      </c>
      <c r="O6" s="804">
        <f t="shared" si="5"/>
        <v>0</v>
      </c>
      <c r="P6" s="805">
        <f>O6+P5</f>
        <v>0</v>
      </c>
      <c r="Q6" s="806">
        <f t="shared" si="6"/>
        <v>0</v>
      </c>
      <c r="R6" s="801"/>
      <c r="S6" s="781">
        <v>0</v>
      </c>
      <c r="T6" s="780">
        <v>0</v>
      </c>
      <c r="U6" s="781">
        <v>0</v>
      </c>
      <c r="V6" s="780">
        <v>0</v>
      </c>
      <c r="W6" s="781">
        <v>0</v>
      </c>
      <c r="X6" s="780">
        <v>0</v>
      </c>
      <c r="Y6" s="781">
        <v>0</v>
      </c>
      <c r="Z6" s="780">
        <v>0</v>
      </c>
      <c r="AA6" s="781">
        <v>0</v>
      </c>
      <c r="AB6" s="780">
        <v>0</v>
      </c>
      <c r="AC6" s="781">
        <v>0</v>
      </c>
      <c r="AD6" s="780">
        <v>0</v>
      </c>
      <c r="AE6" s="781">
        <v>0</v>
      </c>
      <c r="AF6" s="780">
        <v>0</v>
      </c>
      <c r="AG6" s="781">
        <v>0</v>
      </c>
      <c r="AH6" s="780">
        <v>0</v>
      </c>
      <c r="AI6" s="781">
        <v>0</v>
      </c>
      <c r="AJ6" s="780">
        <v>0</v>
      </c>
      <c r="AK6" s="781">
        <v>0</v>
      </c>
      <c r="AL6" s="780">
        <v>0</v>
      </c>
      <c r="AM6" s="781">
        <v>0</v>
      </c>
      <c r="AN6" s="780">
        <v>0</v>
      </c>
      <c r="AO6" s="781">
        <v>0</v>
      </c>
      <c r="AP6" s="780">
        <v>0</v>
      </c>
      <c r="AQ6" s="781">
        <v>0</v>
      </c>
      <c r="AR6" s="780">
        <v>0</v>
      </c>
      <c r="AS6" s="781">
        <v>0</v>
      </c>
      <c r="AT6" s="780">
        <v>0</v>
      </c>
      <c r="AU6" s="781">
        <v>0</v>
      </c>
      <c r="AV6" s="780">
        <v>0</v>
      </c>
      <c r="AW6" s="781">
        <v>0</v>
      </c>
      <c r="AX6" s="780">
        <v>0</v>
      </c>
      <c r="AY6" s="781">
        <v>0</v>
      </c>
      <c r="AZ6" s="780">
        <v>0</v>
      </c>
      <c r="BA6" s="781">
        <v>0</v>
      </c>
      <c r="BB6" s="780">
        <v>0</v>
      </c>
      <c r="BC6" s="781">
        <v>0</v>
      </c>
      <c r="BD6" s="780">
        <v>0</v>
      </c>
      <c r="BE6" s="781">
        <v>0</v>
      </c>
      <c r="BF6" s="780">
        <v>0</v>
      </c>
      <c r="BG6" s="781">
        <v>0</v>
      </c>
      <c r="BH6" s="780">
        <v>0</v>
      </c>
      <c r="BI6" s="781">
        <v>0</v>
      </c>
      <c r="BJ6" s="780">
        <v>0</v>
      </c>
      <c r="BK6" s="781">
        <v>0</v>
      </c>
      <c r="BL6" s="780">
        <v>0</v>
      </c>
      <c r="BM6" s="781">
        <v>0</v>
      </c>
      <c r="BN6" s="780">
        <v>0</v>
      </c>
      <c r="BO6" s="781">
        <v>0</v>
      </c>
      <c r="BP6" s="780">
        <v>0</v>
      </c>
      <c r="BQ6" s="781">
        <v>0</v>
      </c>
      <c r="BR6" s="780">
        <v>0</v>
      </c>
      <c r="BS6" s="781">
        <v>0</v>
      </c>
      <c r="BT6" s="780">
        <v>0</v>
      </c>
      <c r="BU6" s="781">
        <v>0</v>
      </c>
      <c r="BV6" s="780">
        <v>0</v>
      </c>
      <c r="BW6" s="781">
        <v>0</v>
      </c>
      <c r="BX6" s="780">
        <v>0</v>
      </c>
      <c r="BY6" s="781">
        <v>0.82833333333333325</v>
      </c>
      <c r="BZ6" s="780">
        <v>18</v>
      </c>
      <c r="CA6" s="781">
        <v>0</v>
      </c>
      <c r="CB6" s="780">
        <v>0</v>
      </c>
      <c r="CC6" s="781">
        <v>0</v>
      </c>
      <c r="CD6" s="780">
        <v>0</v>
      </c>
      <c r="CE6" s="781">
        <v>0</v>
      </c>
      <c r="CF6" s="780">
        <v>0</v>
      </c>
      <c r="CG6" s="781">
        <v>0</v>
      </c>
      <c r="CH6" s="780">
        <v>0</v>
      </c>
      <c r="CI6" s="781">
        <v>0</v>
      </c>
      <c r="CJ6" s="780">
        <v>0</v>
      </c>
      <c r="CK6" s="781">
        <v>0</v>
      </c>
      <c r="CL6" s="780">
        <v>0</v>
      </c>
      <c r="CM6" s="781">
        <v>0.79230769230769227</v>
      </c>
      <c r="CN6" s="780">
        <v>13</v>
      </c>
      <c r="CO6" s="781">
        <v>0</v>
      </c>
      <c r="CP6" s="780">
        <v>0</v>
      </c>
      <c r="CQ6" s="781">
        <v>0</v>
      </c>
      <c r="CR6" s="780">
        <v>0</v>
      </c>
      <c r="CS6" s="781">
        <v>0</v>
      </c>
      <c r="CT6" s="780">
        <v>0</v>
      </c>
    </row>
    <row r="7" spans="2:98" ht="11.25" customHeight="1">
      <c r="B7" s="797" t="s">
        <v>1008</v>
      </c>
      <c r="C7" s="797" t="s">
        <v>1055</v>
      </c>
      <c r="D7" s="798">
        <v>316</v>
      </c>
      <c r="E7" s="799">
        <f t="shared" si="4"/>
        <v>975.86598028387471</v>
      </c>
      <c r="F7" s="799">
        <f t="shared" si="2"/>
        <v>0</v>
      </c>
      <c r="G7" s="807">
        <v>3032</v>
      </c>
      <c r="H7" s="799">
        <f t="shared" si="3"/>
        <v>0</v>
      </c>
      <c r="I7" s="799">
        <v>-6.5</v>
      </c>
      <c r="J7" s="800">
        <v>-12.8</v>
      </c>
      <c r="K7" s="792"/>
      <c r="L7" s="802">
        <v>7</v>
      </c>
      <c r="M7" s="802">
        <v>-23</v>
      </c>
      <c r="N7" s="803">
        <f>INDEX($S$1:$CT$65,L7,MATCH($N$2,$S$2:$CT$2,0))</f>
        <v>0</v>
      </c>
      <c r="O7" s="804">
        <f t="shared" si="5"/>
        <v>0</v>
      </c>
      <c r="P7" s="805">
        <f t="shared" ref="P7:P65" si="8">O7+P6</f>
        <v>0</v>
      </c>
      <c r="Q7" s="806">
        <f t="shared" si="6"/>
        <v>0</v>
      </c>
      <c r="R7" s="801"/>
      <c r="S7" s="781">
        <v>0</v>
      </c>
      <c r="T7" s="780">
        <v>0</v>
      </c>
      <c r="U7" s="781">
        <v>0</v>
      </c>
      <c r="V7" s="780">
        <v>0</v>
      </c>
      <c r="W7" s="781">
        <v>0</v>
      </c>
      <c r="X7" s="780">
        <v>0</v>
      </c>
      <c r="Y7" s="781">
        <v>0</v>
      </c>
      <c r="Z7" s="780">
        <v>0</v>
      </c>
      <c r="AA7" s="781">
        <v>0</v>
      </c>
      <c r="AB7" s="780">
        <v>0</v>
      </c>
      <c r="AC7" s="781">
        <v>0</v>
      </c>
      <c r="AD7" s="780">
        <v>0</v>
      </c>
      <c r="AE7" s="781">
        <v>0</v>
      </c>
      <c r="AF7" s="780">
        <v>0</v>
      </c>
      <c r="AG7" s="781">
        <v>0</v>
      </c>
      <c r="AH7" s="780">
        <v>0</v>
      </c>
      <c r="AI7" s="781">
        <v>0</v>
      </c>
      <c r="AJ7" s="780">
        <v>0</v>
      </c>
      <c r="AK7" s="781">
        <v>0</v>
      </c>
      <c r="AL7" s="780">
        <v>0</v>
      </c>
      <c r="AM7" s="781">
        <v>0</v>
      </c>
      <c r="AN7" s="780">
        <v>0</v>
      </c>
      <c r="AO7" s="781">
        <v>0</v>
      </c>
      <c r="AP7" s="780">
        <v>0</v>
      </c>
      <c r="AQ7" s="781">
        <v>0</v>
      </c>
      <c r="AR7" s="780">
        <v>0</v>
      </c>
      <c r="AS7" s="781">
        <v>0</v>
      </c>
      <c r="AT7" s="780">
        <v>0</v>
      </c>
      <c r="AU7" s="781">
        <v>0</v>
      </c>
      <c r="AV7" s="780">
        <v>0</v>
      </c>
      <c r="AW7" s="781">
        <v>0</v>
      </c>
      <c r="AX7" s="780">
        <v>0</v>
      </c>
      <c r="AY7" s="781">
        <v>0</v>
      </c>
      <c r="AZ7" s="780">
        <v>0</v>
      </c>
      <c r="BA7" s="781">
        <v>0</v>
      </c>
      <c r="BB7" s="780">
        <v>0</v>
      </c>
      <c r="BC7" s="781">
        <v>0</v>
      </c>
      <c r="BD7" s="780">
        <v>0</v>
      </c>
      <c r="BE7" s="781">
        <v>0</v>
      </c>
      <c r="BF7" s="780">
        <v>0</v>
      </c>
      <c r="BG7" s="781">
        <v>0</v>
      </c>
      <c r="BH7" s="780">
        <v>0</v>
      </c>
      <c r="BI7" s="781">
        <v>0</v>
      </c>
      <c r="BJ7" s="780">
        <v>0</v>
      </c>
      <c r="BK7" s="781">
        <v>0</v>
      </c>
      <c r="BL7" s="780">
        <v>0</v>
      </c>
      <c r="BM7" s="781">
        <v>0</v>
      </c>
      <c r="BN7" s="780">
        <v>0</v>
      </c>
      <c r="BO7" s="781">
        <v>0</v>
      </c>
      <c r="BP7" s="780">
        <v>0</v>
      </c>
      <c r="BQ7" s="781">
        <v>0</v>
      </c>
      <c r="BR7" s="780">
        <v>0</v>
      </c>
      <c r="BS7" s="781">
        <v>0</v>
      </c>
      <c r="BT7" s="780">
        <v>0</v>
      </c>
      <c r="BU7" s="781">
        <v>0</v>
      </c>
      <c r="BV7" s="780">
        <v>0</v>
      </c>
      <c r="BW7" s="781">
        <v>0</v>
      </c>
      <c r="BX7" s="780">
        <v>0</v>
      </c>
      <c r="BY7" s="781">
        <v>0.83540540540540542</v>
      </c>
      <c r="BZ7" s="780">
        <v>37</v>
      </c>
      <c r="CA7" s="781">
        <v>0</v>
      </c>
      <c r="CB7" s="780">
        <v>0</v>
      </c>
      <c r="CC7" s="781">
        <v>0</v>
      </c>
      <c r="CD7" s="780">
        <v>0</v>
      </c>
      <c r="CE7" s="781">
        <v>0</v>
      </c>
      <c r="CF7" s="780">
        <v>0</v>
      </c>
      <c r="CG7" s="781">
        <v>0</v>
      </c>
      <c r="CH7" s="780">
        <v>0</v>
      </c>
      <c r="CI7" s="781">
        <v>0</v>
      </c>
      <c r="CJ7" s="780">
        <v>0</v>
      </c>
      <c r="CK7" s="781">
        <v>0</v>
      </c>
      <c r="CL7" s="780">
        <v>0</v>
      </c>
      <c r="CM7" s="781">
        <v>0.8</v>
      </c>
      <c r="CN7" s="780">
        <v>17</v>
      </c>
      <c r="CO7" s="781">
        <v>0</v>
      </c>
      <c r="CP7" s="780">
        <v>0</v>
      </c>
      <c r="CQ7" s="781">
        <v>0</v>
      </c>
      <c r="CR7" s="780">
        <v>0</v>
      </c>
      <c r="CS7" s="781">
        <v>0</v>
      </c>
      <c r="CT7" s="780">
        <v>0</v>
      </c>
    </row>
    <row r="8" spans="2:98" ht="11.25" customHeight="1">
      <c r="B8" s="797" t="s">
        <v>1009</v>
      </c>
      <c r="C8" s="797" t="s">
        <v>1050</v>
      </c>
      <c r="D8" s="798">
        <v>565</v>
      </c>
      <c r="E8" s="799">
        <f t="shared" si="4"/>
        <v>947.20193714169761</v>
      </c>
      <c r="F8" s="799">
        <f t="shared" si="2"/>
        <v>0</v>
      </c>
      <c r="G8" s="807">
        <v>3514</v>
      </c>
      <c r="H8" s="799">
        <f t="shared" si="3"/>
        <v>0</v>
      </c>
      <c r="I8" s="799">
        <v>-7.4</v>
      </c>
      <c r="J8" s="800">
        <v>-13.6</v>
      </c>
      <c r="K8" s="792"/>
      <c r="L8" s="802">
        <v>8</v>
      </c>
      <c r="M8" s="802">
        <v>-22</v>
      </c>
      <c r="N8" s="803">
        <f t="shared" si="7"/>
        <v>0</v>
      </c>
      <c r="O8" s="804">
        <f t="shared" si="5"/>
        <v>0</v>
      </c>
      <c r="P8" s="805">
        <f t="shared" si="8"/>
        <v>0</v>
      </c>
      <c r="Q8" s="806">
        <f t="shared" si="6"/>
        <v>0</v>
      </c>
      <c r="R8" s="801"/>
      <c r="S8" s="781">
        <v>0</v>
      </c>
      <c r="T8" s="780">
        <v>0</v>
      </c>
      <c r="U8" s="781">
        <v>0</v>
      </c>
      <c r="V8" s="780">
        <v>0</v>
      </c>
      <c r="W8" s="781">
        <v>0</v>
      </c>
      <c r="X8" s="780">
        <v>0</v>
      </c>
      <c r="Y8" s="781">
        <v>0</v>
      </c>
      <c r="Z8" s="780">
        <v>0</v>
      </c>
      <c r="AA8" s="781">
        <v>0</v>
      </c>
      <c r="AB8" s="780">
        <v>0</v>
      </c>
      <c r="AC8" s="781">
        <v>0</v>
      </c>
      <c r="AD8" s="780">
        <v>0</v>
      </c>
      <c r="AE8" s="781">
        <v>0</v>
      </c>
      <c r="AF8" s="780">
        <v>0</v>
      </c>
      <c r="AG8" s="781">
        <v>0</v>
      </c>
      <c r="AH8" s="780">
        <v>0</v>
      </c>
      <c r="AI8" s="781">
        <v>0</v>
      </c>
      <c r="AJ8" s="780">
        <v>0</v>
      </c>
      <c r="AK8" s="781">
        <v>0</v>
      </c>
      <c r="AL8" s="780">
        <v>0</v>
      </c>
      <c r="AM8" s="781">
        <v>0</v>
      </c>
      <c r="AN8" s="780">
        <v>0</v>
      </c>
      <c r="AO8" s="781">
        <v>0</v>
      </c>
      <c r="AP8" s="780">
        <v>0</v>
      </c>
      <c r="AQ8" s="781">
        <v>0</v>
      </c>
      <c r="AR8" s="780">
        <v>0</v>
      </c>
      <c r="AS8" s="781">
        <v>0</v>
      </c>
      <c r="AT8" s="780">
        <v>0</v>
      </c>
      <c r="AU8" s="781">
        <v>0</v>
      </c>
      <c r="AV8" s="780">
        <v>0</v>
      </c>
      <c r="AW8" s="781">
        <v>0</v>
      </c>
      <c r="AX8" s="780">
        <v>0</v>
      </c>
      <c r="AY8" s="781">
        <v>0</v>
      </c>
      <c r="AZ8" s="780">
        <v>0</v>
      </c>
      <c r="BA8" s="781">
        <v>0</v>
      </c>
      <c r="BB8" s="780">
        <v>0</v>
      </c>
      <c r="BC8" s="781">
        <v>0</v>
      </c>
      <c r="BD8" s="780">
        <v>0</v>
      </c>
      <c r="BE8" s="781">
        <v>0</v>
      </c>
      <c r="BF8" s="780">
        <v>0</v>
      </c>
      <c r="BG8" s="781">
        <v>0</v>
      </c>
      <c r="BH8" s="780">
        <v>0</v>
      </c>
      <c r="BI8" s="781">
        <v>0</v>
      </c>
      <c r="BJ8" s="780">
        <v>0</v>
      </c>
      <c r="BK8" s="781">
        <v>0</v>
      </c>
      <c r="BL8" s="780">
        <v>0</v>
      </c>
      <c r="BM8" s="781">
        <v>0</v>
      </c>
      <c r="BN8" s="780">
        <v>0</v>
      </c>
      <c r="BO8" s="781">
        <v>0</v>
      </c>
      <c r="BP8" s="780">
        <v>0</v>
      </c>
      <c r="BQ8" s="781">
        <v>0</v>
      </c>
      <c r="BR8" s="780">
        <v>0</v>
      </c>
      <c r="BS8" s="781">
        <v>0</v>
      </c>
      <c r="BT8" s="780">
        <v>0</v>
      </c>
      <c r="BU8" s="781">
        <v>0</v>
      </c>
      <c r="BV8" s="780">
        <v>0</v>
      </c>
      <c r="BW8" s="781">
        <v>0</v>
      </c>
      <c r="BX8" s="780">
        <v>0</v>
      </c>
      <c r="BY8" s="781">
        <v>0.82641025641025634</v>
      </c>
      <c r="BZ8" s="780">
        <v>39</v>
      </c>
      <c r="CA8" s="781">
        <v>0</v>
      </c>
      <c r="CB8" s="780">
        <v>0</v>
      </c>
      <c r="CC8" s="781">
        <v>0</v>
      </c>
      <c r="CD8" s="780">
        <v>0</v>
      </c>
      <c r="CE8" s="781">
        <v>0</v>
      </c>
      <c r="CF8" s="780">
        <v>0</v>
      </c>
      <c r="CG8" s="781">
        <v>0</v>
      </c>
      <c r="CH8" s="780">
        <v>0</v>
      </c>
      <c r="CI8" s="781">
        <v>0</v>
      </c>
      <c r="CJ8" s="780">
        <v>0</v>
      </c>
      <c r="CK8" s="781">
        <v>0</v>
      </c>
      <c r="CL8" s="780">
        <v>0</v>
      </c>
      <c r="CM8" s="781">
        <v>0.8092307692307692</v>
      </c>
      <c r="CN8" s="780">
        <v>26</v>
      </c>
      <c r="CO8" s="781">
        <v>0</v>
      </c>
      <c r="CP8" s="780">
        <v>0</v>
      </c>
      <c r="CQ8" s="781">
        <v>0</v>
      </c>
      <c r="CR8" s="780">
        <v>0</v>
      </c>
      <c r="CS8" s="781">
        <v>0</v>
      </c>
      <c r="CT8" s="780">
        <v>0</v>
      </c>
    </row>
    <row r="9" spans="2:98" ht="11.25" customHeight="1">
      <c r="B9" s="797" t="s">
        <v>1010</v>
      </c>
      <c r="C9" s="797" t="s">
        <v>1056</v>
      </c>
      <c r="D9" s="798">
        <v>387</v>
      </c>
      <c r="E9" s="799">
        <f t="shared" si="4"/>
        <v>967.622085649459</v>
      </c>
      <c r="F9" s="799">
        <f t="shared" si="2"/>
        <v>0</v>
      </c>
      <c r="G9" s="807">
        <v>3325</v>
      </c>
      <c r="H9" s="799">
        <f t="shared" si="3"/>
        <v>0</v>
      </c>
      <c r="I9" s="799">
        <v>-7.1</v>
      </c>
      <c r="J9" s="800">
        <v>-14</v>
      </c>
      <c r="K9" s="792"/>
      <c r="L9" s="802">
        <v>9</v>
      </c>
      <c r="M9" s="802">
        <v>-21</v>
      </c>
      <c r="N9" s="803">
        <f t="shared" si="7"/>
        <v>0</v>
      </c>
      <c r="O9" s="804">
        <f t="shared" si="5"/>
        <v>0</v>
      </c>
      <c r="P9" s="805">
        <f t="shared" si="8"/>
        <v>0</v>
      </c>
      <c r="Q9" s="806">
        <f t="shared" si="6"/>
        <v>0</v>
      </c>
      <c r="R9" s="801"/>
      <c r="S9" s="781">
        <v>0</v>
      </c>
      <c r="T9" s="780">
        <v>0</v>
      </c>
      <c r="U9" s="781">
        <v>0</v>
      </c>
      <c r="V9" s="780">
        <v>0</v>
      </c>
      <c r="W9" s="781">
        <v>0</v>
      </c>
      <c r="X9" s="780">
        <v>0</v>
      </c>
      <c r="Y9" s="781">
        <v>0</v>
      </c>
      <c r="Z9" s="780">
        <v>0</v>
      </c>
      <c r="AA9" s="781">
        <v>0</v>
      </c>
      <c r="AB9" s="780">
        <v>0</v>
      </c>
      <c r="AC9" s="781">
        <v>0</v>
      </c>
      <c r="AD9" s="780">
        <v>0</v>
      </c>
      <c r="AE9" s="781">
        <v>0</v>
      </c>
      <c r="AF9" s="780">
        <v>0</v>
      </c>
      <c r="AG9" s="781">
        <v>0</v>
      </c>
      <c r="AH9" s="780">
        <v>0</v>
      </c>
      <c r="AI9" s="781">
        <v>0</v>
      </c>
      <c r="AJ9" s="780">
        <v>0</v>
      </c>
      <c r="AK9" s="781">
        <v>0</v>
      </c>
      <c r="AL9" s="780">
        <v>0</v>
      </c>
      <c r="AM9" s="781">
        <v>0</v>
      </c>
      <c r="AN9" s="780">
        <v>0</v>
      </c>
      <c r="AO9" s="781">
        <v>0</v>
      </c>
      <c r="AP9" s="780">
        <v>0</v>
      </c>
      <c r="AQ9" s="781">
        <v>0</v>
      </c>
      <c r="AR9" s="780">
        <v>0</v>
      </c>
      <c r="AS9" s="781">
        <v>0.81461538461538463</v>
      </c>
      <c r="AT9" s="780">
        <v>13</v>
      </c>
      <c r="AU9" s="781">
        <v>0</v>
      </c>
      <c r="AV9" s="780">
        <v>0</v>
      </c>
      <c r="AW9" s="781">
        <v>0</v>
      </c>
      <c r="AX9" s="780">
        <v>0</v>
      </c>
      <c r="AY9" s="781">
        <v>0</v>
      </c>
      <c r="AZ9" s="780">
        <v>0</v>
      </c>
      <c r="BA9" s="781">
        <v>0</v>
      </c>
      <c r="BB9" s="780">
        <v>0</v>
      </c>
      <c r="BC9" s="781">
        <v>0</v>
      </c>
      <c r="BD9" s="780">
        <v>0</v>
      </c>
      <c r="BE9" s="781">
        <v>0</v>
      </c>
      <c r="BF9" s="780">
        <v>0</v>
      </c>
      <c r="BG9" s="781">
        <v>0</v>
      </c>
      <c r="BH9" s="780">
        <v>0</v>
      </c>
      <c r="BI9" s="781">
        <v>0</v>
      </c>
      <c r="BJ9" s="780">
        <v>0</v>
      </c>
      <c r="BK9" s="781">
        <v>0</v>
      </c>
      <c r="BL9" s="780">
        <v>0</v>
      </c>
      <c r="BM9" s="781">
        <v>0</v>
      </c>
      <c r="BN9" s="780">
        <v>0</v>
      </c>
      <c r="BO9" s="781">
        <v>0</v>
      </c>
      <c r="BP9" s="780">
        <v>0</v>
      </c>
      <c r="BQ9" s="781">
        <v>0</v>
      </c>
      <c r="BR9" s="780">
        <v>0</v>
      </c>
      <c r="BS9" s="781">
        <v>0</v>
      </c>
      <c r="BT9" s="780">
        <v>0</v>
      </c>
      <c r="BU9" s="781">
        <v>0</v>
      </c>
      <c r="BV9" s="780">
        <v>0</v>
      </c>
      <c r="BW9" s="781">
        <v>0</v>
      </c>
      <c r="BX9" s="780">
        <v>0</v>
      </c>
      <c r="BY9" s="781">
        <v>0.83564102564102571</v>
      </c>
      <c r="BZ9" s="780">
        <v>39</v>
      </c>
      <c r="CA9" s="781">
        <v>0</v>
      </c>
      <c r="CB9" s="780">
        <v>0</v>
      </c>
      <c r="CC9" s="781">
        <v>0</v>
      </c>
      <c r="CD9" s="780">
        <v>0</v>
      </c>
      <c r="CE9" s="781">
        <v>0</v>
      </c>
      <c r="CF9" s="780">
        <v>0</v>
      </c>
      <c r="CG9" s="781">
        <v>0</v>
      </c>
      <c r="CH9" s="780">
        <v>0</v>
      </c>
      <c r="CI9" s="781">
        <v>0</v>
      </c>
      <c r="CJ9" s="780">
        <v>0</v>
      </c>
      <c r="CK9" s="781">
        <v>0</v>
      </c>
      <c r="CL9" s="780">
        <v>0</v>
      </c>
      <c r="CM9" s="781">
        <v>0.81580645161290322</v>
      </c>
      <c r="CN9" s="780">
        <v>31</v>
      </c>
      <c r="CO9" s="781">
        <v>0</v>
      </c>
      <c r="CP9" s="780">
        <v>0</v>
      </c>
      <c r="CQ9" s="781">
        <v>0</v>
      </c>
      <c r="CR9" s="780">
        <v>0</v>
      </c>
      <c r="CS9" s="781">
        <v>0</v>
      </c>
      <c r="CT9" s="780">
        <v>0</v>
      </c>
    </row>
    <row r="10" spans="2:98" ht="11.25" customHeight="1">
      <c r="B10" s="797" t="s">
        <v>1012</v>
      </c>
      <c r="C10" s="797" t="s">
        <v>1057</v>
      </c>
      <c r="D10" s="798">
        <v>555</v>
      </c>
      <c r="E10" s="799">
        <f t="shared" si="4"/>
        <v>948.33980504727856</v>
      </c>
      <c r="F10" s="799">
        <f t="shared" si="2"/>
        <v>0</v>
      </c>
      <c r="G10" s="807">
        <v>3335</v>
      </c>
      <c r="H10" s="799">
        <f t="shared" si="3"/>
        <v>0</v>
      </c>
      <c r="I10" s="799">
        <v>-7.2</v>
      </c>
      <c r="J10" s="800">
        <v>-14.2</v>
      </c>
      <c r="K10" s="792"/>
      <c r="L10" s="802">
        <v>10</v>
      </c>
      <c r="M10" s="802">
        <v>-20</v>
      </c>
      <c r="N10" s="803">
        <f t="shared" si="7"/>
        <v>0</v>
      </c>
      <c r="O10" s="804">
        <f t="shared" si="5"/>
        <v>0</v>
      </c>
      <c r="P10" s="805">
        <f t="shared" si="8"/>
        <v>0</v>
      </c>
      <c r="Q10" s="806">
        <f t="shared" si="6"/>
        <v>0</v>
      </c>
      <c r="R10" s="801"/>
      <c r="S10" s="781">
        <v>0</v>
      </c>
      <c r="T10" s="780">
        <v>0</v>
      </c>
      <c r="U10" s="781">
        <v>0</v>
      </c>
      <c r="V10" s="780">
        <v>0</v>
      </c>
      <c r="W10" s="781">
        <v>0</v>
      </c>
      <c r="X10" s="780">
        <v>0</v>
      </c>
      <c r="Y10" s="781">
        <v>0</v>
      </c>
      <c r="Z10" s="780">
        <v>0</v>
      </c>
      <c r="AA10" s="781">
        <v>0</v>
      </c>
      <c r="AB10" s="780">
        <v>0</v>
      </c>
      <c r="AC10" s="781">
        <v>0</v>
      </c>
      <c r="AD10" s="780">
        <v>0</v>
      </c>
      <c r="AE10" s="781">
        <v>0</v>
      </c>
      <c r="AF10" s="780">
        <v>0</v>
      </c>
      <c r="AG10" s="781">
        <v>0</v>
      </c>
      <c r="AH10" s="780">
        <v>0</v>
      </c>
      <c r="AI10" s="781">
        <v>0.82499999999999996</v>
      </c>
      <c r="AJ10" s="780">
        <v>6</v>
      </c>
      <c r="AK10" s="781">
        <v>0</v>
      </c>
      <c r="AL10" s="780">
        <v>0</v>
      </c>
      <c r="AM10" s="781">
        <v>0</v>
      </c>
      <c r="AN10" s="780">
        <v>0</v>
      </c>
      <c r="AO10" s="781">
        <v>0</v>
      </c>
      <c r="AP10" s="780">
        <v>0</v>
      </c>
      <c r="AQ10" s="781">
        <v>0</v>
      </c>
      <c r="AR10" s="780">
        <v>0</v>
      </c>
      <c r="AS10" s="781">
        <v>0.8</v>
      </c>
      <c r="AT10" s="780">
        <v>4</v>
      </c>
      <c r="AU10" s="781">
        <v>0</v>
      </c>
      <c r="AV10" s="780">
        <v>0</v>
      </c>
      <c r="AW10" s="781">
        <v>0</v>
      </c>
      <c r="AX10" s="780">
        <v>0</v>
      </c>
      <c r="AY10" s="781">
        <v>0</v>
      </c>
      <c r="AZ10" s="780">
        <v>0</v>
      </c>
      <c r="BA10" s="781">
        <v>0</v>
      </c>
      <c r="BB10" s="780">
        <v>0</v>
      </c>
      <c r="BC10" s="781">
        <v>0</v>
      </c>
      <c r="BD10" s="780">
        <v>0</v>
      </c>
      <c r="BE10" s="781">
        <v>0</v>
      </c>
      <c r="BF10" s="780">
        <v>0</v>
      </c>
      <c r="BG10" s="781">
        <v>0</v>
      </c>
      <c r="BH10" s="780">
        <v>0</v>
      </c>
      <c r="BI10" s="781">
        <v>0</v>
      </c>
      <c r="BJ10" s="780">
        <v>0</v>
      </c>
      <c r="BK10" s="781">
        <v>0</v>
      </c>
      <c r="BL10" s="780">
        <v>0</v>
      </c>
      <c r="BM10" s="781">
        <v>0</v>
      </c>
      <c r="BN10" s="780">
        <v>0</v>
      </c>
      <c r="BO10" s="781">
        <v>0</v>
      </c>
      <c r="BP10" s="780">
        <v>0</v>
      </c>
      <c r="BQ10" s="781">
        <v>0</v>
      </c>
      <c r="BR10" s="780">
        <v>0</v>
      </c>
      <c r="BS10" s="781">
        <v>0</v>
      </c>
      <c r="BT10" s="780">
        <v>0</v>
      </c>
      <c r="BU10" s="781">
        <v>0</v>
      </c>
      <c r="BV10" s="780">
        <v>0</v>
      </c>
      <c r="BW10" s="781">
        <v>0</v>
      </c>
      <c r="BX10" s="780">
        <v>0</v>
      </c>
      <c r="BY10" s="781">
        <v>0.83935483870967742</v>
      </c>
      <c r="BZ10" s="780">
        <v>31</v>
      </c>
      <c r="CA10" s="781">
        <v>0</v>
      </c>
      <c r="CB10" s="780">
        <v>0</v>
      </c>
      <c r="CC10" s="781">
        <v>0</v>
      </c>
      <c r="CD10" s="780">
        <v>0</v>
      </c>
      <c r="CE10" s="781">
        <v>0</v>
      </c>
      <c r="CF10" s="780">
        <v>0</v>
      </c>
      <c r="CG10" s="781">
        <v>0</v>
      </c>
      <c r="CH10" s="780">
        <v>0</v>
      </c>
      <c r="CI10" s="781">
        <v>0</v>
      </c>
      <c r="CJ10" s="780">
        <v>0</v>
      </c>
      <c r="CK10" s="781">
        <v>0</v>
      </c>
      <c r="CL10" s="780">
        <v>0</v>
      </c>
      <c r="CM10" s="781">
        <v>0.82499999999999996</v>
      </c>
      <c r="CN10" s="780">
        <v>26</v>
      </c>
      <c r="CO10" s="781">
        <v>0</v>
      </c>
      <c r="CP10" s="780">
        <v>0</v>
      </c>
      <c r="CQ10" s="781">
        <v>0</v>
      </c>
      <c r="CR10" s="780">
        <v>0</v>
      </c>
      <c r="CS10" s="781">
        <v>0</v>
      </c>
      <c r="CT10" s="780">
        <v>0</v>
      </c>
    </row>
    <row r="11" spans="2:98" ht="11.25" customHeight="1">
      <c r="B11" s="797" t="s">
        <v>1013</v>
      </c>
      <c r="C11" s="797" t="s">
        <v>1057</v>
      </c>
      <c r="D11" s="798">
        <v>1590</v>
      </c>
      <c r="E11" s="799">
        <f t="shared" si="4"/>
        <v>836.28999065305425</v>
      </c>
      <c r="F11" s="799">
        <f t="shared" si="2"/>
        <v>0</v>
      </c>
      <c r="G11" s="807">
        <v>5689</v>
      </c>
      <c r="H11" s="799">
        <f t="shared" si="3"/>
        <v>0</v>
      </c>
      <c r="I11" s="799">
        <v>-13.1</v>
      </c>
      <c r="J11" s="800">
        <v>-19.8</v>
      </c>
      <c r="K11" s="792"/>
      <c r="L11" s="802">
        <v>11</v>
      </c>
      <c r="M11" s="802">
        <v>-19</v>
      </c>
      <c r="N11" s="803">
        <f t="shared" si="7"/>
        <v>0</v>
      </c>
      <c r="O11" s="804">
        <f t="shared" si="5"/>
        <v>0</v>
      </c>
      <c r="P11" s="805">
        <f t="shared" si="8"/>
        <v>0</v>
      </c>
      <c r="Q11" s="806">
        <f t="shared" si="6"/>
        <v>0</v>
      </c>
      <c r="R11" s="801"/>
      <c r="S11" s="781">
        <v>0</v>
      </c>
      <c r="T11" s="780">
        <v>0</v>
      </c>
      <c r="U11" s="781">
        <v>0</v>
      </c>
      <c r="V11" s="780">
        <v>0</v>
      </c>
      <c r="W11" s="781">
        <v>0</v>
      </c>
      <c r="X11" s="780">
        <v>0</v>
      </c>
      <c r="Y11" s="781">
        <v>0</v>
      </c>
      <c r="Z11" s="780">
        <v>0</v>
      </c>
      <c r="AA11" s="781">
        <v>0</v>
      </c>
      <c r="AB11" s="780">
        <v>0</v>
      </c>
      <c r="AC11" s="781">
        <v>0</v>
      </c>
      <c r="AD11" s="780">
        <v>0</v>
      </c>
      <c r="AE11" s="781">
        <v>0</v>
      </c>
      <c r="AF11" s="780">
        <v>0</v>
      </c>
      <c r="AG11" s="781">
        <v>0</v>
      </c>
      <c r="AH11" s="780">
        <v>0</v>
      </c>
      <c r="AI11" s="781">
        <v>0.82750000000000001</v>
      </c>
      <c r="AJ11" s="780">
        <v>4</v>
      </c>
      <c r="AK11" s="781">
        <v>0</v>
      </c>
      <c r="AL11" s="780">
        <v>0</v>
      </c>
      <c r="AM11" s="781">
        <v>0</v>
      </c>
      <c r="AN11" s="780">
        <v>0</v>
      </c>
      <c r="AO11" s="781">
        <v>0</v>
      </c>
      <c r="AP11" s="780">
        <v>0</v>
      </c>
      <c r="AQ11" s="781">
        <v>0</v>
      </c>
      <c r="AR11" s="780">
        <v>0</v>
      </c>
      <c r="AS11" s="781">
        <v>0.82263157894736838</v>
      </c>
      <c r="AT11" s="780">
        <v>19</v>
      </c>
      <c r="AU11" s="781">
        <v>0</v>
      </c>
      <c r="AV11" s="780">
        <v>0</v>
      </c>
      <c r="AW11" s="781">
        <v>0</v>
      </c>
      <c r="AX11" s="780">
        <v>0</v>
      </c>
      <c r="AY11" s="781">
        <v>0</v>
      </c>
      <c r="AZ11" s="780">
        <v>0</v>
      </c>
      <c r="BA11" s="781">
        <v>0</v>
      </c>
      <c r="BB11" s="780">
        <v>0</v>
      </c>
      <c r="BC11" s="781">
        <v>0</v>
      </c>
      <c r="BD11" s="780">
        <v>0</v>
      </c>
      <c r="BE11" s="781">
        <v>0</v>
      </c>
      <c r="BF11" s="780">
        <v>0</v>
      </c>
      <c r="BG11" s="781">
        <v>0</v>
      </c>
      <c r="BH11" s="780">
        <v>0</v>
      </c>
      <c r="BI11" s="781">
        <v>0</v>
      </c>
      <c r="BJ11" s="780">
        <v>0</v>
      </c>
      <c r="BK11" s="781">
        <v>0</v>
      </c>
      <c r="BL11" s="780">
        <v>0</v>
      </c>
      <c r="BM11" s="781">
        <v>0</v>
      </c>
      <c r="BN11" s="780">
        <v>0</v>
      </c>
      <c r="BO11" s="781">
        <v>0</v>
      </c>
      <c r="BP11" s="780">
        <v>0</v>
      </c>
      <c r="BQ11" s="781">
        <v>0</v>
      </c>
      <c r="BR11" s="780">
        <v>0</v>
      </c>
      <c r="BS11" s="781">
        <v>0</v>
      </c>
      <c r="BT11" s="780">
        <v>0</v>
      </c>
      <c r="BU11" s="781">
        <v>0</v>
      </c>
      <c r="BV11" s="780">
        <v>0</v>
      </c>
      <c r="BW11" s="781">
        <v>0</v>
      </c>
      <c r="BX11" s="780">
        <v>0</v>
      </c>
      <c r="BY11" s="781">
        <v>0.82758620689655171</v>
      </c>
      <c r="BZ11" s="780">
        <v>29</v>
      </c>
      <c r="CA11" s="781">
        <v>0</v>
      </c>
      <c r="CB11" s="780">
        <v>0</v>
      </c>
      <c r="CC11" s="781">
        <v>0</v>
      </c>
      <c r="CD11" s="780">
        <v>0</v>
      </c>
      <c r="CE11" s="781">
        <v>0</v>
      </c>
      <c r="CF11" s="780">
        <v>0</v>
      </c>
      <c r="CG11" s="781">
        <v>0</v>
      </c>
      <c r="CH11" s="780">
        <v>0</v>
      </c>
      <c r="CI11" s="781">
        <v>0</v>
      </c>
      <c r="CJ11" s="780">
        <v>0</v>
      </c>
      <c r="CK11" s="781">
        <v>0</v>
      </c>
      <c r="CL11" s="780">
        <v>0</v>
      </c>
      <c r="CM11" s="781">
        <v>0.83</v>
      </c>
      <c r="CN11" s="780">
        <v>23</v>
      </c>
      <c r="CO11" s="781">
        <v>0</v>
      </c>
      <c r="CP11" s="780">
        <v>0</v>
      </c>
      <c r="CQ11" s="781">
        <v>0</v>
      </c>
      <c r="CR11" s="780">
        <v>0</v>
      </c>
      <c r="CS11" s="781">
        <v>0</v>
      </c>
      <c r="CT11" s="780">
        <v>0</v>
      </c>
    </row>
    <row r="12" spans="2:98" ht="11.25" customHeight="1">
      <c r="B12" s="797" t="s">
        <v>1014</v>
      </c>
      <c r="C12" s="797" t="s">
        <v>1057</v>
      </c>
      <c r="D12" s="798">
        <v>1190</v>
      </c>
      <c r="E12" s="799">
        <f t="shared" si="4"/>
        <v>878.24617408847359</v>
      </c>
      <c r="F12" s="799">
        <f t="shared" si="2"/>
        <v>0</v>
      </c>
      <c r="G12" s="807">
        <v>4420</v>
      </c>
      <c r="H12" s="799">
        <f t="shared" si="3"/>
        <v>0</v>
      </c>
      <c r="I12" s="799">
        <v>-9.6999999999999993</v>
      </c>
      <c r="J12" s="800">
        <v>-15.9</v>
      </c>
      <c r="K12" s="792"/>
      <c r="L12" s="802">
        <v>12</v>
      </c>
      <c r="M12" s="802">
        <v>-18</v>
      </c>
      <c r="N12" s="803">
        <f t="shared" si="7"/>
        <v>0</v>
      </c>
      <c r="O12" s="804">
        <f t="shared" si="5"/>
        <v>0</v>
      </c>
      <c r="P12" s="805">
        <f t="shared" si="8"/>
        <v>0</v>
      </c>
      <c r="Q12" s="806">
        <f t="shared" si="6"/>
        <v>0</v>
      </c>
      <c r="R12" s="801"/>
      <c r="S12" s="781">
        <v>0</v>
      </c>
      <c r="T12" s="780">
        <v>0</v>
      </c>
      <c r="U12" s="781">
        <v>0</v>
      </c>
      <c r="V12" s="780">
        <v>0</v>
      </c>
      <c r="W12" s="781">
        <v>0</v>
      </c>
      <c r="X12" s="780">
        <v>0</v>
      </c>
      <c r="Y12" s="781">
        <v>0</v>
      </c>
      <c r="Z12" s="780">
        <v>0</v>
      </c>
      <c r="AA12" s="781">
        <v>0</v>
      </c>
      <c r="AB12" s="780">
        <v>0</v>
      </c>
      <c r="AC12" s="781">
        <v>0</v>
      </c>
      <c r="AD12" s="780">
        <v>0</v>
      </c>
      <c r="AE12" s="781">
        <v>0</v>
      </c>
      <c r="AF12" s="780">
        <v>0</v>
      </c>
      <c r="AG12" s="781">
        <v>0</v>
      </c>
      <c r="AH12" s="780">
        <v>0</v>
      </c>
      <c r="AI12" s="781">
        <v>0.82944444444444443</v>
      </c>
      <c r="AJ12" s="780">
        <v>18</v>
      </c>
      <c r="AK12" s="781">
        <v>0</v>
      </c>
      <c r="AL12" s="780">
        <v>0</v>
      </c>
      <c r="AM12" s="781">
        <v>0</v>
      </c>
      <c r="AN12" s="780">
        <v>0</v>
      </c>
      <c r="AO12" s="781">
        <v>0</v>
      </c>
      <c r="AP12" s="780">
        <v>0</v>
      </c>
      <c r="AQ12" s="781">
        <v>0</v>
      </c>
      <c r="AR12" s="780">
        <v>0</v>
      </c>
      <c r="AS12" s="781">
        <v>0.79909090909090907</v>
      </c>
      <c r="AT12" s="780">
        <v>11</v>
      </c>
      <c r="AU12" s="781">
        <v>0</v>
      </c>
      <c r="AV12" s="780">
        <v>0</v>
      </c>
      <c r="AW12" s="781">
        <v>0</v>
      </c>
      <c r="AX12" s="780">
        <v>0</v>
      </c>
      <c r="AY12" s="781">
        <v>0</v>
      </c>
      <c r="AZ12" s="780">
        <v>0</v>
      </c>
      <c r="BA12" s="781">
        <v>0</v>
      </c>
      <c r="BB12" s="780">
        <v>0</v>
      </c>
      <c r="BC12" s="781">
        <v>0</v>
      </c>
      <c r="BD12" s="780">
        <v>0</v>
      </c>
      <c r="BE12" s="781">
        <v>0</v>
      </c>
      <c r="BF12" s="780">
        <v>0</v>
      </c>
      <c r="BG12" s="781">
        <v>0</v>
      </c>
      <c r="BH12" s="780">
        <v>0</v>
      </c>
      <c r="BI12" s="781">
        <v>0</v>
      </c>
      <c r="BJ12" s="780">
        <v>0</v>
      </c>
      <c r="BK12" s="781">
        <v>0</v>
      </c>
      <c r="BL12" s="780">
        <v>0</v>
      </c>
      <c r="BM12" s="781">
        <v>0</v>
      </c>
      <c r="BN12" s="780">
        <v>0</v>
      </c>
      <c r="BO12" s="781">
        <v>0</v>
      </c>
      <c r="BP12" s="780">
        <v>0</v>
      </c>
      <c r="BQ12" s="781">
        <v>0</v>
      </c>
      <c r="BR12" s="780">
        <v>0</v>
      </c>
      <c r="BS12" s="781">
        <v>0</v>
      </c>
      <c r="BT12" s="780">
        <v>0</v>
      </c>
      <c r="BU12" s="781">
        <v>0</v>
      </c>
      <c r="BV12" s="780">
        <v>0</v>
      </c>
      <c r="BW12" s="781">
        <v>0</v>
      </c>
      <c r="BX12" s="780">
        <v>0</v>
      </c>
      <c r="BY12" s="781">
        <v>0.83525000000000005</v>
      </c>
      <c r="BZ12" s="780">
        <v>40</v>
      </c>
      <c r="CA12" s="781">
        <v>0</v>
      </c>
      <c r="CB12" s="780">
        <v>0</v>
      </c>
      <c r="CC12" s="781">
        <v>0</v>
      </c>
      <c r="CD12" s="780">
        <v>0</v>
      </c>
      <c r="CE12" s="781">
        <v>0</v>
      </c>
      <c r="CF12" s="780">
        <v>0</v>
      </c>
      <c r="CG12" s="781">
        <v>0</v>
      </c>
      <c r="CH12" s="780">
        <v>0</v>
      </c>
      <c r="CI12" s="781">
        <v>0</v>
      </c>
      <c r="CJ12" s="780">
        <v>0</v>
      </c>
      <c r="CK12" s="781">
        <v>0</v>
      </c>
      <c r="CL12" s="780">
        <v>0</v>
      </c>
      <c r="CM12" s="781">
        <v>0.82840000000000003</v>
      </c>
      <c r="CN12" s="780">
        <v>25</v>
      </c>
      <c r="CO12" s="781">
        <v>0</v>
      </c>
      <c r="CP12" s="780">
        <v>0</v>
      </c>
      <c r="CQ12" s="781">
        <v>0</v>
      </c>
      <c r="CR12" s="780">
        <v>0</v>
      </c>
      <c r="CS12" s="781">
        <v>0.55000000000000004</v>
      </c>
      <c r="CT12" s="780">
        <v>1</v>
      </c>
    </row>
    <row r="13" spans="2:98" ht="11.25" customHeight="1">
      <c r="B13" s="797" t="s">
        <v>1015</v>
      </c>
      <c r="C13" s="797" t="s">
        <v>1058</v>
      </c>
      <c r="D13" s="798">
        <v>1035</v>
      </c>
      <c r="E13" s="799">
        <f t="shared" si="4"/>
        <v>894.95526173650001</v>
      </c>
      <c r="F13" s="799">
        <f t="shared" si="2"/>
        <v>0</v>
      </c>
      <c r="G13" s="807">
        <v>4511</v>
      </c>
      <c r="H13" s="799">
        <f t="shared" si="3"/>
        <v>0</v>
      </c>
      <c r="I13" s="799">
        <v>-11.2</v>
      </c>
      <c r="J13" s="800">
        <v>-17.100000000000001</v>
      </c>
      <c r="K13" s="792"/>
      <c r="L13" s="802">
        <v>13</v>
      </c>
      <c r="M13" s="802">
        <v>-17</v>
      </c>
      <c r="N13" s="803">
        <f t="shared" si="7"/>
        <v>0</v>
      </c>
      <c r="O13" s="804">
        <f t="shared" si="5"/>
        <v>0</v>
      </c>
      <c r="P13" s="805">
        <f t="shared" si="8"/>
        <v>0</v>
      </c>
      <c r="Q13" s="806">
        <f t="shared" si="6"/>
        <v>0</v>
      </c>
      <c r="R13" s="801"/>
      <c r="S13" s="781">
        <v>0</v>
      </c>
      <c r="T13" s="780">
        <v>0</v>
      </c>
      <c r="U13" s="781">
        <v>0</v>
      </c>
      <c r="V13" s="780">
        <v>0</v>
      </c>
      <c r="W13" s="781">
        <v>0</v>
      </c>
      <c r="X13" s="780">
        <v>0</v>
      </c>
      <c r="Y13" s="781">
        <v>0</v>
      </c>
      <c r="Z13" s="780">
        <v>0</v>
      </c>
      <c r="AA13" s="781">
        <v>0</v>
      </c>
      <c r="AB13" s="780">
        <v>0</v>
      </c>
      <c r="AC13" s="781">
        <v>0</v>
      </c>
      <c r="AD13" s="780">
        <v>0</v>
      </c>
      <c r="AE13" s="781">
        <v>0</v>
      </c>
      <c r="AF13" s="780">
        <v>0</v>
      </c>
      <c r="AG13" s="781">
        <v>0</v>
      </c>
      <c r="AH13" s="780">
        <v>0</v>
      </c>
      <c r="AI13" s="781">
        <v>0.83071428571428574</v>
      </c>
      <c r="AJ13" s="780">
        <v>14</v>
      </c>
      <c r="AK13" s="781">
        <v>0</v>
      </c>
      <c r="AL13" s="780">
        <v>0</v>
      </c>
      <c r="AM13" s="781">
        <v>0</v>
      </c>
      <c r="AN13" s="780">
        <v>0</v>
      </c>
      <c r="AO13" s="781">
        <v>0</v>
      </c>
      <c r="AP13" s="780">
        <v>0</v>
      </c>
      <c r="AQ13" s="781">
        <v>0</v>
      </c>
      <c r="AR13" s="780">
        <v>0</v>
      </c>
      <c r="AS13" s="781">
        <v>0.74400000000000011</v>
      </c>
      <c r="AT13" s="780">
        <v>15</v>
      </c>
      <c r="AU13" s="781">
        <v>0</v>
      </c>
      <c r="AV13" s="780">
        <v>0</v>
      </c>
      <c r="AW13" s="781">
        <v>0</v>
      </c>
      <c r="AX13" s="780">
        <v>0</v>
      </c>
      <c r="AY13" s="781">
        <v>0</v>
      </c>
      <c r="AZ13" s="780">
        <v>0</v>
      </c>
      <c r="BA13" s="781">
        <v>0</v>
      </c>
      <c r="BB13" s="780">
        <v>0</v>
      </c>
      <c r="BC13" s="781">
        <v>0</v>
      </c>
      <c r="BD13" s="780">
        <v>0</v>
      </c>
      <c r="BE13" s="781">
        <v>0</v>
      </c>
      <c r="BF13" s="780">
        <v>0</v>
      </c>
      <c r="BG13" s="781">
        <v>0</v>
      </c>
      <c r="BH13" s="780">
        <v>0</v>
      </c>
      <c r="BI13" s="781">
        <v>0.66799999999999993</v>
      </c>
      <c r="BJ13" s="780">
        <v>5</v>
      </c>
      <c r="BK13" s="781">
        <v>0</v>
      </c>
      <c r="BL13" s="780">
        <v>0</v>
      </c>
      <c r="BM13" s="781">
        <v>0</v>
      </c>
      <c r="BN13" s="780">
        <v>0</v>
      </c>
      <c r="BO13" s="781">
        <v>0</v>
      </c>
      <c r="BP13" s="780">
        <v>0</v>
      </c>
      <c r="BQ13" s="781">
        <v>0</v>
      </c>
      <c r="BR13" s="780">
        <v>0</v>
      </c>
      <c r="BS13" s="781">
        <v>0</v>
      </c>
      <c r="BT13" s="780">
        <v>0</v>
      </c>
      <c r="BU13" s="781">
        <v>0.75</v>
      </c>
      <c r="BV13" s="780">
        <v>2</v>
      </c>
      <c r="BW13" s="781">
        <v>0</v>
      </c>
      <c r="BX13" s="780">
        <v>0</v>
      </c>
      <c r="BY13" s="781">
        <v>0.81489795918367347</v>
      </c>
      <c r="BZ13" s="780">
        <v>49</v>
      </c>
      <c r="CA13" s="781">
        <v>0</v>
      </c>
      <c r="CB13" s="780">
        <v>0</v>
      </c>
      <c r="CC13" s="781">
        <v>0.85</v>
      </c>
      <c r="CD13" s="780">
        <v>4</v>
      </c>
      <c r="CE13" s="781">
        <v>0</v>
      </c>
      <c r="CF13" s="780">
        <v>0</v>
      </c>
      <c r="CG13" s="781">
        <v>0</v>
      </c>
      <c r="CH13" s="780">
        <v>0</v>
      </c>
      <c r="CI13" s="781">
        <v>0</v>
      </c>
      <c r="CJ13" s="780">
        <v>0</v>
      </c>
      <c r="CK13" s="781">
        <v>0</v>
      </c>
      <c r="CL13" s="780">
        <v>0</v>
      </c>
      <c r="CM13" s="781">
        <v>0.8203125</v>
      </c>
      <c r="CN13" s="780">
        <v>32</v>
      </c>
      <c r="CO13" s="781">
        <v>0</v>
      </c>
      <c r="CP13" s="780">
        <v>0</v>
      </c>
      <c r="CQ13" s="781">
        <v>0</v>
      </c>
      <c r="CR13" s="780">
        <v>0</v>
      </c>
      <c r="CS13" s="781">
        <v>0.54</v>
      </c>
      <c r="CT13" s="780">
        <v>10</v>
      </c>
    </row>
    <row r="14" spans="2:98" ht="11.25" customHeight="1">
      <c r="B14" s="797" t="s">
        <v>1421</v>
      </c>
      <c r="C14" s="797" t="s">
        <v>1059</v>
      </c>
      <c r="D14" s="798">
        <v>420</v>
      </c>
      <c r="E14" s="799">
        <f t="shared" si="4"/>
        <v>963.80966089662286</v>
      </c>
      <c r="F14" s="799">
        <f t="shared" si="2"/>
        <v>0</v>
      </c>
      <c r="G14" s="807">
        <v>3006</v>
      </c>
      <c r="H14" s="799">
        <f t="shared" si="3"/>
        <v>0</v>
      </c>
      <c r="I14" s="799">
        <v>-4.2</v>
      </c>
      <c r="J14" s="800">
        <v>-9.6999999999999993</v>
      </c>
      <c r="K14" s="792"/>
      <c r="L14" s="802">
        <v>14</v>
      </c>
      <c r="M14" s="802">
        <v>-16</v>
      </c>
      <c r="N14" s="803">
        <f t="shared" si="7"/>
        <v>0</v>
      </c>
      <c r="O14" s="804">
        <f t="shared" si="5"/>
        <v>0</v>
      </c>
      <c r="P14" s="805">
        <f t="shared" si="8"/>
        <v>0</v>
      </c>
      <c r="Q14" s="806">
        <f t="shared" si="6"/>
        <v>0</v>
      </c>
      <c r="R14" s="801"/>
      <c r="S14" s="781">
        <v>0</v>
      </c>
      <c r="T14" s="780">
        <v>0</v>
      </c>
      <c r="U14" s="781">
        <v>0</v>
      </c>
      <c r="V14" s="780">
        <v>0</v>
      </c>
      <c r="W14" s="781">
        <v>0</v>
      </c>
      <c r="X14" s="780">
        <v>0</v>
      </c>
      <c r="Y14" s="781">
        <v>0</v>
      </c>
      <c r="Z14" s="780">
        <v>0</v>
      </c>
      <c r="AA14" s="781">
        <v>0</v>
      </c>
      <c r="AB14" s="780">
        <v>0</v>
      </c>
      <c r="AC14" s="781">
        <v>0</v>
      </c>
      <c r="AD14" s="780">
        <v>0</v>
      </c>
      <c r="AE14" s="781">
        <v>0.79500000000000004</v>
      </c>
      <c r="AF14" s="780">
        <v>2</v>
      </c>
      <c r="AG14" s="781">
        <v>0</v>
      </c>
      <c r="AH14" s="780">
        <v>0</v>
      </c>
      <c r="AI14" s="781">
        <v>0.828125</v>
      </c>
      <c r="AJ14" s="780">
        <v>16</v>
      </c>
      <c r="AK14" s="781">
        <v>0</v>
      </c>
      <c r="AL14" s="780">
        <v>0</v>
      </c>
      <c r="AM14" s="781">
        <v>0</v>
      </c>
      <c r="AN14" s="780">
        <v>0</v>
      </c>
      <c r="AO14" s="781">
        <v>0</v>
      </c>
      <c r="AP14" s="780">
        <v>0</v>
      </c>
      <c r="AQ14" s="781">
        <v>0</v>
      </c>
      <c r="AR14" s="780">
        <v>0</v>
      </c>
      <c r="AS14" s="781">
        <v>0.76095238095238105</v>
      </c>
      <c r="AT14" s="780">
        <v>21</v>
      </c>
      <c r="AU14" s="781">
        <v>0</v>
      </c>
      <c r="AV14" s="780">
        <v>0</v>
      </c>
      <c r="AW14" s="781">
        <v>0</v>
      </c>
      <c r="AX14" s="780">
        <v>0</v>
      </c>
      <c r="AY14" s="781">
        <v>0</v>
      </c>
      <c r="AZ14" s="780">
        <v>0</v>
      </c>
      <c r="BA14" s="781">
        <v>0</v>
      </c>
      <c r="BB14" s="780">
        <v>0</v>
      </c>
      <c r="BC14" s="781">
        <v>0</v>
      </c>
      <c r="BD14" s="780">
        <v>0</v>
      </c>
      <c r="BE14" s="781">
        <v>0</v>
      </c>
      <c r="BF14" s="780">
        <v>0</v>
      </c>
      <c r="BG14" s="781">
        <v>0</v>
      </c>
      <c r="BH14" s="780">
        <v>0</v>
      </c>
      <c r="BI14" s="781">
        <v>0.62333333333333341</v>
      </c>
      <c r="BJ14" s="780">
        <v>3</v>
      </c>
      <c r="BK14" s="781">
        <v>0</v>
      </c>
      <c r="BL14" s="780">
        <v>0</v>
      </c>
      <c r="BM14" s="781">
        <v>0</v>
      </c>
      <c r="BN14" s="780">
        <v>0</v>
      </c>
      <c r="BO14" s="781">
        <v>0</v>
      </c>
      <c r="BP14" s="780">
        <v>0</v>
      </c>
      <c r="BQ14" s="781">
        <v>0</v>
      </c>
      <c r="BR14" s="780">
        <v>0</v>
      </c>
      <c r="BS14" s="781">
        <v>0</v>
      </c>
      <c r="BT14" s="780">
        <v>0</v>
      </c>
      <c r="BU14" s="781">
        <v>0.73</v>
      </c>
      <c r="BV14" s="780">
        <v>3</v>
      </c>
      <c r="BW14" s="781">
        <v>0</v>
      </c>
      <c r="BX14" s="780">
        <v>0</v>
      </c>
      <c r="BY14" s="781">
        <v>0.82547169811320753</v>
      </c>
      <c r="BZ14" s="780">
        <v>53</v>
      </c>
      <c r="CA14" s="781">
        <v>0.76249999999999996</v>
      </c>
      <c r="CB14" s="780">
        <v>4</v>
      </c>
      <c r="CC14" s="781">
        <v>0.77692307692307694</v>
      </c>
      <c r="CD14" s="780">
        <v>13</v>
      </c>
      <c r="CE14" s="781">
        <v>0</v>
      </c>
      <c r="CF14" s="780">
        <v>0</v>
      </c>
      <c r="CG14" s="781">
        <v>0</v>
      </c>
      <c r="CH14" s="780">
        <v>0</v>
      </c>
      <c r="CI14" s="781">
        <v>0</v>
      </c>
      <c r="CJ14" s="780">
        <v>0</v>
      </c>
      <c r="CK14" s="781">
        <v>0</v>
      </c>
      <c r="CL14" s="780">
        <v>0</v>
      </c>
      <c r="CM14" s="781">
        <v>0.81126984126984125</v>
      </c>
      <c r="CN14" s="780">
        <v>63</v>
      </c>
      <c r="CO14" s="781">
        <v>0</v>
      </c>
      <c r="CP14" s="780">
        <v>0</v>
      </c>
      <c r="CQ14" s="781">
        <v>0</v>
      </c>
      <c r="CR14" s="780">
        <v>0</v>
      </c>
      <c r="CS14" s="781">
        <v>0.62888888888888883</v>
      </c>
      <c r="CT14" s="780">
        <v>9</v>
      </c>
    </row>
    <row r="15" spans="2:98" ht="11.25" customHeight="1">
      <c r="B15" s="797" t="s">
        <v>1017</v>
      </c>
      <c r="C15" s="797" t="s">
        <v>1060</v>
      </c>
      <c r="D15" s="798">
        <v>515</v>
      </c>
      <c r="E15" s="799">
        <f t="shared" si="4"/>
        <v>952.90235034214857</v>
      </c>
      <c r="F15" s="799">
        <f t="shared" si="2"/>
        <v>0</v>
      </c>
      <c r="G15" s="807">
        <v>3610</v>
      </c>
      <c r="H15" s="799">
        <f t="shared" si="3"/>
        <v>0</v>
      </c>
      <c r="I15" s="799">
        <v>-8.1999999999999993</v>
      </c>
      <c r="J15" s="800">
        <v>-14</v>
      </c>
      <c r="K15" s="792"/>
      <c r="L15" s="802">
        <v>15</v>
      </c>
      <c r="M15" s="802">
        <v>-15</v>
      </c>
      <c r="N15" s="803">
        <f t="shared" si="7"/>
        <v>0</v>
      </c>
      <c r="O15" s="804">
        <f t="shared" si="5"/>
        <v>0</v>
      </c>
      <c r="P15" s="805">
        <f t="shared" si="8"/>
        <v>0</v>
      </c>
      <c r="Q15" s="806">
        <f t="shared" si="6"/>
        <v>0</v>
      </c>
      <c r="R15" s="801"/>
      <c r="S15" s="781">
        <v>0</v>
      </c>
      <c r="T15" s="780">
        <v>0</v>
      </c>
      <c r="U15" s="781">
        <v>0</v>
      </c>
      <c r="V15" s="780">
        <v>0</v>
      </c>
      <c r="W15" s="781">
        <v>0</v>
      </c>
      <c r="X15" s="780">
        <v>0</v>
      </c>
      <c r="Y15" s="781">
        <v>0</v>
      </c>
      <c r="Z15" s="780">
        <v>0</v>
      </c>
      <c r="AA15" s="781">
        <v>0</v>
      </c>
      <c r="AB15" s="780">
        <v>0</v>
      </c>
      <c r="AC15" s="781">
        <v>0.87</v>
      </c>
      <c r="AD15" s="780">
        <v>1</v>
      </c>
      <c r="AE15" s="781">
        <v>0.8342857142857143</v>
      </c>
      <c r="AF15" s="780">
        <v>14</v>
      </c>
      <c r="AG15" s="781">
        <v>0</v>
      </c>
      <c r="AH15" s="780">
        <v>0</v>
      </c>
      <c r="AI15" s="781">
        <v>0.8057894736842105</v>
      </c>
      <c r="AJ15" s="780">
        <v>19</v>
      </c>
      <c r="AK15" s="781">
        <v>0</v>
      </c>
      <c r="AL15" s="780">
        <v>0</v>
      </c>
      <c r="AM15" s="781">
        <v>0.86454545454545451</v>
      </c>
      <c r="AN15" s="780">
        <v>11</v>
      </c>
      <c r="AO15" s="781">
        <v>0.82692307692307698</v>
      </c>
      <c r="AP15" s="780">
        <v>13</v>
      </c>
      <c r="AQ15" s="781">
        <v>0</v>
      </c>
      <c r="AR15" s="780">
        <v>0</v>
      </c>
      <c r="AS15" s="781">
        <v>0.74606060606060609</v>
      </c>
      <c r="AT15" s="780">
        <v>33</v>
      </c>
      <c r="AU15" s="781">
        <v>0</v>
      </c>
      <c r="AV15" s="780">
        <v>0</v>
      </c>
      <c r="AW15" s="781">
        <v>0</v>
      </c>
      <c r="AX15" s="780">
        <v>0</v>
      </c>
      <c r="AY15" s="781">
        <v>0</v>
      </c>
      <c r="AZ15" s="780">
        <v>0</v>
      </c>
      <c r="BA15" s="781">
        <v>0</v>
      </c>
      <c r="BB15" s="780">
        <v>0</v>
      </c>
      <c r="BC15" s="781">
        <v>0</v>
      </c>
      <c r="BD15" s="780">
        <v>0</v>
      </c>
      <c r="BE15" s="781">
        <v>0</v>
      </c>
      <c r="BF15" s="780">
        <v>0</v>
      </c>
      <c r="BG15" s="781">
        <v>0</v>
      </c>
      <c r="BH15" s="780">
        <v>0</v>
      </c>
      <c r="BI15" s="781">
        <v>0.59499999999999997</v>
      </c>
      <c r="BJ15" s="780">
        <v>4</v>
      </c>
      <c r="BK15" s="781">
        <v>0</v>
      </c>
      <c r="BL15" s="780">
        <v>0</v>
      </c>
      <c r="BM15" s="781">
        <v>0</v>
      </c>
      <c r="BN15" s="780">
        <v>0</v>
      </c>
      <c r="BO15" s="781">
        <v>0</v>
      </c>
      <c r="BP15" s="780">
        <v>0</v>
      </c>
      <c r="BQ15" s="781">
        <v>0</v>
      </c>
      <c r="BR15" s="780">
        <v>0</v>
      </c>
      <c r="BS15" s="781">
        <v>0</v>
      </c>
      <c r="BT15" s="780">
        <v>0</v>
      </c>
      <c r="BU15" s="781">
        <v>0.73888888888888882</v>
      </c>
      <c r="BV15" s="780">
        <v>9</v>
      </c>
      <c r="BW15" s="781">
        <v>0</v>
      </c>
      <c r="BX15" s="780">
        <v>0</v>
      </c>
      <c r="BY15" s="781">
        <v>0.81666666666666676</v>
      </c>
      <c r="BZ15" s="780">
        <v>75</v>
      </c>
      <c r="CA15" s="781">
        <v>0.79599999999999993</v>
      </c>
      <c r="CB15" s="780">
        <v>10</v>
      </c>
      <c r="CC15" s="781">
        <v>0.80571428571428572</v>
      </c>
      <c r="CD15" s="780">
        <v>21</v>
      </c>
      <c r="CE15" s="781">
        <v>0</v>
      </c>
      <c r="CF15" s="780">
        <v>0</v>
      </c>
      <c r="CG15" s="781">
        <v>0</v>
      </c>
      <c r="CH15" s="780">
        <v>0</v>
      </c>
      <c r="CI15" s="781">
        <v>0</v>
      </c>
      <c r="CJ15" s="780">
        <v>0</v>
      </c>
      <c r="CK15" s="781">
        <v>0</v>
      </c>
      <c r="CL15" s="780">
        <v>0</v>
      </c>
      <c r="CM15" s="781">
        <v>0.78341772151898736</v>
      </c>
      <c r="CN15" s="780">
        <v>79</v>
      </c>
      <c r="CO15" s="781">
        <v>0</v>
      </c>
      <c r="CP15" s="780">
        <v>0</v>
      </c>
      <c r="CQ15" s="781">
        <v>0</v>
      </c>
      <c r="CR15" s="780">
        <v>0</v>
      </c>
      <c r="CS15" s="781">
        <v>0.65807692307692311</v>
      </c>
      <c r="CT15" s="780">
        <v>26</v>
      </c>
    </row>
    <row r="16" spans="2:98" ht="11.25" customHeight="1">
      <c r="B16" s="797" t="s">
        <v>1422</v>
      </c>
      <c r="C16" s="797" t="s">
        <v>1061</v>
      </c>
      <c r="D16" s="798">
        <v>2472</v>
      </c>
      <c r="E16" s="799">
        <f t="shared" si="4"/>
        <v>749.4941582457825</v>
      </c>
      <c r="F16" s="799">
        <f t="shared" si="2"/>
        <v>0</v>
      </c>
      <c r="G16" s="807">
        <v>7413</v>
      </c>
      <c r="H16" s="799">
        <f t="shared" si="3"/>
        <v>0</v>
      </c>
      <c r="I16" s="799">
        <v>-15.4</v>
      </c>
      <c r="J16" s="800">
        <v>-19.399999999999999</v>
      </c>
      <c r="K16" s="792"/>
      <c r="L16" s="802">
        <v>16</v>
      </c>
      <c r="M16" s="802">
        <v>-14</v>
      </c>
      <c r="N16" s="803">
        <f t="shared" si="7"/>
        <v>0</v>
      </c>
      <c r="O16" s="804">
        <f t="shared" si="5"/>
        <v>0</v>
      </c>
      <c r="P16" s="805">
        <f t="shared" si="8"/>
        <v>0</v>
      </c>
      <c r="Q16" s="806">
        <f t="shared" si="6"/>
        <v>0</v>
      </c>
      <c r="R16" s="801"/>
      <c r="S16" s="781">
        <v>0.86555555555555552</v>
      </c>
      <c r="T16" s="780">
        <v>9</v>
      </c>
      <c r="U16" s="781">
        <v>0</v>
      </c>
      <c r="V16" s="780">
        <v>0</v>
      </c>
      <c r="W16" s="781">
        <v>0</v>
      </c>
      <c r="X16" s="780">
        <v>0</v>
      </c>
      <c r="Y16" s="781">
        <v>0</v>
      </c>
      <c r="Z16" s="780">
        <v>0</v>
      </c>
      <c r="AA16" s="781">
        <v>0</v>
      </c>
      <c r="AB16" s="780">
        <v>0</v>
      </c>
      <c r="AC16" s="781">
        <v>0.86499999999999999</v>
      </c>
      <c r="AD16" s="780">
        <v>2</v>
      </c>
      <c r="AE16" s="781">
        <v>0.75823529411764712</v>
      </c>
      <c r="AF16" s="780">
        <v>17</v>
      </c>
      <c r="AG16" s="781">
        <v>0.62666666666666659</v>
      </c>
      <c r="AH16" s="780">
        <v>3</v>
      </c>
      <c r="AI16" s="781">
        <v>0.78906976744186053</v>
      </c>
      <c r="AJ16" s="780">
        <v>43</v>
      </c>
      <c r="AK16" s="781">
        <v>0.66125</v>
      </c>
      <c r="AL16" s="780">
        <v>8</v>
      </c>
      <c r="AM16" s="781">
        <v>0.86624999999999996</v>
      </c>
      <c r="AN16" s="780">
        <v>16</v>
      </c>
      <c r="AO16" s="781">
        <v>0.81374999999999997</v>
      </c>
      <c r="AP16" s="780">
        <v>8</v>
      </c>
      <c r="AQ16" s="781">
        <v>0.87666666666666671</v>
      </c>
      <c r="AR16" s="780">
        <v>6</v>
      </c>
      <c r="AS16" s="781">
        <v>0.75676056338028175</v>
      </c>
      <c r="AT16" s="780">
        <v>71</v>
      </c>
      <c r="AU16" s="781">
        <v>0</v>
      </c>
      <c r="AV16" s="780">
        <v>0</v>
      </c>
      <c r="AW16" s="781">
        <v>0</v>
      </c>
      <c r="AX16" s="780">
        <v>0</v>
      </c>
      <c r="AY16" s="781">
        <v>0</v>
      </c>
      <c r="AZ16" s="780">
        <v>0</v>
      </c>
      <c r="BA16" s="781">
        <v>0</v>
      </c>
      <c r="BB16" s="780">
        <v>0</v>
      </c>
      <c r="BC16" s="781">
        <v>0</v>
      </c>
      <c r="BD16" s="780">
        <v>0</v>
      </c>
      <c r="BE16" s="781">
        <v>0</v>
      </c>
      <c r="BF16" s="780">
        <v>0</v>
      </c>
      <c r="BG16" s="781">
        <v>0</v>
      </c>
      <c r="BH16" s="780">
        <v>0</v>
      </c>
      <c r="BI16" s="781">
        <v>0.58499999999999996</v>
      </c>
      <c r="BJ16" s="780">
        <v>6</v>
      </c>
      <c r="BK16" s="781">
        <v>0</v>
      </c>
      <c r="BL16" s="780">
        <v>0</v>
      </c>
      <c r="BM16" s="781">
        <v>0</v>
      </c>
      <c r="BN16" s="780">
        <v>0</v>
      </c>
      <c r="BO16" s="781">
        <v>0</v>
      </c>
      <c r="BP16" s="780">
        <v>0</v>
      </c>
      <c r="BQ16" s="781">
        <v>0</v>
      </c>
      <c r="BR16" s="780">
        <v>0</v>
      </c>
      <c r="BS16" s="781">
        <v>0</v>
      </c>
      <c r="BT16" s="780">
        <v>0</v>
      </c>
      <c r="BU16" s="781">
        <v>0.71</v>
      </c>
      <c r="BV16" s="780">
        <v>7</v>
      </c>
      <c r="BW16" s="781">
        <v>0</v>
      </c>
      <c r="BX16" s="780">
        <v>0</v>
      </c>
      <c r="BY16" s="781">
        <v>0.81439655172413794</v>
      </c>
      <c r="BZ16" s="780">
        <v>116</v>
      </c>
      <c r="CA16" s="781">
        <v>0.75882352941176467</v>
      </c>
      <c r="CB16" s="780">
        <v>17</v>
      </c>
      <c r="CC16" s="781">
        <v>0.78777777777777769</v>
      </c>
      <c r="CD16" s="780">
        <v>45</v>
      </c>
      <c r="CE16" s="781">
        <v>0</v>
      </c>
      <c r="CF16" s="780">
        <v>0</v>
      </c>
      <c r="CG16" s="781">
        <v>0</v>
      </c>
      <c r="CH16" s="780">
        <v>0</v>
      </c>
      <c r="CI16" s="781">
        <v>0</v>
      </c>
      <c r="CJ16" s="780">
        <v>0</v>
      </c>
      <c r="CK16" s="781">
        <v>0</v>
      </c>
      <c r="CL16" s="780">
        <v>0</v>
      </c>
      <c r="CM16" s="781">
        <v>0.80215686274509812</v>
      </c>
      <c r="CN16" s="780">
        <v>51</v>
      </c>
      <c r="CO16" s="781">
        <v>0</v>
      </c>
      <c r="CP16" s="780">
        <v>0</v>
      </c>
      <c r="CQ16" s="781">
        <v>0.6875</v>
      </c>
      <c r="CR16" s="780">
        <v>4</v>
      </c>
      <c r="CS16" s="781">
        <v>0.63041666666666663</v>
      </c>
      <c r="CT16" s="780">
        <v>24</v>
      </c>
    </row>
    <row r="17" spans="2:98" ht="11.25" customHeight="1">
      <c r="B17" s="797" t="s">
        <v>1018</v>
      </c>
      <c r="C17" s="797" t="s">
        <v>1062</v>
      </c>
      <c r="D17" s="798">
        <v>440</v>
      </c>
      <c r="E17" s="799">
        <f t="shared" si="4"/>
        <v>961.5050261031671</v>
      </c>
      <c r="F17" s="799">
        <f t="shared" si="2"/>
        <v>0</v>
      </c>
      <c r="G17" s="807">
        <v>3471</v>
      </c>
      <c r="H17" s="799">
        <f t="shared" si="3"/>
        <v>0</v>
      </c>
      <c r="I17" s="799">
        <v>-7</v>
      </c>
      <c r="J17" s="800">
        <v>-12.9</v>
      </c>
      <c r="K17" s="792"/>
      <c r="L17" s="802">
        <v>17</v>
      </c>
      <c r="M17" s="802">
        <v>-13</v>
      </c>
      <c r="N17" s="803">
        <f t="shared" si="7"/>
        <v>0</v>
      </c>
      <c r="O17" s="804">
        <f t="shared" si="5"/>
        <v>0</v>
      </c>
      <c r="P17" s="805">
        <f t="shared" si="8"/>
        <v>0</v>
      </c>
      <c r="Q17" s="806">
        <f t="shared" si="6"/>
        <v>0</v>
      </c>
      <c r="R17" s="801"/>
      <c r="S17" s="781">
        <v>0.86555555555555552</v>
      </c>
      <c r="T17" s="780">
        <v>9</v>
      </c>
      <c r="U17" s="781">
        <v>0</v>
      </c>
      <c r="V17" s="780">
        <v>0</v>
      </c>
      <c r="W17" s="781">
        <v>0</v>
      </c>
      <c r="X17" s="780">
        <v>0</v>
      </c>
      <c r="Y17" s="781">
        <v>0</v>
      </c>
      <c r="Z17" s="780">
        <v>0</v>
      </c>
      <c r="AA17" s="781">
        <v>0.88</v>
      </c>
      <c r="AB17" s="780">
        <v>5</v>
      </c>
      <c r="AC17" s="781">
        <v>0.8</v>
      </c>
      <c r="AD17" s="780">
        <v>3</v>
      </c>
      <c r="AE17" s="781">
        <v>0.78720000000000001</v>
      </c>
      <c r="AF17" s="780">
        <v>25</v>
      </c>
      <c r="AG17" s="781">
        <v>0.68400000000000005</v>
      </c>
      <c r="AH17" s="780">
        <v>5</v>
      </c>
      <c r="AI17" s="781">
        <v>0.79294117647058826</v>
      </c>
      <c r="AJ17" s="780">
        <v>34</v>
      </c>
      <c r="AK17" s="781">
        <v>0.71615384615384614</v>
      </c>
      <c r="AL17" s="780">
        <v>26</v>
      </c>
      <c r="AM17" s="781">
        <v>0.86096774193548387</v>
      </c>
      <c r="AN17" s="780">
        <v>31</v>
      </c>
      <c r="AO17" s="781">
        <v>0.77555555555555555</v>
      </c>
      <c r="AP17" s="780">
        <v>27</v>
      </c>
      <c r="AQ17" s="781">
        <v>0.88</v>
      </c>
      <c r="AR17" s="780">
        <v>6</v>
      </c>
      <c r="AS17" s="781">
        <v>0.74439560439560437</v>
      </c>
      <c r="AT17" s="780">
        <v>91</v>
      </c>
      <c r="AU17" s="781">
        <v>0</v>
      </c>
      <c r="AV17" s="780">
        <v>0</v>
      </c>
      <c r="AW17" s="781">
        <v>0</v>
      </c>
      <c r="AX17" s="780">
        <v>0</v>
      </c>
      <c r="AY17" s="781">
        <v>0</v>
      </c>
      <c r="AZ17" s="780">
        <v>0</v>
      </c>
      <c r="BA17" s="781">
        <v>0.88</v>
      </c>
      <c r="BB17" s="780">
        <v>2</v>
      </c>
      <c r="BC17" s="781">
        <v>0</v>
      </c>
      <c r="BD17" s="780">
        <v>0</v>
      </c>
      <c r="BE17" s="781">
        <v>0</v>
      </c>
      <c r="BF17" s="780">
        <v>0</v>
      </c>
      <c r="BG17" s="781">
        <v>0</v>
      </c>
      <c r="BH17" s="780">
        <v>0</v>
      </c>
      <c r="BI17" s="781">
        <v>0.72307692307692306</v>
      </c>
      <c r="BJ17" s="780">
        <v>13</v>
      </c>
      <c r="BK17" s="781">
        <v>0</v>
      </c>
      <c r="BL17" s="780">
        <v>0</v>
      </c>
      <c r="BM17" s="781">
        <v>0</v>
      </c>
      <c r="BN17" s="780">
        <v>0</v>
      </c>
      <c r="BO17" s="781">
        <v>0.88200000000000001</v>
      </c>
      <c r="BP17" s="780">
        <v>5</v>
      </c>
      <c r="BQ17" s="781">
        <v>0.72499999999999998</v>
      </c>
      <c r="BR17" s="780">
        <v>2</v>
      </c>
      <c r="BS17" s="781">
        <v>0</v>
      </c>
      <c r="BT17" s="780">
        <v>0</v>
      </c>
      <c r="BU17" s="781">
        <v>0.7340000000000001</v>
      </c>
      <c r="BV17" s="780">
        <v>5</v>
      </c>
      <c r="BW17" s="781">
        <v>0.85499999999999998</v>
      </c>
      <c r="BX17" s="780">
        <v>2</v>
      </c>
      <c r="BY17" s="781">
        <v>0.81663366336633658</v>
      </c>
      <c r="BZ17" s="780">
        <v>101</v>
      </c>
      <c r="CA17" s="781">
        <v>0.64289473684210519</v>
      </c>
      <c r="CB17" s="780">
        <v>38</v>
      </c>
      <c r="CC17" s="781">
        <v>0.8214285714285714</v>
      </c>
      <c r="CD17" s="780">
        <v>35</v>
      </c>
      <c r="CE17" s="781">
        <v>0</v>
      </c>
      <c r="CF17" s="780">
        <v>0</v>
      </c>
      <c r="CG17" s="781">
        <v>0</v>
      </c>
      <c r="CH17" s="780">
        <v>0</v>
      </c>
      <c r="CI17" s="781">
        <v>0</v>
      </c>
      <c r="CJ17" s="780">
        <v>0</v>
      </c>
      <c r="CK17" s="781">
        <v>0.88200000000000001</v>
      </c>
      <c r="CL17" s="780">
        <v>5</v>
      </c>
      <c r="CM17" s="781">
        <v>0.80238095238095242</v>
      </c>
      <c r="CN17" s="780">
        <v>63</v>
      </c>
      <c r="CO17" s="781">
        <v>0.88749999999999996</v>
      </c>
      <c r="CP17" s="780">
        <v>4</v>
      </c>
      <c r="CQ17" s="781">
        <v>0.76</v>
      </c>
      <c r="CR17" s="780">
        <v>9</v>
      </c>
      <c r="CS17" s="781">
        <v>0.59388888888888891</v>
      </c>
      <c r="CT17" s="780">
        <v>36</v>
      </c>
    </row>
    <row r="18" spans="2:98" ht="11.25" customHeight="1">
      <c r="B18" s="797" t="s">
        <v>1423</v>
      </c>
      <c r="C18" s="797" t="s">
        <v>1050</v>
      </c>
      <c r="D18" s="798">
        <v>580</v>
      </c>
      <c r="E18" s="799">
        <f t="shared" si="4"/>
        <v>945.49720825415147</v>
      </c>
      <c r="F18" s="799">
        <f t="shared" si="2"/>
        <v>0</v>
      </c>
      <c r="G18" s="807">
        <v>3630</v>
      </c>
      <c r="H18" s="799">
        <f t="shared" si="3"/>
        <v>0</v>
      </c>
      <c r="I18" s="799">
        <v>-7</v>
      </c>
      <c r="J18" s="800">
        <v>-12.4</v>
      </c>
      <c r="K18" s="792"/>
      <c r="L18" s="802">
        <v>18</v>
      </c>
      <c r="M18" s="802">
        <v>-12</v>
      </c>
      <c r="N18" s="803">
        <f t="shared" si="7"/>
        <v>0</v>
      </c>
      <c r="O18" s="804">
        <f t="shared" si="5"/>
        <v>0</v>
      </c>
      <c r="P18" s="805">
        <f t="shared" si="8"/>
        <v>0</v>
      </c>
      <c r="Q18" s="806">
        <f t="shared" si="6"/>
        <v>0</v>
      </c>
      <c r="R18" s="801"/>
      <c r="S18" s="781">
        <v>0.86148148148148151</v>
      </c>
      <c r="T18" s="780">
        <v>27</v>
      </c>
      <c r="U18" s="781">
        <v>0</v>
      </c>
      <c r="V18" s="780">
        <v>0</v>
      </c>
      <c r="W18" s="781">
        <v>0</v>
      </c>
      <c r="X18" s="780">
        <v>0</v>
      </c>
      <c r="Y18" s="781">
        <v>0</v>
      </c>
      <c r="Z18" s="780">
        <v>0</v>
      </c>
      <c r="AA18" s="781">
        <v>0.88749999999999996</v>
      </c>
      <c r="AB18" s="780">
        <v>4</v>
      </c>
      <c r="AC18" s="781">
        <v>0.83625000000000005</v>
      </c>
      <c r="AD18" s="780">
        <v>16</v>
      </c>
      <c r="AE18" s="781">
        <v>0.82079999999999997</v>
      </c>
      <c r="AF18" s="780">
        <v>25</v>
      </c>
      <c r="AG18" s="781">
        <v>0.81333333333333324</v>
      </c>
      <c r="AH18" s="780">
        <v>6</v>
      </c>
      <c r="AI18" s="781">
        <v>0.80259259259259252</v>
      </c>
      <c r="AJ18" s="780">
        <v>54</v>
      </c>
      <c r="AK18" s="781">
        <v>0.67137931034482756</v>
      </c>
      <c r="AL18" s="780">
        <v>29</v>
      </c>
      <c r="AM18" s="781">
        <v>0.87642857142857133</v>
      </c>
      <c r="AN18" s="780">
        <v>14</v>
      </c>
      <c r="AO18" s="781">
        <v>0.79</v>
      </c>
      <c r="AP18" s="780">
        <v>18</v>
      </c>
      <c r="AQ18" s="781">
        <v>0.854375</v>
      </c>
      <c r="AR18" s="780">
        <v>16</v>
      </c>
      <c r="AS18" s="781">
        <v>0.74763313609467463</v>
      </c>
      <c r="AT18" s="780">
        <v>169</v>
      </c>
      <c r="AU18" s="781">
        <v>0</v>
      </c>
      <c r="AV18" s="780">
        <v>0</v>
      </c>
      <c r="AW18" s="781">
        <v>0</v>
      </c>
      <c r="AX18" s="780">
        <v>0</v>
      </c>
      <c r="AY18" s="781">
        <v>0</v>
      </c>
      <c r="AZ18" s="780">
        <v>0</v>
      </c>
      <c r="BA18" s="781">
        <v>0.89</v>
      </c>
      <c r="BB18" s="780">
        <v>5</v>
      </c>
      <c r="BC18" s="781">
        <v>0</v>
      </c>
      <c r="BD18" s="780">
        <v>0</v>
      </c>
      <c r="BE18" s="781">
        <v>0</v>
      </c>
      <c r="BF18" s="780">
        <v>0</v>
      </c>
      <c r="BG18" s="781">
        <v>0</v>
      </c>
      <c r="BH18" s="780">
        <v>0</v>
      </c>
      <c r="BI18" s="781">
        <v>0.72450000000000003</v>
      </c>
      <c r="BJ18" s="780">
        <v>20</v>
      </c>
      <c r="BK18" s="781">
        <v>0</v>
      </c>
      <c r="BL18" s="780">
        <v>0</v>
      </c>
      <c r="BM18" s="781">
        <v>0</v>
      </c>
      <c r="BN18" s="780">
        <v>0</v>
      </c>
      <c r="BO18" s="781">
        <v>0.89</v>
      </c>
      <c r="BP18" s="780">
        <v>3</v>
      </c>
      <c r="BQ18" s="781">
        <v>0.70799999999999996</v>
      </c>
      <c r="BR18" s="780">
        <v>5</v>
      </c>
      <c r="BS18" s="781">
        <v>0</v>
      </c>
      <c r="BT18" s="780">
        <v>0</v>
      </c>
      <c r="BU18" s="781">
        <v>0.82250000000000001</v>
      </c>
      <c r="BV18" s="780">
        <v>20</v>
      </c>
      <c r="BW18" s="781">
        <v>0.85</v>
      </c>
      <c r="BX18" s="780">
        <v>1</v>
      </c>
      <c r="BY18" s="781">
        <v>0.81756756756756754</v>
      </c>
      <c r="BZ18" s="780">
        <v>111</v>
      </c>
      <c r="CA18" s="781">
        <v>0.66754385964912277</v>
      </c>
      <c r="CB18" s="780">
        <v>57</v>
      </c>
      <c r="CC18" s="781">
        <v>0.79921052631578948</v>
      </c>
      <c r="CD18" s="780">
        <v>38</v>
      </c>
      <c r="CE18" s="781">
        <v>0.89</v>
      </c>
      <c r="CF18" s="780">
        <v>4</v>
      </c>
      <c r="CG18" s="781">
        <v>0</v>
      </c>
      <c r="CH18" s="780">
        <v>0</v>
      </c>
      <c r="CI18" s="781">
        <v>0</v>
      </c>
      <c r="CJ18" s="780">
        <v>0</v>
      </c>
      <c r="CK18" s="781">
        <v>0.88900000000000001</v>
      </c>
      <c r="CL18" s="780">
        <v>10</v>
      </c>
      <c r="CM18" s="781">
        <v>0.80639344262295087</v>
      </c>
      <c r="CN18" s="780">
        <v>61</v>
      </c>
      <c r="CO18" s="781">
        <v>0.85499999999999998</v>
      </c>
      <c r="CP18" s="780">
        <v>4</v>
      </c>
      <c r="CQ18" s="781">
        <v>0.83363636363636362</v>
      </c>
      <c r="CR18" s="780">
        <v>11</v>
      </c>
      <c r="CS18" s="781">
        <v>0.64953125</v>
      </c>
      <c r="CT18" s="780">
        <v>64</v>
      </c>
    </row>
    <row r="19" spans="2:98" ht="11.25" customHeight="1">
      <c r="B19" s="808" t="s">
        <v>1011</v>
      </c>
      <c r="C19" s="797" t="s">
        <v>1063</v>
      </c>
      <c r="D19" s="798">
        <v>1019</v>
      </c>
      <c r="E19" s="799">
        <f t="shared" si="4"/>
        <v>896.69462391500622</v>
      </c>
      <c r="F19" s="799">
        <f t="shared" si="2"/>
        <v>0</v>
      </c>
      <c r="G19" s="807">
        <v>4470</v>
      </c>
      <c r="H19" s="799">
        <f t="shared" si="3"/>
        <v>0</v>
      </c>
      <c r="I19" s="799">
        <v>-9.5</v>
      </c>
      <c r="J19" s="800">
        <v>-17.5</v>
      </c>
      <c r="K19" s="792"/>
      <c r="L19" s="802">
        <v>19</v>
      </c>
      <c r="M19" s="802">
        <v>-11</v>
      </c>
      <c r="N19" s="803">
        <f t="shared" si="7"/>
        <v>0</v>
      </c>
      <c r="O19" s="804">
        <f t="shared" si="5"/>
        <v>0</v>
      </c>
      <c r="P19" s="805">
        <f t="shared" si="8"/>
        <v>0</v>
      </c>
      <c r="Q19" s="806">
        <f t="shared" si="6"/>
        <v>0</v>
      </c>
      <c r="R19" s="801"/>
      <c r="S19" s="781">
        <v>0.8318965517241379</v>
      </c>
      <c r="T19" s="780">
        <v>58</v>
      </c>
      <c r="U19" s="781">
        <v>0</v>
      </c>
      <c r="V19" s="780">
        <v>0</v>
      </c>
      <c r="W19" s="781">
        <v>0</v>
      </c>
      <c r="X19" s="780">
        <v>0</v>
      </c>
      <c r="Y19" s="781">
        <v>0</v>
      </c>
      <c r="Z19" s="780">
        <v>0</v>
      </c>
      <c r="AA19" s="781">
        <v>0.89624999999999999</v>
      </c>
      <c r="AB19" s="780">
        <v>8</v>
      </c>
      <c r="AC19" s="781">
        <v>0.85428571428571431</v>
      </c>
      <c r="AD19" s="780">
        <v>14</v>
      </c>
      <c r="AE19" s="781">
        <v>0.81157894736842107</v>
      </c>
      <c r="AF19" s="780">
        <v>38</v>
      </c>
      <c r="AG19" s="781">
        <v>0.74608695652173906</v>
      </c>
      <c r="AH19" s="780">
        <v>23</v>
      </c>
      <c r="AI19" s="781">
        <v>0.80827160493827166</v>
      </c>
      <c r="AJ19" s="780">
        <v>81</v>
      </c>
      <c r="AK19" s="781">
        <v>0.64749999999999996</v>
      </c>
      <c r="AL19" s="780">
        <v>20</v>
      </c>
      <c r="AM19" s="781">
        <v>0.88451612903225807</v>
      </c>
      <c r="AN19" s="780">
        <v>31</v>
      </c>
      <c r="AO19" s="781">
        <v>0.8124137931034483</v>
      </c>
      <c r="AP19" s="780">
        <v>29</v>
      </c>
      <c r="AQ19" s="781">
        <v>0.84684210526315795</v>
      </c>
      <c r="AR19" s="780">
        <v>19</v>
      </c>
      <c r="AS19" s="781">
        <v>0.78905000000000003</v>
      </c>
      <c r="AT19" s="780">
        <v>200</v>
      </c>
      <c r="AU19" s="781">
        <v>0.69125000000000003</v>
      </c>
      <c r="AV19" s="780">
        <v>8</v>
      </c>
      <c r="AW19" s="781">
        <v>0</v>
      </c>
      <c r="AX19" s="780">
        <v>0</v>
      </c>
      <c r="AY19" s="781">
        <v>0.86499999999999999</v>
      </c>
      <c r="AZ19" s="780">
        <v>2</v>
      </c>
      <c r="BA19" s="781">
        <v>0.89333333333333331</v>
      </c>
      <c r="BB19" s="780">
        <v>6</v>
      </c>
      <c r="BC19" s="781">
        <v>0</v>
      </c>
      <c r="BD19" s="780">
        <v>0</v>
      </c>
      <c r="BE19" s="781">
        <v>0</v>
      </c>
      <c r="BF19" s="780">
        <v>0</v>
      </c>
      <c r="BG19" s="781">
        <v>0</v>
      </c>
      <c r="BH19" s="780">
        <v>0</v>
      </c>
      <c r="BI19" s="781">
        <v>0.75480000000000003</v>
      </c>
      <c r="BJ19" s="780">
        <v>25</v>
      </c>
      <c r="BK19" s="781">
        <v>0</v>
      </c>
      <c r="BL19" s="780">
        <v>0</v>
      </c>
      <c r="BM19" s="781">
        <v>0</v>
      </c>
      <c r="BN19" s="780">
        <v>0</v>
      </c>
      <c r="BO19" s="781">
        <v>0.9</v>
      </c>
      <c r="BP19" s="780">
        <v>3</v>
      </c>
      <c r="BQ19" s="781">
        <v>0.74777777777777776</v>
      </c>
      <c r="BR19" s="780">
        <v>9</v>
      </c>
      <c r="BS19" s="781">
        <v>0</v>
      </c>
      <c r="BT19" s="780">
        <v>0</v>
      </c>
      <c r="BU19" s="781">
        <v>0.87894736842105259</v>
      </c>
      <c r="BV19" s="780">
        <v>19</v>
      </c>
      <c r="BW19" s="781">
        <v>0.79666666666666675</v>
      </c>
      <c r="BX19" s="780">
        <v>3</v>
      </c>
      <c r="BY19" s="781">
        <v>0.80165354330708671</v>
      </c>
      <c r="BZ19" s="780">
        <v>127</v>
      </c>
      <c r="CA19" s="781">
        <v>0.61507042253521127</v>
      </c>
      <c r="CB19" s="780">
        <v>71</v>
      </c>
      <c r="CC19" s="781">
        <v>0.79603174603174609</v>
      </c>
      <c r="CD19" s="780">
        <v>63</v>
      </c>
      <c r="CE19" s="781">
        <v>0.8878571428571429</v>
      </c>
      <c r="CF19" s="780">
        <v>14</v>
      </c>
      <c r="CG19" s="781">
        <v>0</v>
      </c>
      <c r="CH19" s="780">
        <v>0</v>
      </c>
      <c r="CI19" s="781">
        <v>0</v>
      </c>
      <c r="CJ19" s="780">
        <v>0</v>
      </c>
      <c r="CK19" s="781">
        <v>0.88419354838709685</v>
      </c>
      <c r="CL19" s="780">
        <v>31</v>
      </c>
      <c r="CM19" s="781">
        <v>0.82220588235294112</v>
      </c>
      <c r="CN19" s="780">
        <v>68</v>
      </c>
      <c r="CO19" s="781">
        <v>0.87727272727272732</v>
      </c>
      <c r="CP19" s="780">
        <v>11</v>
      </c>
      <c r="CQ19" s="781">
        <v>0.86</v>
      </c>
      <c r="CR19" s="780">
        <v>11</v>
      </c>
      <c r="CS19" s="781">
        <v>0.62901960784313726</v>
      </c>
      <c r="CT19" s="780">
        <v>51</v>
      </c>
    </row>
    <row r="20" spans="2:98" ht="11.25" customHeight="1">
      <c r="B20" s="808" t="s">
        <v>1424</v>
      </c>
      <c r="C20" s="797" t="s">
        <v>1053</v>
      </c>
      <c r="D20" s="798">
        <v>1202</v>
      </c>
      <c r="E20" s="799">
        <f t="shared" si="4"/>
        <v>876.96317797286247</v>
      </c>
      <c r="F20" s="799">
        <f t="shared" si="2"/>
        <v>0</v>
      </c>
      <c r="G20" s="807">
        <v>4723</v>
      </c>
      <c r="H20" s="799">
        <f t="shared" si="3"/>
        <v>0</v>
      </c>
      <c r="I20" s="799">
        <v>-9.6</v>
      </c>
      <c r="J20" s="800">
        <v>-15.6</v>
      </c>
      <c r="K20" s="792"/>
      <c r="L20" s="802">
        <v>20</v>
      </c>
      <c r="M20" s="802">
        <v>-10</v>
      </c>
      <c r="N20" s="803">
        <f t="shared" si="7"/>
        <v>0.88166666666666671</v>
      </c>
      <c r="O20" s="804">
        <f>INDEX($S$1:$CT$65,L20,MATCH($O$2,$S$2:$CT$2,0))</f>
        <v>6</v>
      </c>
      <c r="P20" s="805">
        <f t="shared" si="8"/>
        <v>6</v>
      </c>
      <c r="Q20" s="806">
        <f t="shared" si="6"/>
        <v>1.5015163465752519</v>
      </c>
      <c r="R20" s="801"/>
      <c r="S20" s="781">
        <v>0.81104166666666666</v>
      </c>
      <c r="T20" s="780">
        <v>48</v>
      </c>
      <c r="U20" s="781">
        <v>0.91</v>
      </c>
      <c r="V20" s="780">
        <v>2</v>
      </c>
      <c r="W20" s="781">
        <v>0.86</v>
      </c>
      <c r="X20" s="780">
        <v>1</v>
      </c>
      <c r="Y20" s="781">
        <v>0.68</v>
      </c>
      <c r="Z20" s="780">
        <v>2</v>
      </c>
      <c r="AA20" s="781">
        <v>0.90157894736842115</v>
      </c>
      <c r="AB20" s="780">
        <v>19</v>
      </c>
      <c r="AC20" s="781">
        <v>0.85045454545454546</v>
      </c>
      <c r="AD20" s="780">
        <v>22</v>
      </c>
      <c r="AE20" s="781">
        <v>0.79021276595744683</v>
      </c>
      <c r="AF20" s="780">
        <v>47</v>
      </c>
      <c r="AG20" s="781">
        <v>0.73807692307692307</v>
      </c>
      <c r="AH20" s="780">
        <v>26</v>
      </c>
      <c r="AI20" s="781">
        <v>0.81835051546391757</v>
      </c>
      <c r="AJ20" s="780">
        <v>97</v>
      </c>
      <c r="AK20" s="781">
        <v>0.62318181818181817</v>
      </c>
      <c r="AL20" s="780">
        <v>22</v>
      </c>
      <c r="AM20" s="781">
        <v>0.88707317073170733</v>
      </c>
      <c r="AN20" s="780">
        <v>41</v>
      </c>
      <c r="AO20" s="781">
        <v>0.78403846153846157</v>
      </c>
      <c r="AP20" s="780">
        <v>52</v>
      </c>
      <c r="AQ20" s="781">
        <v>0.8318181818181819</v>
      </c>
      <c r="AR20" s="780">
        <v>11</v>
      </c>
      <c r="AS20" s="781">
        <v>0.79351724137931035</v>
      </c>
      <c r="AT20" s="780">
        <v>145</v>
      </c>
      <c r="AU20" s="781">
        <v>0.63111111111111118</v>
      </c>
      <c r="AV20" s="780">
        <v>9</v>
      </c>
      <c r="AW20" s="781">
        <v>0.66500000000000004</v>
      </c>
      <c r="AX20" s="780">
        <v>2</v>
      </c>
      <c r="AY20" s="781">
        <v>0.84</v>
      </c>
      <c r="AZ20" s="780">
        <v>5</v>
      </c>
      <c r="BA20" s="781">
        <v>0.90099999999999991</v>
      </c>
      <c r="BB20" s="780">
        <v>10</v>
      </c>
      <c r="BC20" s="781">
        <v>0</v>
      </c>
      <c r="BD20" s="780">
        <v>0</v>
      </c>
      <c r="BE20" s="781">
        <v>0</v>
      </c>
      <c r="BF20" s="780">
        <v>0</v>
      </c>
      <c r="BG20" s="781">
        <v>0</v>
      </c>
      <c r="BH20" s="780">
        <v>0</v>
      </c>
      <c r="BI20" s="781">
        <v>0.79700000000000004</v>
      </c>
      <c r="BJ20" s="780">
        <v>50</v>
      </c>
      <c r="BK20" s="781">
        <v>0.88833333333333331</v>
      </c>
      <c r="BL20" s="780">
        <v>6</v>
      </c>
      <c r="BM20" s="781">
        <v>0</v>
      </c>
      <c r="BN20" s="780">
        <v>0</v>
      </c>
      <c r="BO20" s="781">
        <v>0.90666666666666673</v>
      </c>
      <c r="BP20" s="780">
        <v>6</v>
      </c>
      <c r="BQ20" s="781">
        <v>0.72875000000000001</v>
      </c>
      <c r="BR20" s="780">
        <v>8</v>
      </c>
      <c r="BS20" s="781">
        <v>0</v>
      </c>
      <c r="BT20" s="780">
        <v>0</v>
      </c>
      <c r="BU20" s="781">
        <v>0.82694444444444448</v>
      </c>
      <c r="BV20" s="780">
        <v>36</v>
      </c>
      <c r="BW20" s="781">
        <v>0.79416666666666669</v>
      </c>
      <c r="BX20" s="780">
        <v>12</v>
      </c>
      <c r="BY20" s="781">
        <v>0.79400000000000004</v>
      </c>
      <c r="BZ20" s="780">
        <v>145</v>
      </c>
      <c r="CA20" s="781">
        <v>0.66444444444444439</v>
      </c>
      <c r="CB20" s="780">
        <v>90</v>
      </c>
      <c r="CC20" s="781">
        <v>0.7857142857142857</v>
      </c>
      <c r="CD20" s="780">
        <v>70</v>
      </c>
      <c r="CE20" s="781">
        <v>0.8666666666666667</v>
      </c>
      <c r="CF20" s="780">
        <v>15</v>
      </c>
      <c r="CG20" s="781">
        <v>0.8</v>
      </c>
      <c r="CH20" s="780">
        <v>4</v>
      </c>
      <c r="CI20" s="781">
        <v>0.88166666666666671</v>
      </c>
      <c r="CJ20" s="780">
        <v>6</v>
      </c>
      <c r="CK20" s="781">
        <v>0.8548</v>
      </c>
      <c r="CL20" s="780">
        <v>25</v>
      </c>
      <c r="CM20" s="781">
        <v>0.80294871794871792</v>
      </c>
      <c r="CN20" s="780">
        <v>78</v>
      </c>
      <c r="CO20" s="781">
        <v>0.84565217391304348</v>
      </c>
      <c r="CP20" s="780">
        <v>23</v>
      </c>
      <c r="CQ20" s="781">
        <v>0.81133333333333335</v>
      </c>
      <c r="CR20" s="780">
        <v>15</v>
      </c>
      <c r="CS20" s="781">
        <v>0.57658536585365849</v>
      </c>
      <c r="CT20" s="780">
        <v>82</v>
      </c>
    </row>
    <row r="21" spans="2:98" ht="11.25" customHeight="1">
      <c r="B21" s="797" t="s">
        <v>1425</v>
      </c>
      <c r="C21" s="797" t="s">
        <v>1064</v>
      </c>
      <c r="D21" s="798">
        <v>366</v>
      </c>
      <c r="E21" s="799">
        <f t="shared" si="4"/>
        <v>970.05452506730273</v>
      </c>
      <c r="F21" s="799">
        <f t="shared" si="2"/>
        <v>0</v>
      </c>
      <c r="G21" s="807">
        <v>2476</v>
      </c>
      <c r="H21" s="799">
        <f t="shared" si="3"/>
        <v>0</v>
      </c>
      <c r="I21" s="799">
        <v>-1.3</v>
      </c>
      <c r="J21" s="800">
        <v>-4.3</v>
      </c>
      <c r="K21" s="792"/>
      <c r="L21" s="802">
        <v>21</v>
      </c>
      <c r="M21" s="802">
        <v>-9</v>
      </c>
      <c r="N21" s="803">
        <f t="shared" si="7"/>
        <v>0.88355555555555554</v>
      </c>
      <c r="O21" s="804">
        <f t="shared" si="5"/>
        <v>45</v>
      </c>
      <c r="P21" s="805">
        <f t="shared" si="8"/>
        <v>51</v>
      </c>
      <c r="Q21" s="806">
        <f t="shared" si="6"/>
        <v>1.6443161150095276</v>
      </c>
      <c r="R21" s="801"/>
      <c r="S21" s="781">
        <v>0.83583333333333332</v>
      </c>
      <c r="T21" s="780">
        <v>60</v>
      </c>
      <c r="U21" s="781">
        <v>0.91500000000000004</v>
      </c>
      <c r="V21" s="780">
        <v>2</v>
      </c>
      <c r="W21" s="781">
        <v>0.84499999999999997</v>
      </c>
      <c r="X21" s="780">
        <v>2</v>
      </c>
      <c r="Y21" s="781">
        <v>0.75727272727272732</v>
      </c>
      <c r="Z21" s="780">
        <v>11</v>
      </c>
      <c r="AA21" s="781">
        <v>0.89727272727272733</v>
      </c>
      <c r="AB21" s="780">
        <v>33</v>
      </c>
      <c r="AC21" s="781">
        <v>0.83133333333333337</v>
      </c>
      <c r="AD21" s="780">
        <v>15</v>
      </c>
      <c r="AE21" s="781">
        <v>0.80285714285714294</v>
      </c>
      <c r="AF21" s="780">
        <v>35</v>
      </c>
      <c r="AG21" s="781">
        <v>0.75037037037037035</v>
      </c>
      <c r="AH21" s="780">
        <v>27</v>
      </c>
      <c r="AI21" s="781">
        <v>0.82824324324324328</v>
      </c>
      <c r="AJ21" s="780">
        <v>148</v>
      </c>
      <c r="AK21" s="781">
        <v>0.65666666666666673</v>
      </c>
      <c r="AL21" s="780">
        <v>42</v>
      </c>
      <c r="AM21" s="781">
        <v>0.88260273972602743</v>
      </c>
      <c r="AN21" s="780">
        <v>73</v>
      </c>
      <c r="AO21" s="781">
        <v>0.77694915254237285</v>
      </c>
      <c r="AP21" s="780">
        <v>59</v>
      </c>
      <c r="AQ21" s="781">
        <v>0.78333333333333333</v>
      </c>
      <c r="AR21" s="780">
        <v>15</v>
      </c>
      <c r="AS21" s="781">
        <v>0.81825000000000003</v>
      </c>
      <c r="AT21" s="780">
        <v>200</v>
      </c>
      <c r="AU21" s="781">
        <v>0.62217391304347824</v>
      </c>
      <c r="AV21" s="780">
        <v>46</v>
      </c>
      <c r="AW21" s="781">
        <v>0.61750000000000005</v>
      </c>
      <c r="AX21" s="780">
        <v>4</v>
      </c>
      <c r="AY21" s="781">
        <v>0.84200000000000008</v>
      </c>
      <c r="AZ21" s="780">
        <v>10</v>
      </c>
      <c r="BA21" s="781">
        <v>0.8812903225806451</v>
      </c>
      <c r="BB21" s="780">
        <v>31</v>
      </c>
      <c r="BC21" s="781">
        <v>0</v>
      </c>
      <c r="BD21" s="780">
        <v>0</v>
      </c>
      <c r="BE21" s="781">
        <v>0.9</v>
      </c>
      <c r="BF21" s="780">
        <v>1</v>
      </c>
      <c r="BG21" s="781">
        <v>0</v>
      </c>
      <c r="BH21" s="780">
        <v>0</v>
      </c>
      <c r="BI21" s="781">
        <v>0.77</v>
      </c>
      <c r="BJ21" s="780">
        <v>44</v>
      </c>
      <c r="BK21" s="781">
        <v>0.85</v>
      </c>
      <c r="BL21" s="780">
        <v>5</v>
      </c>
      <c r="BM21" s="781">
        <v>0</v>
      </c>
      <c r="BN21" s="780">
        <v>0</v>
      </c>
      <c r="BO21" s="781">
        <v>0.92555555555555558</v>
      </c>
      <c r="BP21" s="780">
        <v>18</v>
      </c>
      <c r="BQ21" s="781">
        <v>0.68361111111111117</v>
      </c>
      <c r="BR21" s="780">
        <v>36</v>
      </c>
      <c r="BS21" s="781">
        <v>0.69499999999999995</v>
      </c>
      <c r="BT21" s="780">
        <v>8</v>
      </c>
      <c r="BU21" s="781">
        <v>0.83875</v>
      </c>
      <c r="BV21" s="780">
        <v>40</v>
      </c>
      <c r="BW21" s="781">
        <v>0.79794117647058826</v>
      </c>
      <c r="BX21" s="780">
        <v>34</v>
      </c>
      <c r="BY21" s="781">
        <v>0.80056962025316447</v>
      </c>
      <c r="BZ21" s="780">
        <v>158</v>
      </c>
      <c r="CA21" s="781">
        <v>0.67606382978723401</v>
      </c>
      <c r="CB21" s="780">
        <v>94</v>
      </c>
      <c r="CC21" s="781">
        <v>0.77739999999999998</v>
      </c>
      <c r="CD21" s="780">
        <v>100</v>
      </c>
      <c r="CE21" s="781">
        <v>0.86454545454545451</v>
      </c>
      <c r="CF21" s="780">
        <v>22</v>
      </c>
      <c r="CG21" s="781">
        <v>0.85055555555555562</v>
      </c>
      <c r="CH21" s="780">
        <v>18</v>
      </c>
      <c r="CI21" s="781">
        <v>0.88355555555555554</v>
      </c>
      <c r="CJ21" s="780">
        <v>45</v>
      </c>
      <c r="CK21" s="781">
        <v>0.79533333333333334</v>
      </c>
      <c r="CL21" s="780">
        <v>30</v>
      </c>
      <c r="CM21" s="781">
        <v>0.79679245283018874</v>
      </c>
      <c r="CN21" s="780">
        <v>106</v>
      </c>
      <c r="CO21" s="781">
        <v>0.83900000000000008</v>
      </c>
      <c r="CP21" s="780">
        <v>30</v>
      </c>
      <c r="CQ21" s="781">
        <v>0.83652173913043482</v>
      </c>
      <c r="CR21" s="780">
        <v>23</v>
      </c>
      <c r="CS21" s="781">
        <v>0.60510869565217396</v>
      </c>
      <c r="CT21" s="780">
        <v>92</v>
      </c>
    </row>
    <row r="22" spans="2:98" ht="11.25" customHeight="1">
      <c r="B22" s="797" t="s">
        <v>1022</v>
      </c>
      <c r="C22" s="797" t="s">
        <v>1064</v>
      </c>
      <c r="D22" s="798">
        <v>273</v>
      </c>
      <c r="E22" s="799">
        <f t="shared" si="4"/>
        <v>980.88634886554883</v>
      </c>
      <c r="F22" s="799">
        <f t="shared" si="2"/>
        <v>0</v>
      </c>
      <c r="G22" s="807">
        <v>2438</v>
      </c>
      <c r="H22" s="799">
        <f t="shared" si="3"/>
        <v>0</v>
      </c>
      <c r="I22" s="799">
        <v>-0.8</v>
      </c>
      <c r="J22" s="800">
        <v>-3.9</v>
      </c>
      <c r="K22" s="792"/>
      <c r="L22" s="802">
        <v>22</v>
      </c>
      <c r="M22" s="802">
        <v>-8</v>
      </c>
      <c r="N22" s="803">
        <f t="shared" si="7"/>
        <v>0.84875</v>
      </c>
      <c r="O22" s="804">
        <f t="shared" si="5"/>
        <v>48</v>
      </c>
      <c r="P22" s="805">
        <f t="shared" si="8"/>
        <v>99</v>
      </c>
      <c r="Q22" s="806">
        <f t="shared" si="6"/>
        <v>1.7250087090245703</v>
      </c>
      <c r="R22" s="801"/>
      <c r="S22" s="781">
        <v>0.83661290322580639</v>
      </c>
      <c r="T22" s="780">
        <v>124</v>
      </c>
      <c r="U22" s="781">
        <v>0.91866666666666663</v>
      </c>
      <c r="V22" s="780">
        <v>15</v>
      </c>
      <c r="W22" s="781">
        <v>0.81857142857142862</v>
      </c>
      <c r="X22" s="780">
        <v>7</v>
      </c>
      <c r="Y22" s="781">
        <v>0.76038461538461533</v>
      </c>
      <c r="Z22" s="780">
        <v>26</v>
      </c>
      <c r="AA22" s="781">
        <v>0.87454545454545451</v>
      </c>
      <c r="AB22" s="780">
        <v>33</v>
      </c>
      <c r="AC22" s="781">
        <v>0.7578125</v>
      </c>
      <c r="AD22" s="780">
        <v>32</v>
      </c>
      <c r="AE22" s="781">
        <v>0.8202222222222223</v>
      </c>
      <c r="AF22" s="780">
        <v>45</v>
      </c>
      <c r="AG22" s="781">
        <v>0.74684210526315797</v>
      </c>
      <c r="AH22" s="780">
        <v>19</v>
      </c>
      <c r="AI22" s="781">
        <v>0.81557823129251705</v>
      </c>
      <c r="AJ22" s="780">
        <v>147</v>
      </c>
      <c r="AK22" s="781">
        <v>0.73482758620689648</v>
      </c>
      <c r="AL22" s="780">
        <v>58</v>
      </c>
      <c r="AM22" s="781">
        <v>0.87868131868131871</v>
      </c>
      <c r="AN22" s="780">
        <v>91</v>
      </c>
      <c r="AO22" s="781">
        <v>0.75721311475409836</v>
      </c>
      <c r="AP22" s="780">
        <v>61</v>
      </c>
      <c r="AQ22" s="781">
        <v>0.82964285714285713</v>
      </c>
      <c r="AR22" s="780">
        <v>28</v>
      </c>
      <c r="AS22" s="781">
        <v>0.83405529953917057</v>
      </c>
      <c r="AT22" s="780">
        <v>217</v>
      </c>
      <c r="AU22" s="781">
        <v>0.66956521739130437</v>
      </c>
      <c r="AV22" s="780">
        <v>23</v>
      </c>
      <c r="AW22" s="781">
        <v>0.79333333333333333</v>
      </c>
      <c r="AX22" s="780">
        <v>3</v>
      </c>
      <c r="AY22" s="781">
        <v>0.8113636363636364</v>
      </c>
      <c r="AZ22" s="780">
        <v>22</v>
      </c>
      <c r="BA22" s="781">
        <v>0.8778125</v>
      </c>
      <c r="BB22" s="780">
        <v>32</v>
      </c>
      <c r="BC22" s="781">
        <v>0</v>
      </c>
      <c r="BD22" s="780">
        <v>0</v>
      </c>
      <c r="BE22" s="781">
        <v>0.87400000000000011</v>
      </c>
      <c r="BF22" s="780">
        <v>5</v>
      </c>
      <c r="BG22" s="781">
        <v>0</v>
      </c>
      <c r="BH22" s="780">
        <v>0</v>
      </c>
      <c r="BI22" s="781">
        <v>0.82058139534883723</v>
      </c>
      <c r="BJ22" s="780">
        <v>86</v>
      </c>
      <c r="BK22" s="781">
        <v>0.80857142857142861</v>
      </c>
      <c r="BL22" s="780">
        <v>7</v>
      </c>
      <c r="BM22" s="781">
        <v>0</v>
      </c>
      <c r="BN22" s="780">
        <v>0</v>
      </c>
      <c r="BO22" s="781">
        <v>0.91764705882352937</v>
      </c>
      <c r="BP22" s="780">
        <v>17</v>
      </c>
      <c r="BQ22" s="781">
        <v>0.6385185185185186</v>
      </c>
      <c r="BR22" s="780">
        <v>27</v>
      </c>
      <c r="BS22" s="781">
        <v>0.69181818181818189</v>
      </c>
      <c r="BT22" s="780">
        <v>22</v>
      </c>
      <c r="BU22" s="781">
        <v>0.83840000000000003</v>
      </c>
      <c r="BV22" s="780">
        <v>50</v>
      </c>
      <c r="BW22" s="781">
        <v>0.80159999999999998</v>
      </c>
      <c r="BX22" s="780">
        <v>25</v>
      </c>
      <c r="BY22" s="781">
        <v>0.80679144385026735</v>
      </c>
      <c r="BZ22" s="780">
        <v>187</v>
      </c>
      <c r="CA22" s="781">
        <v>0.68023668639053259</v>
      </c>
      <c r="CB22" s="780">
        <v>169</v>
      </c>
      <c r="CC22" s="781">
        <v>0.78098360655737709</v>
      </c>
      <c r="CD22" s="780">
        <v>122</v>
      </c>
      <c r="CE22" s="781">
        <v>0.83238095238095244</v>
      </c>
      <c r="CF22" s="780">
        <v>21</v>
      </c>
      <c r="CG22" s="781">
        <v>0.86411764705882343</v>
      </c>
      <c r="CH22" s="780">
        <v>34</v>
      </c>
      <c r="CI22" s="781">
        <v>0.84875</v>
      </c>
      <c r="CJ22" s="780">
        <v>48</v>
      </c>
      <c r="CK22" s="781">
        <v>0.77489361702127657</v>
      </c>
      <c r="CL22" s="780">
        <v>47</v>
      </c>
      <c r="CM22" s="781">
        <v>0.78763779527559052</v>
      </c>
      <c r="CN22" s="780">
        <v>127</v>
      </c>
      <c r="CO22" s="781">
        <v>0.80971428571428572</v>
      </c>
      <c r="CP22" s="780">
        <v>35</v>
      </c>
      <c r="CQ22" s="781">
        <v>0.77615384615384608</v>
      </c>
      <c r="CR22" s="780">
        <v>26</v>
      </c>
      <c r="CS22" s="781">
        <v>0.61481132075471701</v>
      </c>
      <c r="CT22" s="780">
        <v>106</v>
      </c>
    </row>
    <row r="23" spans="2:98" ht="11.25" customHeight="1">
      <c r="B23" s="797" t="s">
        <v>1023</v>
      </c>
      <c r="C23" s="797" t="s">
        <v>1065</v>
      </c>
      <c r="D23" s="798">
        <v>456</v>
      </c>
      <c r="E23" s="799">
        <f t="shared" si="4"/>
        <v>959.6645327647359</v>
      </c>
      <c r="F23" s="799">
        <f t="shared" si="2"/>
        <v>0</v>
      </c>
      <c r="G23" s="807">
        <v>3318</v>
      </c>
      <c r="H23" s="799">
        <f t="shared" si="3"/>
        <v>0</v>
      </c>
      <c r="I23" s="799">
        <v>-6.4</v>
      </c>
      <c r="J23" s="800">
        <v>-12.4</v>
      </c>
      <c r="K23" s="792"/>
      <c r="L23" s="802">
        <v>23</v>
      </c>
      <c r="M23" s="802">
        <v>-7</v>
      </c>
      <c r="N23" s="803">
        <f t="shared" si="7"/>
        <v>0.83058823529411763</v>
      </c>
      <c r="O23" s="804">
        <f t="shared" si="5"/>
        <v>68</v>
      </c>
      <c r="P23" s="805">
        <f t="shared" si="8"/>
        <v>167</v>
      </c>
      <c r="Q23" s="806">
        <f t="shared" si="6"/>
        <v>1.8427124559848516</v>
      </c>
      <c r="R23" s="801"/>
      <c r="S23" s="781">
        <v>0.81920634920634927</v>
      </c>
      <c r="T23" s="780">
        <v>126</v>
      </c>
      <c r="U23" s="781">
        <v>0.91695652173913045</v>
      </c>
      <c r="V23" s="780">
        <v>23</v>
      </c>
      <c r="W23" s="781">
        <v>0.84900000000000009</v>
      </c>
      <c r="X23" s="780">
        <v>10</v>
      </c>
      <c r="Y23" s="781">
        <v>0.77789473684210519</v>
      </c>
      <c r="Z23" s="780">
        <v>19</v>
      </c>
      <c r="AA23" s="781">
        <v>0.84787878787878779</v>
      </c>
      <c r="AB23" s="780">
        <v>33</v>
      </c>
      <c r="AC23" s="781">
        <v>0.80470588235294116</v>
      </c>
      <c r="AD23" s="780">
        <v>17</v>
      </c>
      <c r="AE23" s="781">
        <v>0.82896907216494842</v>
      </c>
      <c r="AF23" s="780">
        <v>97</v>
      </c>
      <c r="AG23" s="781">
        <v>0.72906249999999995</v>
      </c>
      <c r="AH23" s="780">
        <v>32</v>
      </c>
      <c r="AI23" s="781">
        <v>0.77135869565217385</v>
      </c>
      <c r="AJ23" s="780">
        <v>184</v>
      </c>
      <c r="AK23" s="781">
        <v>0.76838709677419359</v>
      </c>
      <c r="AL23" s="780">
        <v>62</v>
      </c>
      <c r="AM23" s="781">
        <v>0.8812295081967213</v>
      </c>
      <c r="AN23" s="780">
        <v>122</v>
      </c>
      <c r="AO23" s="781">
        <v>0.79113636363636364</v>
      </c>
      <c r="AP23" s="780">
        <v>88</v>
      </c>
      <c r="AQ23" s="781">
        <v>0.81675675675675674</v>
      </c>
      <c r="AR23" s="780">
        <v>37</v>
      </c>
      <c r="AS23" s="781">
        <v>0.8133703703703703</v>
      </c>
      <c r="AT23" s="780">
        <v>270</v>
      </c>
      <c r="AU23" s="781">
        <v>0.73833333333333329</v>
      </c>
      <c r="AV23" s="780">
        <v>30</v>
      </c>
      <c r="AW23" s="781">
        <v>0.87</v>
      </c>
      <c r="AX23" s="780">
        <v>3</v>
      </c>
      <c r="AY23" s="781">
        <v>0.83923076923076922</v>
      </c>
      <c r="AZ23" s="780">
        <v>39</v>
      </c>
      <c r="BA23" s="781">
        <v>0.84952380952380946</v>
      </c>
      <c r="BB23" s="780">
        <v>42</v>
      </c>
      <c r="BC23" s="781">
        <v>0</v>
      </c>
      <c r="BD23" s="780">
        <v>0</v>
      </c>
      <c r="BE23" s="781">
        <v>0.8426190476190476</v>
      </c>
      <c r="BF23" s="780">
        <v>42</v>
      </c>
      <c r="BG23" s="781">
        <v>0.87</v>
      </c>
      <c r="BH23" s="780">
        <v>3</v>
      </c>
      <c r="BI23" s="781">
        <v>0.7928358208955224</v>
      </c>
      <c r="BJ23" s="780">
        <v>67</v>
      </c>
      <c r="BK23" s="781">
        <v>0.79689655172413798</v>
      </c>
      <c r="BL23" s="780">
        <v>29</v>
      </c>
      <c r="BM23" s="781">
        <v>0</v>
      </c>
      <c r="BN23" s="780">
        <v>0</v>
      </c>
      <c r="BO23" s="781">
        <v>0.87658536585365854</v>
      </c>
      <c r="BP23" s="780">
        <v>41</v>
      </c>
      <c r="BQ23" s="781">
        <v>0.62966666666666671</v>
      </c>
      <c r="BR23" s="780">
        <v>60</v>
      </c>
      <c r="BS23" s="781">
        <v>0.70666666666666667</v>
      </c>
      <c r="BT23" s="780">
        <v>24</v>
      </c>
      <c r="BU23" s="781">
        <v>0.83895522388059707</v>
      </c>
      <c r="BV23" s="780">
        <v>67</v>
      </c>
      <c r="BW23" s="781">
        <v>0.81522727272727269</v>
      </c>
      <c r="BX23" s="780">
        <v>44</v>
      </c>
      <c r="BY23" s="781">
        <v>0.77431818181818191</v>
      </c>
      <c r="BZ23" s="780">
        <v>176</v>
      </c>
      <c r="CA23" s="781">
        <v>0.65333333333333332</v>
      </c>
      <c r="CB23" s="780">
        <v>201</v>
      </c>
      <c r="CC23" s="781">
        <v>0.77242187500000004</v>
      </c>
      <c r="CD23" s="780">
        <v>128</v>
      </c>
      <c r="CE23" s="781">
        <v>0.81933333333333336</v>
      </c>
      <c r="CF23" s="780">
        <v>30</v>
      </c>
      <c r="CG23" s="781">
        <v>0.84</v>
      </c>
      <c r="CH23" s="780">
        <v>65</v>
      </c>
      <c r="CI23" s="781">
        <v>0.83058823529411763</v>
      </c>
      <c r="CJ23" s="780">
        <v>68</v>
      </c>
      <c r="CK23" s="781">
        <v>0.78432432432432431</v>
      </c>
      <c r="CL23" s="780">
        <v>37</v>
      </c>
      <c r="CM23" s="781">
        <v>0.79953947368421052</v>
      </c>
      <c r="CN23" s="780">
        <v>152</v>
      </c>
      <c r="CO23" s="781">
        <v>0.78796610169491532</v>
      </c>
      <c r="CP23" s="780">
        <v>59</v>
      </c>
      <c r="CQ23" s="781">
        <v>0.80689655172413799</v>
      </c>
      <c r="CR23" s="780">
        <v>29</v>
      </c>
      <c r="CS23" s="781">
        <v>0.61612403100775193</v>
      </c>
      <c r="CT23" s="780">
        <v>129</v>
      </c>
    </row>
    <row r="24" spans="2:98" ht="11.25" customHeight="1">
      <c r="B24" s="797" t="s">
        <v>1024</v>
      </c>
      <c r="C24" s="797" t="s">
        <v>1064</v>
      </c>
      <c r="D24" s="798">
        <v>197</v>
      </c>
      <c r="E24" s="799">
        <f t="shared" si="4"/>
        <v>989.81069482486237</v>
      </c>
      <c r="F24" s="799">
        <f t="shared" si="2"/>
        <v>0</v>
      </c>
      <c r="G24" s="807">
        <v>2735</v>
      </c>
      <c r="H24" s="799">
        <f t="shared" si="3"/>
        <v>0</v>
      </c>
      <c r="I24" s="799">
        <v>-3</v>
      </c>
      <c r="J24" s="800">
        <v>-8.1</v>
      </c>
      <c r="K24" s="792"/>
      <c r="L24" s="802">
        <v>24</v>
      </c>
      <c r="M24" s="802">
        <v>-6</v>
      </c>
      <c r="N24" s="803">
        <f t="shared" si="7"/>
        <v>0.78466666666666673</v>
      </c>
      <c r="O24" s="804">
        <f t="shared" si="5"/>
        <v>45</v>
      </c>
      <c r="P24" s="805">
        <f t="shared" si="8"/>
        <v>212</v>
      </c>
      <c r="Q24" s="806">
        <f t="shared" si="6"/>
        <v>1.8990637446325369</v>
      </c>
      <c r="R24" s="801"/>
      <c r="S24" s="781">
        <v>0.74671532846715327</v>
      </c>
      <c r="T24" s="780">
        <v>137</v>
      </c>
      <c r="U24" s="781">
        <v>0.91299999999999992</v>
      </c>
      <c r="V24" s="780">
        <v>30</v>
      </c>
      <c r="W24" s="781">
        <v>0.81</v>
      </c>
      <c r="X24" s="780">
        <v>13</v>
      </c>
      <c r="Y24" s="781">
        <v>0.80147058823529405</v>
      </c>
      <c r="Z24" s="780">
        <v>34</v>
      </c>
      <c r="AA24" s="781">
        <v>0.83700000000000008</v>
      </c>
      <c r="AB24" s="780">
        <v>40</v>
      </c>
      <c r="AC24" s="781">
        <v>0.79400000000000004</v>
      </c>
      <c r="AD24" s="780">
        <v>25</v>
      </c>
      <c r="AE24" s="781">
        <v>0.79692307692307696</v>
      </c>
      <c r="AF24" s="780">
        <v>117</v>
      </c>
      <c r="AG24" s="781">
        <v>0.76189189189189188</v>
      </c>
      <c r="AH24" s="780">
        <v>37</v>
      </c>
      <c r="AI24" s="781">
        <v>0.79431818181818192</v>
      </c>
      <c r="AJ24" s="780">
        <v>220</v>
      </c>
      <c r="AK24" s="781">
        <v>0.77223880597014927</v>
      </c>
      <c r="AL24" s="780">
        <v>67</v>
      </c>
      <c r="AM24" s="781">
        <v>0.88630252100840334</v>
      </c>
      <c r="AN24" s="780">
        <v>119</v>
      </c>
      <c r="AO24" s="781">
        <v>0.8255555555555556</v>
      </c>
      <c r="AP24" s="780">
        <v>99</v>
      </c>
      <c r="AQ24" s="781">
        <v>0.8196296296296296</v>
      </c>
      <c r="AR24" s="780">
        <v>54</v>
      </c>
      <c r="AS24" s="781">
        <v>0.80683673469387751</v>
      </c>
      <c r="AT24" s="780">
        <v>392</v>
      </c>
      <c r="AU24" s="781">
        <v>0.86441176470588232</v>
      </c>
      <c r="AV24" s="780">
        <v>34</v>
      </c>
      <c r="AW24" s="781">
        <v>0.79153846153846164</v>
      </c>
      <c r="AX24" s="780">
        <v>13</v>
      </c>
      <c r="AY24" s="781">
        <v>0.83</v>
      </c>
      <c r="AZ24" s="780">
        <v>74</v>
      </c>
      <c r="BA24" s="781">
        <v>0.89174999999999993</v>
      </c>
      <c r="BB24" s="780">
        <v>40</v>
      </c>
      <c r="BC24" s="781">
        <v>0</v>
      </c>
      <c r="BD24" s="780">
        <v>0</v>
      </c>
      <c r="BE24" s="781">
        <v>0.80044776119402983</v>
      </c>
      <c r="BF24" s="780">
        <v>67</v>
      </c>
      <c r="BG24" s="781">
        <v>0.83200000000000007</v>
      </c>
      <c r="BH24" s="780">
        <v>10</v>
      </c>
      <c r="BI24" s="781">
        <v>0.81666666666666676</v>
      </c>
      <c r="BJ24" s="780">
        <v>90</v>
      </c>
      <c r="BK24" s="781">
        <v>0.81263157894736837</v>
      </c>
      <c r="BL24" s="780">
        <v>19</v>
      </c>
      <c r="BM24" s="781">
        <v>0</v>
      </c>
      <c r="BN24" s="780">
        <v>0</v>
      </c>
      <c r="BO24" s="781">
        <v>0.85017857142857134</v>
      </c>
      <c r="BP24" s="780">
        <v>56</v>
      </c>
      <c r="BQ24" s="781">
        <v>0.67</v>
      </c>
      <c r="BR24" s="780">
        <v>108</v>
      </c>
      <c r="BS24" s="781">
        <v>0.72044444444444455</v>
      </c>
      <c r="BT24" s="780">
        <v>45</v>
      </c>
      <c r="BU24" s="781">
        <v>0.80321428571428566</v>
      </c>
      <c r="BV24" s="780">
        <v>112</v>
      </c>
      <c r="BW24" s="781">
        <v>0.82146067415730339</v>
      </c>
      <c r="BX24" s="780">
        <v>89</v>
      </c>
      <c r="BY24" s="781">
        <v>0.7813440860215054</v>
      </c>
      <c r="BZ24" s="780">
        <v>186</v>
      </c>
      <c r="CA24" s="781">
        <v>0.71594142259414228</v>
      </c>
      <c r="CB24" s="780">
        <v>239</v>
      </c>
      <c r="CC24" s="781">
        <v>0.7556666666666666</v>
      </c>
      <c r="CD24" s="780">
        <v>150</v>
      </c>
      <c r="CE24" s="781">
        <v>0.76249999999999996</v>
      </c>
      <c r="CF24" s="780">
        <v>64</v>
      </c>
      <c r="CG24" s="781">
        <v>0.82410714285714293</v>
      </c>
      <c r="CH24" s="780">
        <v>56</v>
      </c>
      <c r="CI24" s="781">
        <v>0.78466666666666673</v>
      </c>
      <c r="CJ24" s="780">
        <v>45</v>
      </c>
      <c r="CK24" s="781">
        <v>0.82652173913043481</v>
      </c>
      <c r="CL24" s="780">
        <v>46</v>
      </c>
      <c r="CM24" s="781">
        <v>0.8153191489361703</v>
      </c>
      <c r="CN24" s="780">
        <v>141</v>
      </c>
      <c r="CO24" s="781">
        <v>0.80796875000000001</v>
      </c>
      <c r="CP24" s="780">
        <v>64</v>
      </c>
      <c r="CQ24" s="781">
        <v>0.83411764705882352</v>
      </c>
      <c r="CR24" s="780">
        <v>34</v>
      </c>
      <c r="CS24" s="781">
        <v>0.63576190476190475</v>
      </c>
      <c r="CT24" s="780">
        <v>210</v>
      </c>
    </row>
    <row r="25" spans="2:98" ht="11.25" customHeight="1">
      <c r="B25" s="797" t="s">
        <v>1025</v>
      </c>
      <c r="C25" s="797" t="s">
        <v>1061</v>
      </c>
      <c r="D25" s="798">
        <v>1508</v>
      </c>
      <c r="E25" s="799">
        <f t="shared" si="4"/>
        <v>844.75590496247867</v>
      </c>
      <c r="F25" s="799">
        <f t="shared" si="2"/>
        <v>0</v>
      </c>
      <c r="G25" s="807">
        <v>4770</v>
      </c>
      <c r="H25" s="799">
        <f t="shared" si="3"/>
        <v>0</v>
      </c>
      <c r="I25" s="799">
        <v>-9.6</v>
      </c>
      <c r="J25" s="800">
        <v>-15.5</v>
      </c>
      <c r="K25" s="792"/>
      <c r="L25" s="802">
        <v>25</v>
      </c>
      <c r="M25" s="802">
        <v>-5</v>
      </c>
      <c r="N25" s="803">
        <f t="shared" si="7"/>
        <v>0.80684210526315792</v>
      </c>
      <c r="O25" s="804">
        <f t="shared" si="5"/>
        <v>57</v>
      </c>
      <c r="P25" s="805">
        <f t="shared" si="8"/>
        <v>269</v>
      </c>
      <c r="Q25" s="806">
        <f t="shared" si="6"/>
        <v>2.1295882217699158</v>
      </c>
      <c r="R25" s="801"/>
      <c r="S25" s="781">
        <v>0.76449541284403666</v>
      </c>
      <c r="T25" s="780">
        <v>109</v>
      </c>
      <c r="U25" s="781">
        <v>0.9257894736842105</v>
      </c>
      <c r="V25" s="780">
        <v>38</v>
      </c>
      <c r="W25" s="781">
        <v>0.77307692307692311</v>
      </c>
      <c r="X25" s="780">
        <v>26</v>
      </c>
      <c r="Y25" s="781">
        <v>0.8148936170212765</v>
      </c>
      <c r="Z25" s="780">
        <v>47</v>
      </c>
      <c r="AA25" s="781">
        <v>0.81134615384615383</v>
      </c>
      <c r="AB25" s="780">
        <v>52</v>
      </c>
      <c r="AC25" s="781">
        <v>0.8056603773584905</v>
      </c>
      <c r="AD25" s="780">
        <v>53</v>
      </c>
      <c r="AE25" s="781">
        <v>0.81211538461538468</v>
      </c>
      <c r="AF25" s="780">
        <v>104</v>
      </c>
      <c r="AG25" s="781">
        <v>0.75319999999999998</v>
      </c>
      <c r="AH25" s="780">
        <v>50</v>
      </c>
      <c r="AI25" s="781">
        <v>0.78384057971014498</v>
      </c>
      <c r="AJ25" s="780">
        <v>276</v>
      </c>
      <c r="AK25" s="781">
        <v>0.79351562499999995</v>
      </c>
      <c r="AL25" s="780">
        <v>128</v>
      </c>
      <c r="AM25" s="781">
        <v>0.85935251798561152</v>
      </c>
      <c r="AN25" s="780">
        <v>139</v>
      </c>
      <c r="AO25" s="781">
        <v>0.83309941520467834</v>
      </c>
      <c r="AP25" s="780">
        <v>171</v>
      </c>
      <c r="AQ25" s="781">
        <v>0.83595959595959601</v>
      </c>
      <c r="AR25" s="780">
        <v>99</v>
      </c>
      <c r="AS25" s="781">
        <v>0.68848303393213572</v>
      </c>
      <c r="AT25" s="780">
        <v>501</v>
      </c>
      <c r="AU25" s="781">
        <v>0.81736842105263163</v>
      </c>
      <c r="AV25" s="780">
        <v>38</v>
      </c>
      <c r="AW25" s="781">
        <v>0.74734693877551028</v>
      </c>
      <c r="AX25" s="780">
        <v>49</v>
      </c>
      <c r="AY25" s="781">
        <v>0.8067021276595745</v>
      </c>
      <c r="AZ25" s="780">
        <v>94</v>
      </c>
      <c r="BA25" s="781">
        <v>0.87233333333333329</v>
      </c>
      <c r="BB25" s="780">
        <v>60</v>
      </c>
      <c r="BC25" s="781">
        <v>0</v>
      </c>
      <c r="BD25" s="780">
        <v>0</v>
      </c>
      <c r="BE25" s="781">
        <v>0.77963855421686745</v>
      </c>
      <c r="BF25" s="780">
        <v>83</v>
      </c>
      <c r="BG25" s="781">
        <v>0.78565217391304343</v>
      </c>
      <c r="BH25" s="780">
        <v>23</v>
      </c>
      <c r="BI25" s="781">
        <v>0.81728323699421968</v>
      </c>
      <c r="BJ25" s="780">
        <v>173</v>
      </c>
      <c r="BK25" s="781">
        <v>0.73894736842105258</v>
      </c>
      <c r="BL25" s="780">
        <v>19</v>
      </c>
      <c r="BM25" s="781">
        <v>0</v>
      </c>
      <c r="BN25" s="780">
        <v>0</v>
      </c>
      <c r="BO25" s="781">
        <v>0.8303571428571429</v>
      </c>
      <c r="BP25" s="780">
        <v>56</v>
      </c>
      <c r="BQ25" s="781">
        <v>0.66948905109489043</v>
      </c>
      <c r="BR25" s="780">
        <v>137</v>
      </c>
      <c r="BS25" s="781">
        <v>0.72840000000000005</v>
      </c>
      <c r="BT25" s="780">
        <v>75</v>
      </c>
      <c r="BU25" s="781">
        <v>0.81118518518518512</v>
      </c>
      <c r="BV25" s="780">
        <v>135</v>
      </c>
      <c r="BW25" s="781">
        <v>0.83228260869565218</v>
      </c>
      <c r="BX25" s="780">
        <v>92</v>
      </c>
      <c r="BY25" s="781">
        <v>0.78133079847908748</v>
      </c>
      <c r="BZ25" s="780">
        <v>263</v>
      </c>
      <c r="CA25" s="781">
        <v>0.68774074074074076</v>
      </c>
      <c r="CB25" s="780">
        <v>270</v>
      </c>
      <c r="CC25" s="781">
        <v>0.77082437275985671</v>
      </c>
      <c r="CD25" s="780">
        <v>279</v>
      </c>
      <c r="CE25" s="781">
        <v>0.7752830188679245</v>
      </c>
      <c r="CF25" s="780">
        <v>53</v>
      </c>
      <c r="CG25" s="781">
        <v>0.79513888888888884</v>
      </c>
      <c r="CH25" s="780">
        <v>72</v>
      </c>
      <c r="CI25" s="781">
        <v>0.80684210526315792</v>
      </c>
      <c r="CJ25" s="780">
        <v>57</v>
      </c>
      <c r="CK25" s="781">
        <v>0.86244897959183675</v>
      </c>
      <c r="CL25" s="780">
        <v>98</v>
      </c>
      <c r="CM25" s="781">
        <v>0.85190045248868784</v>
      </c>
      <c r="CN25" s="780">
        <v>221</v>
      </c>
      <c r="CO25" s="781">
        <v>0.81093749999999998</v>
      </c>
      <c r="CP25" s="780">
        <v>64</v>
      </c>
      <c r="CQ25" s="781">
        <v>0.83910714285714294</v>
      </c>
      <c r="CR25" s="780">
        <v>56</v>
      </c>
      <c r="CS25" s="781">
        <v>0.67365671641791036</v>
      </c>
      <c r="CT25" s="780">
        <v>268</v>
      </c>
    </row>
    <row r="26" spans="2:98" ht="11.25" customHeight="1">
      <c r="B26" s="797" t="s">
        <v>1426</v>
      </c>
      <c r="C26" s="797" t="s">
        <v>1063</v>
      </c>
      <c r="D26" s="798">
        <v>485</v>
      </c>
      <c r="E26" s="799">
        <f t="shared" si="4"/>
        <v>956.33590973711011</v>
      </c>
      <c r="F26" s="799">
        <f t="shared" si="2"/>
        <v>0</v>
      </c>
      <c r="G26" s="807">
        <v>3121</v>
      </c>
      <c r="H26" s="799">
        <f t="shared" si="3"/>
        <v>0</v>
      </c>
      <c r="I26" s="799">
        <v>-5.4</v>
      </c>
      <c r="J26" s="800">
        <v>-11</v>
      </c>
      <c r="K26" s="792"/>
      <c r="L26" s="802">
        <v>26</v>
      </c>
      <c r="M26" s="802">
        <v>-4</v>
      </c>
      <c r="N26" s="803">
        <f t="shared" si="7"/>
        <v>0.78928571428571426</v>
      </c>
      <c r="O26" s="804">
        <f t="shared" si="5"/>
        <v>56</v>
      </c>
      <c r="P26" s="805">
        <f t="shared" si="8"/>
        <v>325</v>
      </c>
      <c r="Q26" s="806">
        <f t="shared" si="6"/>
        <v>2.2701678806245909</v>
      </c>
      <c r="R26" s="801"/>
      <c r="S26" s="781">
        <v>0.80177631578947373</v>
      </c>
      <c r="T26" s="780">
        <v>152</v>
      </c>
      <c r="U26" s="781">
        <v>0.91133333333333344</v>
      </c>
      <c r="V26" s="780">
        <v>60</v>
      </c>
      <c r="W26" s="781">
        <v>0.75446808510638297</v>
      </c>
      <c r="X26" s="780">
        <v>47</v>
      </c>
      <c r="Y26" s="781">
        <v>0.75913793103448268</v>
      </c>
      <c r="Z26" s="780">
        <v>58</v>
      </c>
      <c r="AA26" s="781">
        <v>0.82150000000000001</v>
      </c>
      <c r="AB26" s="780">
        <v>80</v>
      </c>
      <c r="AC26" s="781">
        <v>0.85964285714285704</v>
      </c>
      <c r="AD26" s="780">
        <v>56</v>
      </c>
      <c r="AE26" s="781">
        <v>0.82314465408805038</v>
      </c>
      <c r="AF26" s="780">
        <v>159</v>
      </c>
      <c r="AG26" s="781">
        <v>0.7055555555555556</v>
      </c>
      <c r="AH26" s="780">
        <v>81</v>
      </c>
      <c r="AI26" s="781">
        <v>0.77752873563218383</v>
      </c>
      <c r="AJ26" s="780">
        <v>348</v>
      </c>
      <c r="AK26" s="781">
        <v>0.79897435897435898</v>
      </c>
      <c r="AL26" s="780">
        <v>156</v>
      </c>
      <c r="AM26" s="781">
        <v>0.86858757062146896</v>
      </c>
      <c r="AN26" s="780">
        <v>177</v>
      </c>
      <c r="AO26" s="781">
        <v>0.82872000000000001</v>
      </c>
      <c r="AP26" s="780">
        <v>250</v>
      </c>
      <c r="AQ26" s="781">
        <v>0.85148148148148151</v>
      </c>
      <c r="AR26" s="780">
        <v>135</v>
      </c>
      <c r="AS26" s="781">
        <v>0.69048498845265582</v>
      </c>
      <c r="AT26" s="780">
        <v>433</v>
      </c>
      <c r="AU26" s="781">
        <v>0.81040816326530618</v>
      </c>
      <c r="AV26" s="780">
        <v>49</v>
      </c>
      <c r="AW26" s="781">
        <v>0.77876190476190477</v>
      </c>
      <c r="AX26" s="780">
        <v>105</v>
      </c>
      <c r="AY26" s="781">
        <v>0.80115702479338835</v>
      </c>
      <c r="AZ26" s="780">
        <v>121</v>
      </c>
      <c r="BA26" s="781">
        <v>0.87716981132075478</v>
      </c>
      <c r="BB26" s="780">
        <v>53</v>
      </c>
      <c r="BC26" s="781">
        <v>0</v>
      </c>
      <c r="BD26" s="780">
        <v>0</v>
      </c>
      <c r="BE26" s="781">
        <v>0.81068965517241376</v>
      </c>
      <c r="BF26" s="780">
        <v>58</v>
      </c>
      <c r="BG26" s="781">
        <v>0.77617021276595755</v>
      </c>
      <c r="BH26" s="780">
        <v>47</v>
      </c>
      <c r="BI26" s="781">
        <v>0.78417475728155339</v>
      </c>
      <c r="BJ26" s="780">
        <v>206</v>
      </c>
      <c r="BK26" s="781">
        <v>0.7810810810810811</v>
      </c>
      <c r="BL26" s="780">
        <v>37</v>
      </c>
      <c r="BM26" s="781">
        <v>0.49</v>
      </c>
      <c r="BN26" s="780">
        <v>2</v>
      </c>
      <c r="BO26" s="781">
        <v>0.84843749999999996</v>
      </c>
      <c r="BP26" s="780">
        <v>96</v>
      </c>
      <c r="BQ26" s="781">
        <v>0.69128888888888895</v>
      </c>
      <c r="BR26" s="780">
        <v>225</v>
      </c>
      <c r="BS26" s="781">
        <v>0.76311111111111118</v>
      </c>
      <c r="BT26" s="780">
        <v>90</v>
      </c>
      <c r="BU26" s="781">
        <v>0.73685714285714288</v>
      </c>
      <c r="BV26" s="780">
        <v>210</v>
      </c>
      <c r="BW26" s="781">
        <v>0.8435652173913043</v>
      </c>
      <c r="BX26" s="780">
        <v>115</v>
      </c>
      <c r="BY26" s="781">
        <v>0.77341637010676156</v>
      </c>
      <c r="BZ26" s="780">
        <v>281</v>
      </c>
      <c r="CA26" s="781">
        <v>0.69819314641744556</v>
      </c>
      <c r="CB26" s="780">
        <v>321</v>
      </c>
      <c r="CC26" s="781">
        <v>0.74522900763358779</v>
      </c>
      <c r="CD26" s="780">
        <v>262</v>
      </c>
      <c r="CE26" s="781">
        <v>0.83812500000000001</v>
      </c>
      <c r="CF26" s="780">
        <v>48</v>
      </c>
      <c r="CG26" s="781">
        <v>0.77301075268817199</v>
      </c>
      <c r="CH26" s="780">
        <v>93</v>
      </c>
      <c r="CI26" s="781">
        <v>0.78928571428571426</v>
      </c>
      <c r="CJ26" s="780">
        <v>56</v>
      </c>
      <c r="CK26" s="781">
        <v>0.87141935483870969</v>
      </c>
      <c r="CL26" s="780">
        <v>155</v>
      </c>
      <c r="CM26" s="781">
        <v>0.86153583617747442</v>
      </c>
      <c r="CN26" s="780">
        <v>293</v>
      </c>
      <c r="CO26" s="781">
        <v>0.79104166666666675</v>
      </c>
      <c r="CP26" s="780">
        <v>144</v>
      </c>
      <c r="CQ26" s="781">
        <v>0.86349397590361443</v>
      </c>
      <c r="CR26" s="780">
        <v>83</v>
      </c>
      <c r="CS26" s="781">
        <v>0.68197368421052629</v>
      </c>
      <c r="CT26" s="780">
        <v>304</v>
      </c>
    </row>
    <row r="27" spans="2:98" ht="11.25" customHeight="1">
      <c r="B27" s="797" t="s">
        <v>1427</v>
      </c>
      <c r="C27" s="797" t="s">
        <v>1053</v>
      </c>
      <c r="D27" s="798">
        <v>490</v>
      </c>
      <c r="E27" s="799">
        <f t="shared" si="4"/>
        <v>955.76295524364252</v>
      </c>
      <c r="F27" s="799">
        <f t="shared" si="2"/>
        <v>0</v>
      </c>
      <c r="G27" s="807">
        <v>3413</v>
      </c>
      <c r="H27" s="799">
        <f t="shared" si="3"/>
        <v>0</v>
      </c>
      <c r="I27" s="799">
        <v>-6.7</v>
      </c>
      <c r="J27" s="800">
        <v>-13.1</v>
      </c>
      <c r="K27" s="792"/>
      <c r="L27" s="802">
        <v>27</v>
      </c>
      <c r="M27" s="802">
        <v>-3</v>
      </c>
      <c r="N27" s="803">
        <f t="shared" si="7"/>
        <v>0.83070312499999999</v>
      </c>
      <c r="O27" s="804">
        <f t="shared" si="5"/>
        <v>128</v>
      </c>
      <c r="P27" s="805">
        <f t="shared" si="8"/>
        <v>453</v>
      </c>
      <c r="Q27" s="806">
        <f t="shared" si="6"/>
        <v>2.6026589843261188</v>
      </c>
      <c r="R27" s="801"/>
      <c r="S27" s="781">
        <v>0.80388235294117649</v>
      </c>
      <c r="T27" s="780">
        <v>170</v>
      </c>
      <c r="U27" s="781">
        <v>0.91549999999999998</v>
      </c>
      <c r="V27" s="780">
        <v>100</v>
      </c>
      <c r="W27" s="781">
        <v>0.78804123711340213</v>
      </c>
      <c r="X27" s="780">
        <v>97</v>
      </c>
      <c r="Y27" s="781">
        <v>0.82135135135135129</v>
      </c>
      <c r="Z27" s="780">
        <v>74</v>
      </c>
      <c r="AA27" s="781">
        <v>0.82024193548387103</v>
      </c>
      <c r="AB27" s="780">
        <v>124</v>
      </c>
      <c r="AC27" s="781">
        <v>0.84047619047619049</v>
      </c>
      <c r="AD27" s="780">
        <v>84</v>
      </c>
      <c r="AE27" s="781">
        <v>0.82714285714285707</v>
      </c>
      <c r="AF27" s="780">
        <v>196</v>
      </c>
      <c r="AG27" s="781">
        <v>0.72336065573770503</v>
      </c>
      <c r="AH27" s="780">
        <v>122</v>
      </c>
      <c r="AI27" s="781">
        <v>0.78123919308357348</v>
      </c>
      <c r="AJ27" s="780">
        <v>347</v>
      </c>
      <c r="AK27" s="781">
        <v>0.81986175115207371</v>
      </c>
      <c r="AL27" s="780">
        <v>217</v>
      </c>
      <c r="AM27" s="781">
        <v>0.88092024539877301</v>
      </c>
      <c r="AN27" s="780">
        <v>163</v>
      </c>
      <c r="AO27" s="781">
        <v>0.85644268774703558</v>
      </c>
      <c r="AP27" s="780">
        <v>253</v>
      </c>
      <c r="AQ27" s="781">
        <v>0.83006535947712423</v>
      </c>
      <c r="AR27" s="780">
        <v>153</v>
      </c>
      <c r="AS27" s="781">
        <v>0.68389795918367335</v>
      </c>
      <c r="AT27" s="780">
        <v>490</v>
      </c>
      <c r="AU27" s="781">
        <v>0.82301886792452839</v>
      </c>
      <c r="AV27" s="780">
        <v>106</v>
      </c>
      <c r="AW27" s="781">
        <v>0.81243478260869562</v>
      </c>
      <c r="AX27" s="780">
        <v>115</v>
      </c>
      <c r="AY27" s="781">
        <v>0.81016393442622958</v>
      </c>
      <c r="AZ27" s="780">
        <v>183</v>
      </c>
      <c r="BA27" s="781">
        <v>0.86318681318681312</v>
      </c>
      <c r="BB27" s="780">
        <v>91</v>
      </c>
      <c r="BC27" s="781">
        <v>0.51333333333333331</v>
      </c>
      <c r="BD27" s="780">
        <v>3</v>
      </c>
      <c r="BE27" s="781">
        <v>0.84546153846153838</v>
      </c>
      <c r="BF27" s="780">
        <v>130</v>
      </c>
      <c r="BG27" s="781">
        <v>0.81706666666666661</v>
      </c>
      <c r="BH27" s="780">
        <v>75</v>
      </c>
      <c r="BI27" s="781">
        <v>0.81626728110599078</v>
      </c>
      <c r="BJ27" s="780">
        <v>217</v>
      </c>
      <c r="BK27" s="781">
        <v>0.72875000000000001</v>
      </c>
      <c r="BL27" s="780">
        <v>32</v>
      </c>
      <c r="BM27" s="781">
        <v>0.52461538461538459</v>
      </c>
      <c r="BN27" s="780">
        <v>13</v>
      </c>
      <c r="BO27" s="781">
        <v>0.84051282051282061</v>
      </c>
      <c r="BP27" s="780">
        <v>117</v>
      </c>
      <c r="BQ27" s="781">
        <v>0.71673387096774188</v>
      </c>
      <c r="BR27" s="780">
        <v>248</v>
      </c>
      <c r="BS27" s="781">
        <v>0.72767123287671243</v>
      </c>
      <c r="BT27" s="780">
        <v>73</v>
      </c>
      <c r="BU27" s="781">
        <v>0.77837121212121219</v>
      </c>
      <c r="BV27" s="780">
        <v>264</v>
      </c>
      <c r="BW27" s="781">
        <v>0.86189655172413793</v>
      </c>
      <c r="BX27" s="780">
        <v>174</v>
      </c>
      <c r="BY27" s="781">
        <v>0.78336391437308861</v>
      </c>
      <c r="BZ27" s="780">
        <v>327</v>
      </c>
      <c r="CA27" s="781">
        <v>0.67578692493946735</v>
      </c>
      <c r="CB27" s="780">
        <v>413</v>
      </c>
      <c r="CC27" s="781">
        <v>0.75173584905660373</v>
      </c>
      <c r="CD27" s="780">
        <v>265</v>
      </c>
      <c r="CE27" s="781">
        <v>0.82499999999999996</v>
      </c>
      <c r="CF27" s="780">
        <v>100</v>
      </c>
      <c r="CG27" s="781">
        <v>0.79983739837398371</v>
      </c>
      <c r="CH27" s="780">
        <v>123</v>
      </c>
      <c r="CI27" s="781">
        <v>0.83070312499999999</v>
      </c>
      <c r="CJ27" s="780">
        <v>128</v>
      </c>
      <c r="CK27" s="781">
        <v>0.84365714285714288</v>
      </c>
      <c r="CL27" s="780">
        <v>175</v>
      </c>
      <c r="CM27" s="781">
        <v>0.8310079575596816</v>
      </c>
      <c r="CN27" s="780">
        <v>377</v>
      </c>
      <c r="CO27" s="781">
        <v>0.80124031007751939</v>
      </c>
      <c r="CP27" s="780">
        <v>129</v>
      </c>
      <c r="CQ27" s="781">
        <v>0.87434108527131782</v>
      </c>
      <c r="CR27" s="780">
        <v>129</v>
      </c>
      <c r="CS27" s="781">
        <v>0.72203804347826095</v>
      </c>
      <c r="CT27" s="780">
        <v>368</v>
      </c>
    </row>
    <row r="28" spans="2:98" ht="11.25" customHeight="1">
      <c r="B28" s="797" t="s">
        <v>1029</v>
      </c>
      <c r="C28" s="797" t="s">
        <v>1064</v>
      </c>
      <c r="D28" s="798">
        <v>1007</v>
      </c>
      <c r="E28" s="799">
        <f t="shared" si="4"/>
        <v>898.00094098845761</v>
      </c>
      <c r="F28" s="799">
        <f t="shared" si="2"/>
        <v>0</v>
      </c>
      <c r="G28" s="807">
        <v>3994</v>
      </c>
      <c r="H28" s="799">
        <f t="shared" si="3"/>
        <v>0</v>
      </c>
      <c r="I28" s="799">
        <v>-7.2</v>
      </c>
      <c r="J28" s="800">
        <v>-11.8</v>
      </c>
      <c r="K28" s="792"/>
      <c r="L28" s="802">
        <v>28</v>
      </c>
      <c r="M28" s="802">
        <v>-2</v>
      </c>
      <c r="N28" s="803">
        <f t="shared" si="7"/>
        <v>0.86683333333333334</v>
      </c>
      <c r="O28" s="804">
        <f t="shared" si="5"/>
        <v>180</v>
      </c>
      <c r="P28" s="805">
        <f t="shared" si="8"/>
        <v>633</v>
      </c>
      <c r="Q28" s="806">
        <f t="shared" si="6"/>
        <v>2.9561836544515754</v>
      </c>
      <c r="R28" s="801"/>
      <c r="S28" s="781">
        <v>0.78680327868852462</v>
      </c>
      <c r="T28" s="780">
        <v>244</v>
      </c>
      <c r="U28" s="781">
        <v>0.90647058823529403</v>
      </c>
      <c r="V28" s="780">
        <v>170</v>
      </c>
      <c r="W28" s="781">
        <v>0.79277777777777769</v>
      </c>
      <c r="X28" s="780">
        <v>144</v>
      </c>
      <c r="Y28" s="781">
        <v>0.81241071428571432</v>
      </c>
      <c r="Z28" s="780">
        <v>112</v>
      </c>
      <c r="AA28" s="781">
        <v>0.81324324324324326</v>
      </c>
      <c r="AB28" s="780">
        <v>185</v>
      </c>
      <c r="AC28" s="781">
        <v>0.87599999999999989</v>
      </c>
      <c r="AD28" s="780">
        <v>165</v>
      </c>
      <c r="AE28" s="781">
        <v>0.84396226415094333</v>
      </c>
      <c r="AF28" s="780">
        <v>265</v>
      </c>
      <c r="AG28" s="781">
        <v>0.68732919254658387</v>
      </c>
      <c r="AH28" s="780">
        <v>161</v>
      </c>
      <c r="AI28" s="781">
        <v>0.78778313253012044</v>
      </c>
      <c r="AJ28" s="780">
        <v>415</v>
      </c>
      <c r="AK28" s="781">
        <v>0.79042735042735046</v>
      </c>
      <c r="AL28" s="780">
        <v>234</v>
      </c>
      <c r="AM28" s="781">
        <v>0.83871559633027515</v>
      </c>
      <c r="AN28" s="780">
        <v>218</v>
      </c>
      <c r="AO28" s="781">
        <v>0.84374125874125883</v>
      </c>
      <c r="AP28" s="780">
        <v>286</v>
      </c>
      <c r="AQ28" s="781">
        <v>0.80682926829268298</v>
      </c>
      <c r="AR28" s="780">
        <v>164</v>
      </c>
      <c r="AS28" s="781">
        <v>0.69936363636363641</v>
      </c>
      <c r="AT28" s="780">
        <v>550</v>
      </c>
      <c r="AU28" s="781">
        <v>0.84254335260115609</v>
      </c>
      <c r="AV28" s="780">
        <v>173</v>
      </c>
      <c r="AW28" s="781">
        <v>0.76226519337016574</v>
      </c>
      <c r="AX28" s="780">
        <v>181</v>
      </c>
      <c r="AY28" s="781">
        <v>0.81044520547945209</v>
      </c>
      <c r="AZ28" s="780">
        <v>292</v>
      </c>
      <c r="BA28" s="781">
        <v>0.85982857142857139</v>
      </c>
      <c r="BB28" s="780">
        <v>175</v>
      </c>
      <c r="BC28" s="781">
        <v>0.52625</v>
      </c>
      <c r="BD28" s="780">
        <v>24</v>
      </c>
      <c r="BE28" s="781">
        <v>0.83616161616161622</v>
      </c>
      <c r="BF28" s="780">
        <v>198</v>
      </c>
      <c r="BG28" s="781">
        <v>0.80308333333333337</v>
      </c>
      <c r="BH28" s="780">
        <v>120</v>
      </c>
      <c r="BI28" s="781">
        <v>0.76180212014134274</v>
      </c>
      <c r="BJ28" s="780">
        <v>283</v>
      </c>
      <c r="BK28" s="781">
        <v>0.75923913043478264</v>
      </c>
      <c r="BL28" s="780">
        <v>92</v>
      </c>
      <c r="BM28" s="781">
        <v>0.72148936170212763</v>
      </c>
      <c r="BN28" s="780">
        <v>47</v>
      </c>
      <c r="BO28" s="781">
        <v>0.83775147928994087</v>
      </c>
      <c r="BP28" s="780">
        <v>169</v>
      </c>
      <c r="BQ28" s="781">
        <v>0.71317307692307697</v>
      </c>
      <c r="BR28" s="780">
        <v>312</v>
      </c>
      <c r="BS28" s="781">
        <v>0.72177777777777774</v>
      </c>
      <c r="BT28" s="780">
        <v>90</v>
      </c>
      <c r="BU28" s="781">
        <v>0.76527397260273977</v>
      </c>
      <c r="BV28" s="780">
        <v>292</v>
      </c>
      <c r="BW28" s="781">
        <v>0.84736559139784939</v>
      </c>
      <c r="BX28" s="780">
        <v>186</v>
      </c>
      <c r="BY28" s="781">
        <v>0.77266055045871551</v>
      </c>
      <c r="BZ28" s="780">
        <v>327</v>
      </c>
      <c r="CA28" s="781">
        <v>0.72326633165829146</v>
      </c>
      <c r="CB28" s="780">
        <v>398</v>
      </c>
      <c r="CC28" s="781">
        <v>0.79310897435897432</v>
      </c>
      <c r="CD28" s="780">
        <v>312</v>
      </c>
      <c r="CE28" s="781">
        <v>0.81363013698630138</v>
      </c>
      <c r="CF28" s="780">
        <v>146</v>
      </c>
      <c r="CG28" s="781">
        <v>0.81048913043478266</v>
      </c>
      <c r="CH28" s="780">
        <v>184</v>
      </c>
      <c r="CI28" s="781">
        <v>0.86683333333333334</v>
      </c>
      <c r="CJ28" s="780">
        <v>180</v>
      </c>
      <c r="CK28" s="781">
        <v>0.86477031802120141</v>
      </c>
      <c r="CL28" s="780">
        <v>283</v>
      </c>
      <c r="CM28" s="781">
        <v>0.85176610978520284</v>
      </c>
      <c r="CN28" s="780">
        <v>419</v>
      </c>
      <c r="CO28" s="781">
        <v>0.81941935483870965</v>
      </c>
      <c r="CP28" s="780">
        <v>155</v>
      </c>
      <c r="CQ28" s="781">
        <v>0.89086956521739125</v>
      </c>
      <c r="CR28" s="780">
        <v>230</v>
      </c>
      <c r="CS28" s="781">
        <v>0.71556122448979598</v>
      </c>
      <c r="CT28" s="780">
        <v>392</v>
      </c>
    </row>
    <row r="29" spans="2:98" ht="11.25" customHeight="1">
      <c r="B29" s="797" t="s">
        <v>1030</v>
      </c>
      <c r="C29" s="797" t="s">
        <v>1053</v>
      </c>
      <c r="D29" s="798">
        <v>461</v>
      </c>
      <c r="E29" s="799">
        <f t="shared" si="4"/>
        <v>959.08996397864894</v>
      </c>
      <c r="F29" s="799">
        <f t="shared" si="2"/>
        <v>0</v>
      </c>
      <c r="G29" s="807">
        <v>2903</v>
      </c>
      <c r="H29" s="799">
        <f t="shared" si="3"/>
        <v>0</v>
      </c>
      <c r="I29" s="799">
        <v>-4.3</v>
      </c>
      <c r="J29" s="800">
        <v>-9.5</v>
      </c>
      <c r="K29" s="792"/>
      <c r="L29" s="802">
        <v>29</v>
      </c>
      <c r="M29" s="802">
        <v>-1</v>
      </c>
      <c r="N29" s="803">
        <f t="shared" si="7"/>
        <v>0.87583756345177666</v>
      </c>
      <c r="O29" s="804">
        <f t="shared" si="5"/>
        <v>197</v>
      </c>
      <c r="P29" s="805">
        <f t="shared" si="8"/>
        <v>830</v>
      </c>
      <c r="Q29" s="806">
        <f t="shared" si="6"/>
        <v>3.2480380336969135</v>
      </c>
      <c r="R29" s="801"/>
      <c r="S29" s="781">
        <v>0.74836257309941512</v>
      </c>
      <c r="T29" s="780">
        <v>342</v>
      </c>
      <c r="U29" s="781">
        <v>0.88603999999999994</v>
      </c>
      <c r="V29" s="780">
        <v>250</v>
      </c>
      <c r="W29" s="781">
        <v>0.77338095238095239</v>
      </c>
      <c r="X29" s="780">
        <v>210</v>
      </c>
      <c r="Y29" s="781">
        <v>0.83772455089820352</v>
      </c>
      <c r="Z29" s="780">
        <v>167</v>
      </c>
      <c r="AA29" s="781">
        <v>0.81027888446215146</v>
      </c>
      <c r="AB29" s="780">
        <v>251</v>
      </c>
      <c r="AC29" s="781">
        <v>0.88467289719626163</v>
      </c>
      <c r="AD29" s="780">
        <v>214</v>
      </c>
      <c r="AE29" s="781">
        <v>0.83693811074918567</v>
      </c>
      <c r="AF29" s="780">
        <v>307</v>
      </c>
      <c r="AG29" s="781">
        <v>0.75249999999999995</v>
      </c>
      <c r="AH29" s="780">
        <v>232</v>
      </c>
      <c r="AI29" s="781">
        <v>0.79078299776286354</v>
      </c>
      <c r="AJ29" s="780">
        <v>447</v>
      </c>
      <c r="AK29" s="781">
        <v>0.7447335423197492</v>
      </c>
      <c r="AL29" s="780">
        <v>319</v>
      </c>
      <c r="AM29" s="781">
        <v>0.83149253731343276</v>
      </c>
      <c r="AN29" s="780">
        <v>268</v>
      </c>
      <c r="AO29" s="781">
        <v>0.83481382978723406</v>
      </c>
      <c r="AP29" s="780">
        <v>376</v>
      </c>
      <c r="AQ29" s="781">
        <v>0.81800829875518677</v>
      </c>
      <c r="AR29" s="780">
        <v>241</v>
      </c>
      <c r="AS29" s="781">
        <v>0.71363295880149802</v>
      </c>
      <c r="AT29" s="780">
        <v>534</v>
      </c>
      <c r="AU29" s="781">
        <v>0.84227027027027024</v>
      </c>
      <c r="AV29" s="780">
        <v>185</v>
      </c>
      <c r="AW29" s="781">
        <v>0.77887640449438211</v>
      </c>
      <c r="AX29" s="780">
        <v>178</v>
      </c>
      <c r="AY29" s="781">
        <v>0.80933098591549291</v>
      </c>
      <c r="AZ29" s="780">
        <v>284</v>
      </c>
      <c r="BA29" s="781">
        <v>0.86507389162561577</v>
      </c>
      <c r="BB29" s="780">
        <v>203</v>
      </c>
      <c r="BC29" s="781">
        <v>0.60941176470588232</v>
      </c>
      <c r="BD29" s="780">
        <v>34</v>
      </c>
      <c r="BE29" s="781">
        <v>0.85851674641148323</v>
      </c>
      <c r="BF29" s="780">
        <v>209</v>
      </c>
      <c r="BG29" s="781">
        <v>0.84082524271844661</v>
      </c>
      <c r="BH29" s="780">
        <v>206</v>
      </c>
      <c r="BI29" s="781">
        <v>0.69479318734793183</v>
      </c>
      <c r="BJ29" s="780">
        <v>411</v>
      </c>
      <c r="BK29" s="781">
        <v>0.78948717948717939</v>
      </c>
      <c r="BL29" s="780">
        <v>117</v>
      </c>
      <c r="BM29" s="781">
        <v>0.63093333333333335</v>
      </c>
      <c r="BN29" s="780">
        <v>75</v>
      </c>
      <c r="BO29" s="781">
        <v>0.85414790996784562</v>
      </c>
      <c r="BP29" s="780">
        <v>311</v>
      </c>
      <c r="BQ29" s="781">
        <v>0.74264516129032254</v>
      </c>
      <c r="BR29" s="780">
        <v>465</v>
      </c>
      <c r="BS29" s="781">
        <v>0.74883333333333335</v>
      </c>
      <c r="BT29" s="780">
        <v>120</v>
      </c>
      <c r="BU29" s="781">
        <v>0.76593567251461991</v>
      </c>
      <c r="BV29" s="780">
        <v>342</v>
      </c>
      <c r="BW29" s="781">
        <v>0.8158333333333333</v>
      </c>
      <c r="BX29" s="780">
        <v>228</v>
      </c>
      <c r="BY29" s="781">
        <v>0.78364116094986813</v>
      </c>
      <c r="BZ29" s="780">
        <v>379</v>
      </c>
      <c r="CA29" s="781">
        <v>0.72528708133971298</v>
      </c>
      <c r="CB29" s="780">
        <v>418</v>
      </c>
      <c r="CC29" s="781">
        <v>0.78795389048991349</v>
      </c>
      <c r="CD29" s="780">
        <v>347</v>
      </c>
      <c r="CE29" s="781">
        <v>0.85465863453815261</v>
      </c>
      <c r="CF29" s="780">
        <v>249</v>
      </c>
      <c r="CG29" s="781">
        <v>0.8264473684210526</v>
      </c>
      <c r="CH29" s="780">
        <v>228</v>
      </c>
      <c r="CI29" s="781">
        <v>0.87583756345177666</v>
      </c>
      <c r="CJ29" s="780">
        <v>197</v>
      </c>
      <c r="CK29" s="781">
        <v>0.85481366459627328</v>
      </c>
      <c r="CL29" s="780">
        <v>322</v>
      </c>
      <c r="CM29" s="781">
        <v>0.83517150395778361</v>
      </c>
      <c r="CN29" s="780">
        <v>379</v>
      </c>
      <c r="CO29" s="781">
        <v>0.84984924623115576</v>
      </c>
      <c r="CP29" s="780">
        <v>199</v>
      </c>
      <c r="CQ29" s="781">
        <v>0.88200854700854703</v>
      </c>
      <c r="CR29" s="780">
        <v>234</v>
      </c>
      <c r="CS29" s="781">
        <v>0.72799999999999998</v>
      </c>
      <c r="CT29" s="780">
        <v>520</v>
      </c>
    </row>
    <row r="30" spans="2:98" ht="11.25" customHeight="1">
      <c r="B30" s="797" t="s">
        <v>1031</v>
      </c>
      <c r="C30" s="797" t="s">
        <v>1057</v>
      </c>
      <c r="D30" s="798">
        <v>1078</v>
      </c>
      <c r="E30" s="799">
        <f t="shared" si="4"/>
        <v>890.29425842454918</v>
      </c>
      <c r="F30" s="799">
        <f t="shared" si="2"/>
        <v>0</v>
      </c>
      <c r="G30" s="807">
        <v>4233</v>
      </c>
      <c r="H30" s="799">
        <f t="shared" si="3"/>
        <v>0</v>
      </c>
      <c r="I30" s="799">
        <v>-7.8</v>
      </c>
      <c r="J30" s="800">
        <v>-12.8</v>
      </c>
      <c r="K30" s="792"/>
      <c r="L30" s="802">
        <v>30</v>
      </c>
      <c r="M30" s="802">
        <v>0</v>
      </c>
      <c r="N30" s="803">
        <f t="shared" si="7"/>
        <v>0.86771084337349391</v>
      </c>
      <c r="O30" s="804">
        <f t="shared" si="5"/>
        <v>249</v>
      </c>
      <c r="P30" s="805">
        <f t="shared" si="8"/>
        <v>1079</v>
      </c>
      <c r="Q30" s="806">
        <f t="shared" si="6"/>
        <v>3.4955488557543402</v>
      </c>
      <c r="R30" s="801"/>
      <c r="S30" s="781">
        <v>0.72427710843373494</v>
      </c>
      <c r="T30" s="780">
        <v>332</v>
      </c>
      <c r="U30" s="781">
        <v>0.89046979865771814</v>
      </c>
      <c r="V30" s="780">
        <v>298</v>
      </c>
      <c r="W30" s="781">
        <v>0.79664383561643826</v>
      </c>
      <c r="X30" s="780">
        <v>292</v>
      </c>
      <c r="Y30" s="781">
        <v>0.82178010471204188</v>
      </c>
      <c r="Z30" s="780">
        <v>191</v>
      </c>
      <c r="AA30" s="781">
        <v>0.83819277108433743</v>
      </c>
      <c r="AB30" s="780">
        <v>249</v>
      </c>
      <c r="AC30" s="781">
        <v>0.86752873563218391</v>
      </c>
      <c r="AD30" s="780">
        <v>174</v>
      </c>
      <c r="AE30" s="781">
        <v>0.84341317365269464</v>
      </c>
      <c r="AF30" s="780">
        <v>334</v>
      </c>
      <c r="AG30" s="781">
        <v>0.78541984732824432</v>
      </c>
      <c r="AH30" s="780">
        <v>262</v>
      </c>
      <c r="AI30" s="781">
        <v>0.80789351851851843</v>
      </c>
      <c r="AJ30" s="780">
        <v>432</v>
      </c>
      <c r="AK30" s="781">
        <v>0.81102908277404917</v>
      </c>
      <c r="AL30" s="780">
        <v>447</v>
      </c>
      <c r="AM30" s="781">
        <v>0.87772532188841201</v>
      </c>
      <c r="AN30" s="780">
        <v>466</v>
      </c>
      <c r="AO30" s="781">
        <v>0.83045197740112997</v>
      </c>
      <c r="AP30" s="780">
        <v>354</v>
      </c>
      <c r="AQ30" s="781">
        <v>0.84350649350649354</v>
      </c>
      <c r="AR30" s="780">
        <v>308</v>
      </c>
      <c r="AS30" s="781">
        <v>0.70843137254901967</v>
      </c>
      <c r="AT30" s="780">
        <v>357</v>
      </c>
      <c r="AU30" s="781">
        <v>0.86805970149253719</v>
      </c>
      <c r="AV30" s="780">
        <v>201</v>
      </c>
      <c r="AW30" s="781">
        <v>0.83354497354497359</v>
      </c>
      <c r="AX30" s="780">
        <v>189</v>
      </c>
      <c r="AY30" s="781">
        <v>0.81927125506072873</v>
      </c>
      <c r="AZ30" s="780">
        <v>247</v>
      </c>
      <c r="BA30" s="781">
        <v>0.86462540716612379</v>
      </c>
      <c r="BB30" s="780">
        <v>307</v>
      </c>
      <c r="BC30" s="781">
        <v>0.69599999999999995</v>
      </c>
      <c r="BD30" s="780">
        <v>45</v>
      </c>
      <c r="BE30" s="781">
        <v>0.86363281250000001</v>
      </c>
      <c r="BF30" s="780">
        <v>256</v>
      </c>
      <c r="BG30" s="781">
        <v>0.82760683760683762</v>
      </c>
      <c r="BH30" s="780">
        <v>234</v>
      </c>
      <c r="BI30" s="781">
        <v>0.71043956043956047</v>
      </c>
      <c r="BJ30" s="780">
        <v>364</v>
      </c>
      <c r="BK30" s="781">
        <v>0.78907630522088357</v>
      </c>
      <c r="BL30" s="780">
        <v>249</v>
      </c>
      <c r="BM30" s="781">
        <v>0.70496183206106866</v>
      </c>
      <c r="BN30" s="780">
        <v>131</v>
      </c>
      <c r="BO30" s="781">
        <v>0.87300309597523229</v>
      </c>
      <c r="BP30" s="780">
        <v>323</v>
      </c>
      <c r="BQ30" s="781">
        <v>0.71723032069970838</v>
      </c>
      <c r="BR30" s="780">
        <v>343</v>
      </c>
      <c r="BS30" s="781">
        <v>0.71125000000000005</v>
      </c>
      <c r="BT30" s="780">
        <v>152</v>
      </c>
      <c r="BU30" s="781">
        <v>0.7724079320113314</v>
      </c>
      <c r="BV30" s="780">
        <v>353</v>
      </c>
      <c r="BW30" s="781">
        <v>0.8308130081300813</v>
      </c>
      <c r="BX30" s="780">
        <v>246</v>
      </c>
      <c r="BY30" s="781">
        <v>0.80163141993957709</v>
      </c>
      <c r="BZ30" s="780">
        <v>331</v>
      </c>
      <c r="CA30" s="781">
        <v>0.7554794520547945</v>
      </c>
      <c r="CB30" s="780">
        <v>365</v>
      </c>
      <c r="CC30" s="781">
        <v>0.81634328358208963</v>
      </c>
      <c r="CD30" s="780">
        <v>402</v>
      </c>
      <c r="CE30" s="781">
        <v>0.8531182795698925</v>
      </c>
      <c r="CF30" s="780">
        <v>279</v>
      </c>
      <c r="CG30" s="781">
        <v>0.83022653721682849</v>
      </c>
      <c r="CH30" s="780">
        <v>309</v>
      </c>
      <c r="CI30" s="781">
        <v>0.86771084337349391</v>
      </c>
      <c r="CJ30" s="780">
        <v>249</v>
      </c>
      <c r="CK30" s="781">
        <v>0.87369281045751634</v>
      </c>
      <c r="CL30" s="780">
        <v>306</v>
      </c>
      <c r="CM30" s="781">
        <v>0.85848341232227487</v>
      </c>
      <c r="CN30" s="780">
        <v>422</v>
      </c>
      <c r="CO30" s="781">
        <v>0.84101522842639598</v>
      </c>
      <c r="CP30" s="780">
        <v>197</v>
      </c>
      <c r="CQ30" s="781">
        <v>0.8821269841269842</v>
      </c>
      <c r="CR30" s="780">
        <v>315</v>
      </c>
      <c r="CS30" s="781">
        <v>0.75551378446115292</v>
      </c>
      <c r="CT30" s="780">
        <v>399</v>
      </c>
    </row>
    <row r="31" spans="2:98" ht="11.25" customHeight="1">
      <c r="B31" s="797" t="s">
        <v>1032</v>
      </c>
      <c r="C31" s="797" t="s">
        <v>1055</v>
      </c>
      <c r="D31" s="798">
        <v>610</v>
      </c>
      <c r="E31" s="799">
        <f t="shared" si="4"/>
        <v>942.0952030038768</v>
      </c>
      <c r="F31" s="799">
        <f t="shared" si="2"/>
        <v>0</v>
      </c>
      <c r="G31" s="807">
        <v>3552</v>
      </c>
      <c r="H31" s="799">
        <f t="shared" si="3"/>
        <v>0</v>
      </c>
      <c r="I31" s="799">
        <v>-8.1</v>
      </c>
      <c r="J31" s="800">
        <v>-14.4</v>
      </c>
      <c r="K31" s="792"/>
      <c r="L31" s="802">
        <v>31</v>
      </c>
      <c r="M31" s="802">
        <v>1</v>
      </c>
      <c r="N31" s="803">
        <f t="shared" si="7"/>
        <v>0.83966867469879514</v>
      </c>
      <c r="O31" s="804">
        <f t="shared" si="5"/>
        <v>332</v>
      </c>
      <c r="P31" s="805">
        <f t="shared" si="8"/>
        <v>1411</v>
      </c>
      <c r="Q31" s="806">
        <f t="shared" si="6"/>
        <v>3.6380720602590477</v>
      </c>
      <c r="R31" s="801"/>
      <c r="S31" s="781">
        <v>0.74735135135135133</v>
      </c>
      <c r="T31" s="780">
        <v>370</v>
      </c>
      <c r="U31" s="781">
        <v>0.87540616246498604</v>
      </c>
      <c r="V31" s="780">
        <v>357</v>
      </c>
      <c r="W31" s="781">
        <v>0.81346153846153835</v>
      </c>
      <c r="X31" s="780">
        <v>416</v>
      </c>
      <c r="Y31" s="781">
        <v>0.84707423580786023</v>
      </c>
      <c r="Z31" s="780">
        <v>229</v>
      </c>
      <c r="AA31" s="781">
        <v>0.82038888888888895</v>
      </c>
      <c r="AB31" s="780">
        <v>360</v>
      </c>
      <c r="AC31" s="781">
        <v>0.85239057239057248</v>
      </c>
      <c r="AD31" s="780">
        <v>297</v>
      </c>
      <c r="AE31" s="781">
        <v>0.8595569620253164</v>
      </c>
      <c r="AF31" s="780">
        <v>474</v>
      </c>
      <c r="AG31" s="781">
        <v>0.80173611111111109</v>
      </c>
      <c r="AH31" s="780">
        <v>432</v>
      </c>
      <c r="AI31" s="781">
        <v>0.7902659574468085</v>
      </c>
      <c r="AJ31" s="780">
        <v>376</v>
      </c>
      <c r="AK31" s="781">
        <v>0.73574561403508765</v>
      </c>
      <c r="AL31" s="780">
        <v>456</v>
      </c>
      <c r="AM31" s="781">
        <v>0.83614285714285719</v>
      </c>
      <c r="AN31" s="780">
        <v>350</v>
      </c>
      <c r="AO31" s="781">
        <v>0.8164665127020786</v>
      </c>
      <c r="AP31" s="780">
        <v>433</v>
      </c>
      <c r="AQ31" s="781">
        <v>0.83597752808988757</v>
      </c>
      <c r="AR31" s="780">
        <v>445</v>
      </c>
      <c r="AS31" s="781">
        <v>0.74377464788732395</v>
      </c>
      <c r="AT31" s="780">
        <v>355</v>
      </c>
      <c r="AU31" s="781">
        <v>0.83922680412371131</v>
      </c>
      <c r="AV31" s="780">
        <v>388</v>
      </c>
      <c r="AW31" s="781">
        <v>0.83596610169491525</v>
      </c>
      <c r="AX31" s="780">
        <v>295</v>
      </c>
      <c r="AY31" s="781">
        <v>0.83765472312703582</v>
      </c>
      <c r="AZ31" s="780">
        <v>307</v>
      </c>
      <c r="BA31" s="781">
        <v>0.85235119047619046</v>
      </c>
      <c r="BB31" s="780">
        <v>336</v>
      </c>
      <c r="BC31" s="781">
        <v>0.76110526315789473</v>
      </c>
      <c r="BD31" s="780">
        <v>190</v>
      </c>
      <c r="BE31" s="781">
        <v>0.8702601156069365</v>
      </c>
      <c r="BF31" s="780">
        <v>346</v>
      </c>
      <c r="BG31" s="781">
        <v>0.83877076411960128</v>
      </c>
      <c r="BH31" s="780">
        <v>301</v>
      </c>
      <c r="BI31" s="781">
        <v>0.69979405034324937</v>
      </c>
      <c r="BJ31" s="780">
        <v>437</v>
      </c>
      <c r="BK31" s="781">
        <v>0.81601719197707734</v>
      </c>
      <c r="BL31" s="780">
        <v>349</v>
      </c>
      <c r="BM31" s="781">
        <v>0.6846195652173912</v>
      </c>
      <c r="BN31" s="780">
        <v>184</v>
      </c>
      <c r="BO31" s="781">
        <v>0.86805389221556883</v>
      </c>
      <c r="BP31" s="780">
        <v>334</v>
      </c>
      <c r="BQ31" s="781">
        <v>0.75285359801488838</v>
      </c>
      <c r="BR31" s="780">
        <v>403</v>
      </c>
      <c r="BS31" s="781">
        <v>0.72265700483091788</v>
      </c>
      <c r="BT31" s="780">
        <v>207</v>
      </c>
      <c r="BU31" s="781">
        <v>0.78469696969696967</v>
      </c>
      <c r="BV31" s="780">
        <v>396</v>
      </c>
      <c r="BW31" s="781">
        <v>0.82651234567901244</v>
      </c>
      <c r="BX31" s="780">
        <v>324</v>
      </c>
      <c r="BY31" s="781">
        <v>0.80209876543209868</v>
      </c>
      <c r="BZ31" s="780">
        <v>405</v>
      </c>
      <c r="CA31" s="781">
        <v>0.7600552486187846</v>
      </c>
      <c r="CB31" s="780">
        <v>362</v>
      </c>
      <c r="CC31" s="781">
        <v>0.82077951002227167</v>
      </c>
      <c r="CD31" s="780">
        <v>449</v>
      </c>
      <c r="CE31" s="781">
        <v>0.82910326086956521</v>
      </c>
      <c r="CF31" s="780">
        <v>368</v>
      </c>
      <c r="CG31" s="781">
        <v>0.827810650887574</v>
      </c>
      <c r="CH31" s="780">
        <v>338</v>
      </c>
      <c r="CI31" s="781">
        <v>0.83966867469879514</v>
      </c>
      <c r="CJ31" s="780">
        <v>332</v>
      </c>
      <c r="CK31" s="781">
        <v>0.87233890214797138</v>
      </c>
      <c r="CL31" s="780">
        <v>419</v>
      </c>
      <c r="CM31" s="781">
        <v>0.83864693446088789</v>
      </c>
      <c r="CN31" s="780">
        <v>473</v>
      </c>
      <c r="CO31" s="781">
        <v>0.84932748538011693</v>
      </c>
      <c r="CP31" s="780">
        <v>342</v>
      </c>
      <c r="CQ31" s="781">
        <v>0.8753221288515407</v>
      </c>
      <c r="CR31" s="780">
        <v>357</v>
      </c>
      <c r="CS31" s="781">
        <v>0.73579326923076915</v>
      </c>
      <c r="CT31" s="780">
        <v>416</v>
      </c>
    </row>
    <row r="32" spans="2:98" ht="11.25" customHeight="1">
      <c r="B32" s="797" t="s">
        <v>1033</v>
      </c>
      <c r="C32" s="797" t="s">
        <v>1057</v>
      </c>
      <c r="D32" s="798">
        <v>1705</v>
      </c>
      <c r="E32" s="799">
        <f t="shared" si="4"/>
        <v>824.53291741205305</v>
      </c>
      <c r="F32" s="799">
        <f t="shared" si="2"/>
        <v>0</v>
      </c>
      <c r="G32" s="807">
        <v>6376</v>
      </c>
      <c r="H32" s="799">
        <f t="shared" si="3"/>
        <v>0</v>
      </c>
      <c r="I32" s="799">
        <v>-17.600000000000001</v>
      </c>
      <c r="J32" s="800">
        <v>-26.1</v>
      </c>
      <c r="K32" s="792"/>
      <c r="L32" s="802">
        <v>32</v>
      </c>
      <c r="M32" s="802">
        <v>2</v>
      </c>
      <c r="N32" s="803">
        <f t="shared" si="7"/>
        <v>0.82800524934383202</v>
      </c>
      <c r="O32" s="804">
        <f t="shared" si="5"/>
        <v>381</v>
      </c>
      <c r="P32" s="805">
        <f t="shared" si="8"/>
        <v>1792</v>
      </c>
      <c r="Q32" s="806">
        <f t="shared" si="6"/>
        <v>3.8555695648592132</v>
      </c>
      <c r="R32" s="801"/>
      <c r="S32" s="781">
        <v>0.74524456521739124</v>
      </c>
      <c r="T32" s="780">
        <v>368</v>
      </c>
      <c r="U32" s="781">
        <v>0.88207142857142851</v>
      </c>
      <c r="V32" s="780">
        <v>420</v>
      </c>
      <c r="W32" s="781">
        <v>0.80108333333333337</v>
      </c>
      <c r="X32" s="780">
        <v>360</v>
      </c>
      <c r="Y32" s="781">
        <v>0.82056716417910447</v>
      </c>
      <c r="Z32" s="780">
        <v>335</v>
      </c>
      <c r="AA32" s="781">
        <v>0.83263529411764703</v>
      </c>
      <c r="AB32" s="780">
        <v>425</v>
      </c>
      <c r="AC32" s="781">
        <v>0.83300505050505047</v>
      </c>
      <c r="AD32" s="780">
        <v>396</v>
      </c>
      <c r="AE32" s="781">
        <v>0.86433255269320841</v>
      </c>
      <c r="AF32" s="780">
        <v>427</v>
      </c>
      <c r="AG32" s="781">
        <v>0.78822942643391525</v>
      </c>
      <c r="AH32" s="780">
        <v>401</v>
      </c>
      <c r="AI32" s="781">
        <v>0.7573756906077348</v>
      </c>
      <c r="AJ32" s="780">
        <v>362</v>
      </c>
      <c r="AK32" s="781">
        <v>0.68978260869565222</v>
      </c>
      <c r="AL32" s="780">
        <v>368</v>
      </c>
      <c r="AM32" s="781">
        <v>0.80876790830945555</v>
      </c>
      <c r="AN32" s="780">
        <v>349</v>
      </c>
      <c r="AO32" s="781">
        <v>0.80047999999999997</v>
      </c>
      <c r="AP32" s="780">
        <v>375</v>
      </c>
      <c r="AQ32" s="781">
        <v>0.84556122448979598</v>
      </c>
      <c r="AR32" s="780">
        <v>392</v>
      </c>
      <c r="AS32" s="781">
        <v>0.77726269315673291</v>
      </c>
      <c r="AT32" s="780">
        <v>453</v>
      </c>
      <c r="AU32" s="781">
        <v>0.85167452830188684</v>
      </c>
      <c r="AV32" s="780">
        <v>424</v>
      </c>
      <c r="AW32" s="781">
        <v>0.81449826989619378</v>
      </c>
      <c r="AX32" s="780">
        <v>289</v>
      </c>
      <c r="AY32" s="781">
        <v>0.85505307855626322</v>
      </c>
      <c r="AZ32" s="780">
        <v>471</v>
      </c>
      <c r="BA32" s="781">
        <v>0.86066059225512537</v>
      </c>
      <c r="BB32" s="780">
        <v>439</v>
      </c>
      <c r="BC32" s="781">
        <v>0.75244444444444436</v>
      </c>
      <c r="BD32" s="780">
        <v>270</v>
      </c>
      <c r="BE32" s="781">
        <v>0.83831715210355984</v>
      </c>
      <c r="BF32" s="780">
        <v>309</v>
      </c>
      <c r="BG32" s="781">
        <v>0.78922600619195049</v>
      </c>
      <c r="BH32" s="780">
        <v>323</v>
      </c>
      <c r="BI32" s="781">
        <v>0.6896638655462185</v>
      </c>
      <c r="BJ32" s="780">
        <v>476</v>
      </c>
      <c r="BK32" s="781">
        <v>0.81857482185273156</v>
      </c>
      <c r="BL32" s="780">
        <v>421</v>
      </c>
      <c r="BM32" s="781">
        <v>0.67430604982206399</v>
      </c>
      <c r="BN32" s="780">
        <v>281</v>
      </c>
      <c r="BO32" s="781">
        <v>0.85542857142857143</v>
      </c>
      <c r="BP32" s="780">
        <v>350</v>
      </c>
      <c r="BQ32" s="781">
        <v>0.73703608247422681</v>
      </c>
      <c r="BR32" s="780">
        <v>388</v>
      </c>
      <c r="BS32" s="781">
        <v>0.77599173553719014</v>
      </c>
      <c r="BT32" s="780">
        <v>242</v>
      </c>
      <c r="BU32" s="781">
        <v>0.71359331476323118</v>
      </c>
      <c r="BV32" s="780">
        <v>359</v>
      </c>
      <c r="BW32" s="781">
        <v>0.77886850152905196</v>
      </c>
      <c r="BX32" s="780">
        <v>327</v>
      </c>
      <c r="BY32" s="781">
        <v>0.7595336787564767</v>
      </c>
      <c r="BZ32" s="780">
        <v>386</v>
      </c>
      <c r="CA32" s="781">
        <v>0.73735849056603764</v>
      </c>
      <c r="CB32" s="780">
        <v>371</v>
      </c>
      <c r="CC32" s="781">
        <v>0.77484057971014497</v>
      </c>
      <c r="CD32" s="780">
        <v>345</v>
      </c>
      <c r="CE32" s="781">
        <v>0.83375586854460093</v>
      </c>
      <c r="CF32" s="780">
        <v>426</v>
      </c>
      <c r="CG32" s="781">
        <v>0.81003030303030299</v>
      </c>
      <c r="CH32" s="780">
        <v>330</v>
      </c>
      <c r="CI32" s="781">
        <v>0.82800524934383202</v>
      </c>
      <c r="CJ32" s="780">
        <v>381</v>
      </c>
      <c r="CK32" s="781">
        <v>0.81215777262180977</v>
      </c>
      <c r="CL32" s="780">
        <v>431</v>
      </c>
      <c r="CM32" s="781">
        <v>0.81388379204892969</v>
      </c>
      <c r="CN32" s="780">
        <v>327</v>
      </c>
      <c r="CO32" s="781">
        <v>0.8204829545454545</v>
      </c>
      <c r="CP32" s="780">
        <v>352</v>
      </c>
      <c r="CQ32" s="781">
        <v>0.8576086956521739</v>
      </c>
      <c r="CR32" s="780">
        <v>414</v>
      </c>
      <c r="CS32" s="781">
        <v>0.69492268041237115</v>
      </c>
      <c r="CT32" s="780">
        <v>388</v>
      </c>
    </row>
    <row r="33" spans="1:98" ht="11.25" customHeight="1">
      <c r="B33" s="797" t="s">
        <v>1034</v>
      </c>
      <c r="C33" s="797" t="s">
        <v>1057</v>
      </c>
      <c r="D33" s="798">
        <v>1639</v>
      </c>
      <c r="E33" s="799">
        <f t="shared" si="4"/>
        <v>831.26397173635894</v>
      </c>
      <c r="F33" s="799">
        <f t="shared" si="2"/>
        <v>0</v>
      </c>
      <c r="G33" s="807">
        <v>5586</v>
      </c>
      <c r="H33" s="799">
        <f t="shared" si="3"/>
        <v>0</v>
      </c>
      <c r="I33" s="799">
        <v>-10.9</v>
      </c>
      <c r="J33" s="800">
        <v>-17.2</v>
      </c>
      <c r="K33" s="792"/>
      <c r="L33" s="802">
        <v>33</v>
      </c>
      <c r="M33" s="802">
        <v>3</v>
      </c>
      <c r="N33" s="803">
        <f t="shared" si="7"/>
        <v>0.82075388026607543</v>
      </c>
      <c r="O33" s="804">
        <f t="shared" si="5"/>
        <v>451</v>
      </c>
      <c r="P33" s="805">
        <f t="shared" si="8"/>
        <v>2243</v>
      </c>
      <c r="Q33" s="806">
        <f t="shared" si="6"/>
        <v>4.1051831673294901</v>
      </c>
      <c r="R33" s="801"/>
      <c r="S33" s="781">
        <v>0.69994236311239189</v>
      </c>
      <c r="T33" s="780">
        <v>347</v>
      </c>
      <c r="U33" s="781">
        <v>0.87126582278481013</v>
      </c>
      <c r="V33" s="780">
        <v>395</v>
      </c>
      <c r="W33" s="781">
        <v>0.80246537396121875</v>
      </c>
      <c r="X33" s="780">
        <v>361</v>
      </c>
      <c r="Y33" s="781">
        <v>0.81184729064039407</v>
      </c>
      <c r="Z33" s="780">
        <v>406</v>
      </c>
      <c r="AA33" s="781">
        <v>0.83687640449438205</v>
      </c>
      <c r="AB33" s="780">
        <v>445</v>
      </c>
      <c r="AC33" s="781">
        <v>0.83606741573033705</v>
      </c>
      <c r="AD33" s="780">
        <v>445</v>
      </c>
      <c r="AE33" s="781">
        <v>0.83578431372549022</v>
      </c>
      <c r="AF33" s="780">
        <v>408</v>
      </c>
      <c r="AG33" s="781">
        <v>0.783953488372093</v>
      </c>
      <c r="AH33" s="780">
        <v>387</v>
      </c>
      <c r="AI33" s="781">
        <v>0.74366366366366365</v>
      </c>
      <c r="AJ33" s="780">
        <v>333</v>
      </c>
      <c r="AK33" s="781">
        <v>0.64730639730639739</v>
      </c>
      <c r="AL33" s="780">
        <v>297</v>
      </c>
      <c r="AM33" s="781">
        <v>0.7958653846153847</v>
      </c>
      <c r="AN33" s="780">
        <v>416</v>
      </c>
      <c r="AO33" s="781">
        <v>0.76411311053984576</v>
      </c>
      <c r="AP33" s="780">
        <v>389</v>
      </c>
      <c r="AQ33" s="781">
        <v>0.8216</v>
      </c>
      <c r="AR33" s="780">
        <v>325</v>
      </c>
      <c r="AS33" s="781">
        <v>0.74989406779661005</v>
      </c>
      <c r="AT33" s="780">
        <v>472</v>
      </c>
      <c r="AU33" s="781">
        <v>0.85082949308755762</v>
      </c>
      <c r="AV33" s="780">
        <v>434</v>
      </c>
      <c r="AW33" s="781">
        <v>0.80433526011560685</v>
      </c>
      <c r="AX33" s="780">
        <v>346</v>
      </c>
      <c r="AY33" s="781">
        <v>0.82204419889502756</v>
      </c>
      <c r="AZ33" s="780">
        <v>362</v>
      </c>
      <c r="BA33" s="781">
        <v>0.84925120772946849</v>
      </c>
      <c r="BB33" s="780">
        <v>414</v>
      </c>
      <c r="BC33" s="781">
        <v>0.72866279069767448</v>
      </c>
      <c r="BD33" s="780">
        <v>344</v>
      </c>
      <c r="BE33" s="781">
        <v>0.84197297297297302</v>
      </c>
      <c r="BF33" s="780">
        <v>370</v>
      </c>
      <c r="BG33" s="781">
        <v>0.74682926829268292</v>
      </c>
      <c r="BH33" s="780">
        <v>287</v>
      </c>
      <c r="BI33" s="781">
        <v>0.68869230769230771</v>
      </c>
      <c r="BJ33" s="780">
        <v>390</v>
      </c>
      <c r="BK33" s="781">
        <v>0.79969543147208133</v>
      </c>
      <c r="BL33" s="780">
        <v>394</v>
      </c>
      <c r="BM33" s="781">
        <v>0.63890243902439026</v>
      </c>
      <c r="BN33" s="780">
        <v>328</v>
      </c>
      <c r="BO33" s="781">
        <v>0.84065963060686011</v>
      </c>
      <c r="BP33" s="780">
        <v>379</v>
      </c>
      <c r="BQ33" s="781">
        <v>0.67545454545454542</v>
      </c>
      <c r="BR33" s="780">
        <v>275</v>
      </c>
      <c r="BS33" s="781">
        <v>0.77445783132530122</v>
      </c>
      <c r="BT33" s="780">
        <v>249</v>
      </c>
      <c r="BU33" s="781">
        <v>0.70473684210526311</v>
      </c>
      <c r="BV33" s="780">
        <v>342</v>
      </c>
      <c r="BW33" s="781">
        <v>0.78518248175182481</v>
      </c>
      <c r="BX33" s="780">
        <v>411</v>
      </c>
      <c r="BY33" s="781">
        <v>0.7445671641791044</v>
      </c>
      <c r="BZ33" s="780">
        <v>335</v>
      </c>
      <c r="CA33" s="781">
        <v>0.6895430107526882</v>
      </c>
      <c r="CB33" s="780">
        <v>372</v>
      </c>
      <c r="CC33" s="781">
        <v>0.74031746031746037</v>
      </c>
      <c r="CD33" s="780">
        <v>315</v>
      </c>
      <c r="CE33" s="781">
        <v>0.84596658711217187</v>
      </c>
      <c r="CF33" s="780">
        <v>419</v>
      </c>
      <c r="CG33" s="781">
        <v>0.82368563685636853</v>
      </c>
      <c r="CH33" s="780">
        <v>369</v>
      </c>
      <c r="CI33" s="781">
        <v>0.82075388026607543</v>
      </c>
      <c r="CJ33" s="780">
        <v>451</v>
      </c>
      <c r="CK33" s="781">
        <v>0.76795597484276723</v>
      </c>
      <c r="CL33" s="780">
        <v>318</v>
      </c>
      <c r="CM33" s="781">
        <v>0.81723905723905732</v>
      </c>
      <c r="CN33" s="780">
        <v>297</v>
      </c>
      <c r="CO33" s="781">
        <v>0.79538873994638071</v>
      </c>
      <c r="CP33" s="780">
        <v>373</v>
      </c>
      <c r="CQ33" s="781">
        <v>0.86689095127610216</v>
      </c>
      <c r="CR33" s="780">
        <v>431</v>
      </c>
      <c r="CS33" s="781">
        <v>0.65753462603878121</v>
      </c>
      <c r="CT33" s="780">
        <v>361</v>
      </c>
    </row>
    <row r="34" spans="1:98" ht="11.25" customHeight="1">
      <c r="B34" s="797" t="s">
        <v>1038</v>
      </c>
      <c r="C34" s="797" t="s">
        <v>1066</v>
      </c>
      <c r="D34" s="798">
        <v>779</v>
      </c>
      <c r="E34" s="799">
        <f t="shared" si="4"/>
        <v>923.11524667263313</v>
      </c>
      <c r="F34" s="799">
        <f t="shared" si="2"/>
        <v>0</v>
      </c>
      <c r="G34" s="807">
        <v>3845</v>
      </c>
      <c r="H34" s="799">
        <f t="shared" si="3"/>
        <v>0</v>
      </c>
      <c r="I34" s="799">
        <v>-9.3000000000000007</v>
      </c>
      <c r="J34" s="800">
        <v>-14.8</v>
      </c>
      <c r="K34" s="792"/>
      <c r="L34" s="802">
        <v>34</v>
      </c>
      <c r="M34" s="802">
        <v>4</v>
      </c>
      <c r="N34" s="803">
        <f t="shared" si="7"/>
        <v>0.81444444444444442</v>
      </c>
      <c r="O34" s="804">
        <f t="shared" si="5"/>
        <v>459</v>
      </c>
      <c r="P34" s="805">
        <f t="shared" si="8"/>
        <v>2702</v>
      </c>
      <c r="Q34" s="806">
        <f t="shared" si="6"/>
        <v>4.3733102913196547</v>
      </c>
      <c r="R34" s="801"/>
      <c r="S34" s="781">
        <v>0.69727488151658756</v>
      </c>
      <c r="T34" s="780">
        <v>422</v>
      </c>
      <c r="U34" s="781">
        <v>0.86169856459330152</v>
      </c>
      <c r="V34" s="780">
        <v>418</v>
      </c>
      <c r="W34" s="781">
        <v>0.78348557692307697</v>
      </c>
      <c r="X34" s="780">
        <v>416</v>
      </c>
      <c r="Y34" s="781">
        <v>0.81017031630170322</v>
      </c>
      <c r="Z34" s="780">
        <v>411</v>
      </c>
      <c r="AA34" s="781">
        <v>0.81680798004987532</v>
      </c>
      <c r="AB34" s="780">
        <v>401</v>
      </c>
      <c r="AC34" s="781">
        <v>0.84351738241308793</v>
      </c>
      <c r="AD34" s="780">
        <v>489</v>
      </c>
      <c r="AE34" s="781">
        <v>0.82451351351351354</v>
      </c>
      <c r="AF34" s="780">
        <v>370</v>
      </c>
      <c r="AG34" s="781">
        <v>0.75186335403726701</v>
      </c>
      <c r="AH34" s="780">
        <v>322</v>
      </c>
      <c r="AI34" s="781">
        <v>0.74201923076923082</v>
      </c>
      <c r="AJ34" s="780">
        <v>312</v>
      </c>
      <c r="AK34" s="781">
        <v>0.64665760869565214</v>
      </c>
      <c r="AL34" s="780">
        <v>368</v>
      </c>
      <c r="AM34" s="781">
        <v>0.81</v>
      </c>
      <c r="AN34" s="780">
        <v>437</v>
      </c>
      <c r="AO34" s="781">
        <v>0.78154525386313467</v>
      </c>
      <c r="AP34" s="780">
        <v>453</v>
      </c>
      <c r="AQ34" s="781">
        <v>0.82840531561461783</v>
      </c>
      <c r="AR34" s="780">
        <v>301</v>
      </c>
      <c r="AS34" s="781">
        <v>0.76298013245033114</v>
      </c>
      <c r="AT34" s="780">
        <v>453</v>
      </c>
      <c r="AU34" s="781">
        <v>0.83555555555555561</v>
      </c>
      <c r="AV34" s="780">
        <v>477</v>
      </c>
      <c r="AW34" s="781">
        <v>0.7973537604456824</v>
      </c>
      <c r="AX34" s="780">
        <v>359</v>
      </c>
      <c r="AY34" s="781">
        <v>0.81220994475138131</v>
      </c>
      <c r="AZ34" s="780">
        <v>362</v>
      </c>
      <c r="BA34" s="781">
        <v>0.83884337349397597</v>
      </c>
      <c r="BB34" s="780">
        <v>415</v>
      </c>
      <c r="BC34" s="781">
        <v>0.69383177570093446</v>
      </c>
      <c r="BD34" s="780">
        <v>428</v>
      </c>
      <c r="BE34" s="781">
        <v>0.83599999999999997</v>
      </c>
      <c r="BF34" s="780">
        <v>470</v>
      </c>
      <c r="BG34" s="781">
        <v>0.71476363636363627</v>
      </c>
      <c r="BH34" s="780">
        <v>275</v>
      </c>
      <c r="BI34" s="781">
        <v>0.67797499999999999</v>
      </c>
      <c r="BJ34" s="780">
        <v>400</v>
      </c>
      <c r="BK34" s="781">
        <v>0.8034647302904564</v>
      </c>
      <c r="BL34" s="780">
        <v>482</v>
      </c>
      <c r="BM34" s="781">
        <v>0.66871060171919761</v>
      </c>
      <c r="BN34" s="780">
        <v>349</v>
      </c>
      <c r="BO34" s="781">
        <v>0.84367758186397979</v>
      </c>
      <c r="BP34" s="780">
        <v>397</v>
      </c>
      <c r="BQ34" s="781">
        <v>0.6755087719298245</v>
      </c>
      <c r="BR34" s="780">
        <v>285</v>
      </c>
      <c r="BS34" s="781">
        <v>0.77497474747474759</v>
      </c>
      <c r="BT34" s="780">
        <v>396</v>
      </c>
      <c r="BU34" s="781">
        <v>0.71797872340425528</v>
      </c>
      <c r="BV34" s="780">
        <v>376</v>
      </c>
      <c r="BW34" s="781">
        <v>0.78748010610079577</v>
      </c>
      <c r="BX34" s="780">
        <v>377</v>
      </c>
      <c r="BY34" s="781">
        <v>0.7516455696202532</v>
      </c>
      <c r="BZ34" s="780">
        <v>316</v>
      </c>
      <c r="CA34" s="781">
        <v>0.66794736842105262</v>
      </c>
      <c r="CB34" s="780">
        <v>380</v>
      </c>
      <c r="CC34" s="781">
        <v>0.75318611987381701</v>
      </c>
      <c r="CD34" s="780">
        <v>317</v>
      </c>
      <c r="CE34" s="781">
        <v>0.83966740576496679</v>
      </c>
      <c r="CF34" s="780">
        <v>451</v>
      </c>
      <c r="CG34" s="781">
        <v>0.78321022727272738</v>
      </c>
      <c r="CH34" s="780">
        <v>352</v>
      </c>
      <c r="CI34" s="781">
        <v>0.81444444444444442</v>
      </c>
      <c r="CJ34" s="780">
        <v>459</v>
      </c>
      <c r="CK34" s="781">
        <v>0.73703488372093018</v>
      </c>
      <c r="CL34" s="780">
        <v>344</v>
      </c>
      <c r="CM34" s="781">
        <v>0.8125</v>
      </c>
      <c r="CN34" s="780">
        <v>228</v>
      </c>
      <c r="CO34" s="781">
        <v>0.7737254901960785</v>
      </c>
      <c r="CP34" s="780">
        <v>408</v>
      </c>
      <c r="CQ34" s="781">
        <v>0.86441295546558705</v>
      </c>
      <c r="CR34" s="780">
        <v>494</v>
      </c>
      <c r="CS34" s="781">
        <v>0.65122905027932954</v>
      </c>
      <c r="CT34" s="780">
        <v>358</v>
      </c>
    </row>
    <row r="35" spans="1:98" ht="11.25" customHeight="1">
      <c r="B35" s="797" t="s">
        <v>1036</v>
      </c>
      <c r="C35" s="797" t="s">
        <v>1067</v>
      </c>
      <c r="D35" s="798">
        <v>437</v>
      </c>
      <c r="E35" s="799">
        <f t="shared" si="4"/>
        <v>961.8504365716426</v>
      </c>
      <c r="F35" s="799">
        <f t="shared" si="2"/>
        <v>0</v>
      </c>
      <c r="G35" s="807">
        <v>3442</v>
      </c>
      <c r="H35" s="799">
        <f t="shared" si="3"/>
        <v>0</v>
      </c>
      <c r="I35" s="799">
        <v>-7.5</v>
      </c>
      <c r="J35" s="800">
        <v>-14</v>
      </c>
      <c r="K35" s="792"/>
      <c r="L35" s="802">
        <v>35</v>
      </c>
      <c r="M35" s="802">
        <v>5</v>
      </c>
      <c r="N35" s="803">
        <f t="shared" si="7"/>
        <v>0.78119402985074626</v>
      </c>
      <c r="O35" s="804">
        <f t="shared" si="5"/>
        <v>335</v>
      </c>
      <c r="P35" s="805">
        <f t="shared" si="8"/>
        <v>3037</v>
      </c>
      <c r="Q35" s="806">
        <f t="shared" si="6"/>
        <v>4.4998034216132279</v>
      </c>
      <c r="R35" s="801"/>
      <c r="S35" s="781">
        <v>0.71969696969696972</v>
      </c>
      <c r="T35" s="780">
        <v>462</v>
      </c>
      <c r="U35" s="781">
        <v>0.83122562674094713</v>
      </c>
      <c r="V35" s="780">
        <v>359</v>
      </c>
      <c r="W35" s="781">
        <v>0.77198757763975157</v>
      </c>
      <c r="X35" s="780">
        <v>322</v>
      </c>
      <c r="Y35" s="781">
        <v>0.80489637305699491</v>
      </c>
      <c r="Z35" s="780">
        <v>386</v>
      </c>
      <c r="AA35" s="781">
        <v>0.80765100671140944</v>
      </c>
      <c r="AB35" s="780">
        <v>298</v>
      </c>
      <c r="AC35" s="781">
        <v>0.83314479638009042</v>
      </c>
      <c r="AD35" s="780">
        <v>442</v>
      </c>
      <c r="AE35" s="781">
        <v>0.82394101876675607</v>
      </c>
      <c r="AF35" s="780">
        <v>373</v>
      </c>
      <c r="AG35" s="781">
        <v>0.73320872274143301</v>
      </c>
      <c r="AH35" s="780">
        <v>321</v>
      </c>
      <c r="AI35" s="781">
        <v>0.75681122448979599</v>
      </c>
      <c r="AJ35" s="780">
        <v>392</v>
      </c>
      <c r="AK35" s="781">
        <v>0.66287499999999999</v>
      </c>
      <c r="AL35" s="780">
        <v>400</v>
      </c>
      <c r="AM35" s="781">
        <v>0.78081206496519728</v>
      </c>
      <c r="AN35" s="780">
        <v>431</v>
      </c>
      <c r="AO35" s="781">
        <v>0.77160621761658033</v>
      </c>
      <c r="AP35" s="780">
        <v>386</v>
      </c>
      <c r="AQ35" s="781">
        <v>0.81041800643086814</v>
      </c>
      <c r="AR35" s="780">
        <v>311</v>
      </c>
      <c r="AS35" s="781">
        <v>0.74483870967741939</v>
      </c>
      <c r="AT35" s="780">
        <v>372</v>
      </c>
      <c r="AU35" s="781">
        <v>0.81198547215496364</v>
      </c>
      <c r="AV35" s="780">
        <v>413</v>
      </c>
      <c r="AW35" s="781">
        <v>0.79066852367688023</v>
      </c>
      <c r="AX35" s="780">
        <v>359</v>
      </c>
      <c r="AY35" s="781">
        <v>0.80541778975741241</v>
      </c>
      <c r="AZ35" s="780">
        <v>371</v>
      </c>
      <c r="BA35" s="781">
        <v>0.81242514970059887</v>
      </c>
      <c r="BB35" s="780">
        <v>334</v>
      </c>
      <c r="BC35" s="781">
        <v>0.7002689486552568</v>
      </c>
      <c r="BD35" s="780">
        <v>409</v>
      </c>
      <c r="BE35" s="781">
        <v>0.79667582417582428</v>
      </c>
      <c r="BF35" s="780">
        <v>364</v>
      </c>
      <c r="BG35" s="781">
        <v>0.69103053435114503</v>
      </c>
      <c r="BH35" s="780">
        <v>262</v>
      </c>
      <c r="BI35" s="781">
        <v>0.67234913793103446</v>
      </c>
      <c r="BJ35" s="780">
        <v>464</v>
      </c>
      <c r="BK35" s="781">
        <v>0.77743654822335029</v>
      </c>
      <c r="BL35" s="780">
        <v>394</v>
      </c>
      <c r="BM35" s="781">
        <v>0.65441358024691354</v>
      </c>
      <c r="BN35" s="780">
        <v>324</v>
      </c>
      <c r="BO35" s="781">
        <v>0.82028089887640443</v>
      </c>
      <c r="BP35" s="780">
        <v>356</v>
      </c>
      <c r="BQ35" s="781">
        <v>0.70426174496644289</v>
      </c>
      <c r="BR35" s="780">
        <v>298</v>
      </c>
      <c r="BS35" s="781">
        <v>0.75385224274406326</v>
      </c>
      <c r="BT35" s="780">
        <v>379</v>
      </c>
      <c r="BU35" s="781">
        <v>0.70529585798816574</v>
      </c>
      <c r="BV35" s="780">
        <v>338</v>
      </c>
      <c r="BW35" s="781">
        <v>0.76633507853403149</v>
      </c>
      <c r="BX35" s="780">
        <v>382</v>
      </c>
      <c r="BY35" s="781">
        <v>0.75405027932960889</v>
      </c>
      <c r="BZ35" s="780">
        <v>358</v>
      </c>
      <c r="CA35" s="781">
        <v>0.7275779376498801</v>
      </c>
      <c r="CB35" s="780">
        <v>417</v>
      </c>
      <c r="CC35" s="781">
        <v>0.72364583333333332</v>
      </c>
      <c r="CD35" s="780">
        <v>288</v>
      </c>
      <c r="CE35" s="781">
        <v>0.81014749262536867</v>
      </c>
      <c r="CF35" s="780">
        <v>339</v>
      </c>
      <c r="CG35" s="781">
        <v>0.76805970149253722</v>
      </c>
      <c r="CH35" s="780">
        <v>335</v>
      </c>
      <c r="CI35" s="781">
        <v>0.78119402985074626</v>
      </c>
      <c r="CJ35" s="780">
        <v>335</v>
      </c>
      <c r="CK35" s="781">
        <v>0.75449197860962569</v>
      </c>
      <c r="CL35" s="780">
        <v>374</v>
      </c>
      <c r="CM35" s="781">
        <v>0.7894672131147541</v>
      </c>
      <c r="CN35" s="780">
        <v>244</v>
      </c>
      <c r="CO35" s="781">
        <v>0.754874651810585</v>
      </c>
      <c r="CP35" s="780">
        <v>359</v>
      </c>
      <c r="CQ35" s="781">
        <v>0.84526315789473683</v>
      </c>
      <c r="CR35" s="780">
        <v>399</v>
      </c>
      <c r="CS35" s="781">
        <v>0.65895652173913044</v>
      </c>
      <c r="CT35" s="780">
        <v>345</v>
      </c>
    </row>
    <row r="36" spans="1:98" ht="11.25" customHeight="1">
      <c r="B36" s="797" t="s">
        <v>1035</v>
      </c>
      <c r="C36" s="797" t="s">
        <v>1057</v>
      </c>
      <c r="D36" s="798">
        <v>1298</v>
      </c>
      <c r="E36" s="799">
        <f t="shared" si="4"/>
        <v>866.75374299795851</v>
      </c>
      <c r="F36" s="799">
        <f t="shared" si="2"/>
        <v>0</v>
      </c>
      <c r="G36" s="807">
        <v>4866</v>
      </c>
      <c r="H36" s="799">
        <f t="shared" si="3"/>
        <v>0</v>
      </c>
      <c r="I36" s="799">
        <v>-12</v>
      </c>
      <c r="J36" s="800">
        <v>-18.2</v>
      </c>
      <c r="K36" s="792"/>
      <c r="L36" s="802">
        <v>36</v>
      </c>
      <c r="M36" s="802">
        <v>6</v>
      </c>
      <c r="N36" s="803">
        <f t="shared" si="7"/>
        <v>0.81187050359712232</v>
      </c>
      <c r="O36" s="804">
        <f t="shared" si="5"/>
        <v>417</v>
      </c>
      <c r="P36" s="805">
        <f t="shared" si="8"/>
        <v>3454</v>
      </c>
      <c r="Q36" s="806">
        <f t="shared" si="6"/>
        <v>5.0168959000913418</v>
      </c>
      <c r="R36" s="801"/>
      <c r="S36" s="781">
        <v>0.72174509803921572</v>
      </c>
      <c r="T36" s="780">
        <v>510</v>
      </c>
      <c r="U36" s="781">
        <v>0.81963302752293576</v>
      </c>
      <c r="V36" s="780">
        <v>327</v>
      </c>
      <c r="W36" s="781">
        <v>0.74806094182825489</v>
      </c>
      <c r="X36" s="780">
        <v>361</v>
      </c>
      <c r="Y36" s="781">
        <v>0.79015625</v>
      </c>
      <c r="Z36" s="780">
        <v>384</v>
      </c>
      <c r="AA36" s="781">
        <v>0.80578488372093016</v>
      </c>
      <c r="AB36" s="780">
        <v>344</v>
      </c>
      <c r="AC36" s="781">
        <v>0.80771764705882343</v>
      </c>
      <c r="AD36" s="780">
        <v>425</v>
      </c>
      <c r="AE36" s="781">
        <v>0.80737745098039215</v>
      </c>
      <c r="AF36" s="780">
        <v>408</v>
      </c>
      <c r="AG36" s="781">
        <v>0.70732558139534885</v>
      </c>
      <c r="AH36" s="780">
        <v>344</v>
      </c>
      <c r="AI36" s="781">
        <v>0.76123989218328847</v>
      </c>
      <c r="AJ36" s="780">
        <v>371</v>
      </c>
      <c r="AK36" s="781">
        <v>0.69410430839002268</v>
      </c>
      <c r="AL36" s="780">
        <v>441</v>
      </c>
      <c r="AM36" s="781">
        <v>0.79613953488372091</v>
      </c>
      <c r="AN36" s="780">
        <v>430</v>
      </c>
      <c r="AO36" s="781">
        <v>0.76212389380530976</v>
      </c>
      <c r="AP36" s="780">
        <v>339</v>
      </c>
      <c r="AQ36" s="781">
        <v>0.80920353982300885</v>
      </c>
      <c r="AR36" s="780">
        <v>339</v>
      </c>
      <c r="AS36" s="781">
        <v>0.7266762177650431</v>
      </c>
      <c r="AT36" s="780">
        <v>349</v>
      </c>
      <c r="AU36" s="781">
        <v>0.80970521541950125</v>
      </c>
      <c r="AV36" s="780">
        <v>441</v>
      </c>
      <c r="AW36" s="781">
        <v>0.78504109589041093</v>
      </c>
      <c r="AX36" s="780">
        <v>365</v>
      </c>
      <c r="AY36" s="781">
        <v>0.79956011730205279</v>
      </c>
      <c r="AZ36" s="780">
        <v>341</v>
      </c>
      <c r="BA36" s="781">
        <v>0.81103351955307257</v>
      </c>
      <c r="BB36" s="780">
        <v>358</v>
      </c>
      <c r="BC36" s="781">
        <v>0.68972477064220183</v>
      </c>
      <c r="BD36" s="780">
        <v>436</v>
      </c>
      <c r="BE36" s="781">
        <v>0.77535483870967736</v>
      </c>
      <c r="BF36" s="780">
        <v>310</v>
      </c>
      <c r="BG36" s="781">
        <v>0.71247588424437291</v>
      </c>
      <c r="BH36" s="780">
        <v>311</v>
      </c>
      <c r="BI36" s="781">
        <v>0.65458221024258767</v>
      </c>
      <c r="BJ36" s="780">
        <v>371</v>
      </c>
      <c r="BK36" s="781">
        <v>0.77546153846153842</v>
      </c>
      <c r="BL36" s="780">
        <v>390</v>
      </c>
      <c r="BM36" s="781">
        <v>0.64837016574585637</v>
      </c>
      <c r="BN36" s="780">
        <v>362</v>
      </c>
      <c r="BO36" s="781">
        <v>0.82359493670886086</v>
      </c>
      <c r="BP36" s="780">
        <v>395</v>
      </c>
      <c r="BQ36" s="781">
        <v>0.73533132530120482</v>
      </c>
      <c r="BR36" s="780">
        <v>332</v>
      </c>
      <c r="BS36" s="781">
        <v>0.74846501128668164</v>
      </c>
      <c r="BT36" s="780">
        <v>443</v>
      </c>
      <c r="BU36" s="781">
        <v>0.70615384615384613</v>
      </c>
      <c r="BV36" s="780">
        <v>325</v>
      </c>
      <c r="BW36" s="781">
        <v>0.74959239130434785</v>
      </c>
      <c r="BX36" s="780">
        <v>368</v>
      </c>
      <c r="BY36" s="781">
        <v>0.73847769028871402</v>
      </c>
      <c r="BZ36" s="780">
        <v>381</v>
      </c>
      <c r="CA36" s="781">
        <v>0.70391691394658751</v>
      </c>
      <c r="CB36" s="780">
        <v>337</v>
      </c>
      <c r="CC36" s="781">
        <v>0.76137931034482764</v>
      </c>
      <c r="CD36" s="780">
        <v>348</v>
      </c>
      <c r="CE36" s="781">
        <v>0.8178385416666667</v>
      </c>
      <c r="CF36" s="780">
        <v>384</v>
      </c>
      <c r="CG36" s="781">
        <v>0.76976539589442805</v>
      </c>
      <c r="CH36" s="780">
        <v>341</v>
      </c>
      <c r="CI36" s="781">
        <v>0.81187050359712232</v>
      </c>
      <c r="CJ36" s="780">
        <v>417</v>
      </c>
      <c r="CK36" s="781">
        <v>0.74794366197183093</v>
      </c>
      <c r="CL36" s="780">
        <v>355</v>
      </c>
      <c r="CM36" s="781">
        <v>0.78557324840764342</v>
      </c>
      <c r="CN36" s="780">
        <v>314</v>
      </c>
      <c r="CO36" s="781">
        <v>0.74232091690544411</v>
      </c>
      <c r="CP36" s="780">
        <v>349</v>
      </c>
      <c r="CQ36" s="781">
        <v>0.84288888888888891</v>
      </c>
      <c r="CR36" s="780">
        <v>315</v>
      </c>
      <c r="CS36" s="781">
        <v>0.67271903323262838</v>
      </c>
      <c r="CT36" s="780">
        <v>331</v>
      </c>
    </row>
    <row r="37" spans="1:98" ht="11.25" customHeight="1">
      <c r="B37" s="797" t="s">
        <v>1037</v>
      </c>
      <c r="C37" s="797" t="s">
        <v>1061</v>
      </c>
      <c r="D37" s="798">
        <v>482</v>
      </c>
      <c r="E37" s="799">
        <f t="shared" si="4"/>
        <v>956.67981590425245</v>
      </c>
      <c r="F37" s="799">
        <f t="shared" si="2"/>
        <v>0</v>
      </c>
      <c r="G37" s="807">
        <v>3197</v>
      </c>
      <c r="H37" s="799">
        <f t="shared" si="3"/>
        <v>0</v>
      </c>
      <c r="I37" s="799">
        <v>-6</v>
      </c>
      <c r="J37" s="800">
        <v>-11.2</v>
      </c>
      <c r="K37" s="792"/>
      <c r="L37" s="802">
        <v>37</v>
      </c>
      <c r="M37" s="802">
        <v>7</v>
      </c>
      <c r="N37" s="803">
        <f t="shared" si="7"/>
        <v>0.76901477832512311</v>
      </c>
      <c r="O37" s="804">
        <f t="shared" si="5"/>
        <v>406</v>
      </c>
      <c r="P37" s="805">
        <f t="shared" si="8"/>
        <v>3860</v>
      </c>
      <c r="Q37" s="806">
        <f t="shared" ref="Q37:Q65" si="9">AbsFeuchte(M37,N37,$F$44)</f>
        <v>5.0915481783786882</v>
      </c>
      <c r="R37" s="801"/>
      <c r="S37" s="781">
        <v>0.73286746987951801</v>
      </c>
      <c r="T37" s="780">
        <v>415</v>
      </c>
      <c r="U37" s="781">
        <v>0.83637873754152825</v>
      </c>
      <c r="V37" s="780">
        <v>301</v>
      </c>
      <c r="W37" s="781">
        <v>0.76538873994638068</v>
      </c>
      <c r="X37" s="780">
        <v>373</v>
      </c>
      <c r="Y37" s="781">
        <v>0.79238207547169803</v>
      </c>
      <c r="Z37" s="780">
        <v>424</v>
      </c>
      <c r="AA37" s="781">
        <v>0.80705539358600586</v>
      </c>
      <c r="AB37" s="780">
        <v>343</v>
      </c>
      <c r="AC37" s="781">
        <v>0.79982885085574562</v>
      </c>
      <c r="AD37" s="780">
        <v>409</v>
      </c>
      <c r="AE37" s="781">
        <v>0.8075</v>
      </c>
      <c r="AF37" s="780">
        <v>392</v>
      </c>
      <c r="AG37" s="781">
        <v>0.72668493150684943</v>
      </c>
      <c r="AH37" s="780">
        <v>365</v>
      </c>
      <c r="AI37" s="781">
        <v>0.76683908045977001</v>
      </c>
      <c r="AJ37" s="780">
        <v>348</v>
      </c>
      <c r="AK37" s="781">
        <v>0.70516355140186915</v>
      </c>
      <c r="AL37" s="780">
        <v>428</v>
      </c>
      <c r="AM37" s="781">
        <v>0.79789610389610388</v>
      </c>
      <c r="AN37" s="780">
        <v>385</v>
      </c>
      <c r="AO37" s="781">
        <v>0.76763925729442972</v>
      </c>
      <c r="AP37" s="780">
        <v>377</v>
      </c>
      <c r="AQ37" s="781">
        <v>0.80761904761904757</v>
      </c>
      <c r="AR37" s="780">
        <v>357</v>
      </c>
      <c r="AS37" s="781">
        <v>0.68140287769784169</v>
      </c>
      <c r="AT37" s="780">
        <v>278</v>
      </c>
      <c r="AU37" s="781">
        <v>0.79651933701657451</v>
      </c>
      <c r="AV37" s="780">
        <v>362</v>
      </c>
      <c r="AW37" s="781">
        <v>0.74712609970674493</v>
      </c>
      <c r="AX37" s="780">
        <v>341</v>
      </c>
      <c r="AY37" s="781">
        <v>0.79180592991913745</v>
      </c>
      <c r="AZ37" s="780">
        <v>371</v>
      </c>
      <c r="BA37" s="781">
        <v>0.79497340425531915</v>
      </c>
      <c r="BB37" s="780">
        <v>376</v>
      </c>
      <c r="BC37" s="781">
        <v>0.6863703703703703</v>
      </c>
      <c r="BD37" s="780">
        <v>405</v>
      </c>
      <c r="BE37" s="781">
        <v>0.78765395894428147</v>
      </c>
      <c r="BF37" s="780">
        <v>341</v>
      </c>
      <c r="BG37" s="781">
        <v>0.75065281899109793</v>
      </c>
      <c r="BH37" s="780">
        <v>337</v>
      </c>
      <c r="BI37" s="781">
        <v>0.70355504587155959</v>
      </c>
      <c r="BJ37" s="780">
        <v>436</v>
      </c>
      <c r="BK37" s="781">
        <v>0.76818918918918921</v>
      </c>
      <c r="BL37" s="780">
        <v>370</v>
      </c>
      <c r="BM37" s="781">
        <v>0.66316901408450701</v>
      </c>
      <c r="BN37" s="780">
        <v>426</v>
      </c>
      <c r="BO37" s="781">
        <v>0.8051295336787565</v>
      </c>
      <c r="BP37" s="780">
        <v>386</v>
      </c>
      <c r="BQ37" s="781">
        <v>0.71335526315789477</v>
      </c>
      <c r="BR37" s="780">
        <v>304</v>
      </c>
      <c r="BS37" s="781">
        <v>0.75573849878934629</v>
      </c>
      <c r="BT37" s="780">
        <v>413</v>
      </c>
      <c r="BU37" s="781">
        <v>0.68618233618233615</v>
      </c>
      <c r="BV37" s="780">
        <v>351</v>
      </c>
      <c r="BW37" s="781">
        <v>0.74880645161290316</v>
      </c>
      <c r="BX37" s="780">
        <v>310</v>
      </c>
      <c r="BY37" s="781">
        <v>0.74297157622739018</v>
      </c>
      <c r="BZ37" s="780">
        <v>387</v>
      </c>
      <c r="CA37" s="781">
        <v>0.74457142857142855</v>
      </c>
      <c r="CB37" s="780">
        <v>385</v>
      </c>
      <c r="CC37" s="781">
        <v>0.76775401069518723</v>
      </c>
      <c r="CD37" s="780">
        <v>374</v>
      </c>
      <c r="CE37" s="781">
        <v>0.81167979002624679</v>
      </c>
      <c r="CF37" s="780">
        <v>381</v>
      </c>
      <c r="CG37" s="781">
        <v>0.72588059701492536</v>
      </c>
      <c r="CH37" s="780">
        <v>335</v>
      </c>
      <c r="CI37" s="781">
        <v>0.76901477832512311</v>
      </c>
      <c r="CJ37" s="780">
        <v>406</v>
      </c>
      <c r="CK37" s="781">
        <v>0.77297450424929182</v>
      </c>
      <c r="CL37" s="780">
        <v>353</v>
      </c>
      <c r="CM37" s="781">
        <v>0.78163987138263669</v>
      </c>
      <c r="CN37" s="780">
        <v>311</v>
      </c>
      <c r="CO37" s="781">
        <v>0.7438605898123325</v>
      </c>
      <c r="CP37" s="780">
        <v>373</v>
      </c>
      <c r="CQ37" s="781">
        <v>0.82119873817034705</v>
      </c>
      <c r="CR37" s="780">
        <v>317</v>
      </c>
      <c r="CS37" s="781">
        <v>0.668121387283237</v>
      </c>
      <c r="CT37" s="780">
        <v>346</v>
      </c>
    </row>
    <row r="38" spans="1:98" ht="11.25" customHeight="1">
      <c r="B38" s="797" t="s">
        <v>1039</v>
      </c>
      <c r="C38" s="797" t="s">
        <v>1068</v>
      </c>
      <c r="D38" s="798">
        <v>1345</v>
      </c>
      <c r="E38" s="799">
        <f t="shared" si="4"/>
        <v>861.79058740001426</v>
      </c>
      <c r="F38" s="799">
        <f t="shared" si="2"/>
        <v>0</v>
      </c>
      <c r="G38" s="807">
        <v>5545</v>
      </c>
      <c r="H38" s="799">
        <f t="shared" si="3"/>
        <v>0</v>
      </c>
      <c r="I38" s="799">
        <v>-16.2</v>
      </c>
      <c r="J38" s="800">
        <v>-23.6</v>
      </c>
      <c r="K38" s="792"/>
      <c r="L38" s="802">
        <v>38</v>
      </c>
      <c r="M38" s="802">
        <v>8</v>
      </c>
      <c r="N38" s="803">
        <f t="shared" si="7"/>
        <v>0.77684523809523809</v>
      </c>
      <c r="O38" s="804">
        <f t="shared" si="5"/>
        <v>336</v>
      </c>
      <c r="P38" s="805">
        <f t="shared" si="8"/>
        <v>4196</v>
      </c>
      <c r="Q38" s="806">
        <f t="shared" si="9"/>
        <v>5.5108333992272582</v>
      </c>
      <c r="R38" s="801"/>
      <c r="S38" s="781">
        <v>0.73111111111111116</v>
      </c>
      <c r="T38" s="780">
        <v>432</v>
      </c>
      <c r="U38" s="781">
        <v>0.83690095846645363</v>
      </c>
      <c r="V38" s="780">
        <v>313</v>
      </c>
      <c r="W38" s="781">
        <v>0.75277777777777777</v>
      </c>
      <c r="X38" s="780">
        <v>306</v>
      </c>
      <c r="Y38" s="781">
        <v>0.80030534351145033</v>
      </c>
      <c r="Z38" s="780">
        <v>393</v>
      </c>
      <c r="AA38" s="781">
        <v>0.8060835509138381</v>
      </c>
      <c r="AB38" s="780">
        <v>383</v>
      </c>
      <c r="AC38" s="781">
        <v>0.81497175141242939</v>
      </c>
      <c r="AD38" s="780">
        <v>354</v>
      </c>
      <c r="AE38" s="781">
        <v>0.81298122065727696</v>
      </c>
      <c r="AF38" s="780">
        <v>426</v>
      </c>
      <c r="AG38" s="781">
        <v>0.71605970149253739</v>
      </c>
      <c r="AH38" s="780">
        <v>335</v>
      </c>
      <c r="AI38" s="781">
        <v>0.78307909604519776</v>
      </c>
      <c r="AJ38" s="780">
        <v>354</v>
      </c>
      <c r="AK38" s="781">
        <v>0.69369411764705891</v>
      </c>
      <c r="AL38" s="780">
        <v>425</v>
      </c>
      <c r="AM38" s="781">
        <v>0.79471464019851112</v>
      </c>
      <c r="AN38" s="780">
        <v>403</v>
      </c>
      <c r="AO38" s="781">
        <v>0.77456790123456787</v>
      </c>
      <c r="AP38" s="780">
        <v>405</v>
      </c>
      <c r="AQ38" s="781">
        <v>0.8200558659217877</v>
      </c>
      <c r="AR38" s="780">
        <v>358</v>
      </c>
      <c r="AS38" s="781">
        <v>0.69370689655172413</v>
      </c>
      <c r="AT38" s="780">
        <v>232</v>
      </c>
      <c r="AU38" s="781">
        <v>0.77049999999999996</v>
      </c>
      <c r="AV38" s="780">
        <v>300</v>
      </c>
      <c r="AW38" s="781">
        <v>0.7938629283489097</v>
      </c>
      <c r="AX38" s="780">
        <v>321</v>
      </c>
      <c r="AY38" s="781">
        <v>0.77798342541436472</v>
      </c>
      <c r="AZ38" s="780">
        <v>362</v>
      </c>
      <c r="BA38" s="781">
        <v>0.79519379844961235</v>
      </c>
      <c r="BB38" s="780">
        <v>387</v>
      </c>
      <c r="BC38" s="781">
        <v>0.64775956284153013</v>
      </c>
      <c r="BD38" s="780">
        <v>366</v>
      </c>
      <c r="BE38" s="781">
        <v>0.78266475644699141</v>
      </c>
      <c r="BF38" s="780">
        <v>349</v>
      </c>
      <c r="BG38" s="781">
        <v>0.72426512968299717</v>
      </c>
      <c r="BH38" s="780">
        <v>347</v>
      </c>
      <c r="BI38" s="781">
        <v>0.711990171990172</v>
      </c>
      <c r="BJ38" s="780">
        <v>407</v>
      </c>
      <c r="BK38" s="781">
        <v>0.75840361445783133</v>
      </c>
      <c r="BL38" s="780">
        <v>332</v>
      </c>
      <c r="BM38" s="781">
        <v>0.68732876712328761</v>
      </c>
      <c r="BN38" s="780">
        <v>438</v>
      </c>
      <c r="BO38" s="781">
        <v>0.80862068965517242</v>
      </c>
      <c r="BP38" s="780">
        <v>348</v>
      </c>
      <c r="BQ38" s="781">
        <v>0.71493188010899189</v>
      </c>
      <c r="BR38" s="780">
        <v>367</v>
      </c>
      <c r="BS38" s="781">
        <v>0.72401041666666677</v>
      </c>
      <c r="BT38" s="780">
        <v>384</v>
      </c>
      <c r="BU38" s="781">
        <v>0.70410994764397916</v>
      </c>
      <c r="BV38" s="780">
        <v>382</v>
      </c>
      <c r="BW38" s="781">
        <v>0.76186440677966105</v>
      </c>
      <c r="BX38" s="780">
        <v>354</v>
      </c>
      <c r="BY38" s="781">
        <v>0.73199404761904763</v>
      </c>
      <c r="BZ38" s="780">
        <v>336</v>
      </c>
      <c r="CA38" s="781">
        <v>0.73068062827225133</v>
      </c>
      <c r="CB38" s="780">
        <v>382</v>
      </c>
      <c r="CC38" s="781">
        <v>0.7427083333333333</v>
      </c>
      <c r="CD38" s="780">
        <v>336</v>
      </c>
      <c r="CE38" s="781">
        <v>0.8000911854103343</v>
      </c>
      <c r="CF38" s="780">
        <v>329</v>
      </c>
      <c r="CG38" s="781">
        <v>0.71505190311418687</v>
      </c>
      <c r="CH38" s="780">
        <v>289</v>
      </c>
      <c r="CI38" s="781">
        <v>0.77684523809523809</v>
      </c>
      <c r="CJ38" s="780">
        <v>336</v>
      </c>
      <c r="CK38" s="781">
        <v>0.76017361111111115</v>
      </c>
      <c r="CL38" s="780">
        <v>288</v>
      </c>
      <c r="CM38" s="781">
        <v>0.78242811501597442</v>
      </c>
      <c r="CN38" s="780">
        <v>313</v>
      </c>
      <c r="CO38" s="781">
        <v>0.74968911917098457</v>
      </c>
      <c r="CP38" s="780">
        <v>386</v>
      </c>
      <c r="CQ38" s="781">
        <v>0.79074218750000003</v>
      </c>
      <c r="CR38" s="780">
        <v>256</v>
      </c>
      <c r="CS38" s="781">
        <v>0.65067988668555243</v>
      </c>
      <c r="CT38" s="780">
        <v>353</v>
      </c>
    </row>
    <row r="39" spans="1:98" ht="11.25" customHeight="1">
      <c r="B39" s="797" t="s">
        <v>1040</v>
      </c>
      <c r="C39" s="797" t="s">
        <v>1069</v>
      </c>
      <c r="D39" s="798">
        <v>460</v>
      </c>
      <c r="E39" s="799">
        <f t="shared" si="4"/>
        <v>959.20485544662063</v>
      </c>
      <c r="F39" s="799">
        <f t="shared" si="2"/>
        <v>0</v>
      </c>
      <c r="G39" s="807">
        <v>3214</v>
      </c>
      <c r="H39" s="799">
        <f t="shared" si="3"/>
        <v>0</v>
      </c>
      <c r="I39" s="799">
        <v>-7.8</v>
      </c>
      <c r="J39" s="800">
        <v>-14.2</v>
      </c>
      <c r="K39" s="792"/>
      <c r="L39" s="802">
        <v>39</v>
      </c>
      <c r="M39" s="802">
        <v>9</v>
      </c>
      <c r="N39" s="803">
        <f t="shared" si="7"/>
        <v>0.76946902654867255</v>
      </c>
      <c r="O39" s="804">
        <f t="shared" si="5"/>
        <v>339</v>
      </c>
      <c r="P39" s="805">
        <f t="shared" si="8"/>
        <v>4535</v>
      </c>
      <c r="Q39" s="806">
        <f t="shared" si="9"/>
        <v>5.8444909804249461</v>
      </c>
      <c r="R39" s="801"/>
      <c r="S39" s="781">
        <v>0.75641379310344836</v>
      </c>
      <c r="T39" s="780">
        <v>435</v>
      </c>
      <c r="U39" s="781">
        <v>0.835565749235474</v>
      </c>
      <c r="V39" s="780">
        <v>327</v>
      </c>
      <c r="W39" s="781">
        <v>0.74786440677966093</v>
      </c>
      <c r="X39" s="780">
        <v>295</v>
      </c>
      <c r="Y39" s="781">
        <v>0.78457274826789847</v>
      </c>
      <c r="Z39" s="780">
        <v>433</v>
      </c>
      <c r="AA39" s="781">
        <v>0.80860240963855423</v>
      </c>
      <c r="AB39" s="780">
        <v>415</v>
      </c>
      <c r="AC39" s="781">
        <v>0.81221884498480246</v>
      </c>
      <c r="AD39" s="780">
        <v>329</v>
      </c>
      <c r="AE39" s="781">
        <v>0.79933649289099518</v>
      </c>
      <c r="AF39" s="780">
        <v>422</v>
      </c>
      <c r="AG39" s="781">
        <v>0.72506578947368427</v>
      </c>
      <c r="AH39" s="780">
        <v>304</v>
      </c>
      <c r="AI39" s="781">
        <v>0.76497500000000007</v>
      </c>
      <c r="AJ39" s="780">
        <v>400</v>
      </c>
      <c r="AK39" s="781">
        <v>0.70061381074168794</v>
      </c>
      <c r="AL39" s="780">
        <v>391</v>
      </c>
      <c r="AM39" s="781">
        <v>0.81295739348370932</v>
      </c>
      <c r="AN39" s="780">
        <v>399</v>
      </c>
      <c r="AO39" s="781">
        <v>0.75448687350835331</v>
      </c>
      <c r="AP39" s="780">
        <v>419</v>
      </c>
      <c r="AQ39" s="781">
        <v>0.80126843657817104</v>
      </c>
      <c r="AR39" s="780">
        <v>339</v>
      </c>
      <c r="AS39" s="781">
        <v>0.70028571428571429</v>
      </c>
      <c r="AT39" s="780">
        <v>245</v>
      </c>
      <c r="AU39" s="781">
        <v>0.79332394366197179</v>
      </c>
      <c r="AV39" s="780">
        <v>355</v>
      </c>
      <c r="AW39" s="781">
        <v>0.79284122562674098</v>
      </c>
      <c r="AX39" s="780">
        <v>359</v>
      </c>
      <c r="AY39" s="781">
        <v>0.77028901734104038</v>
      </c>
      <c r="AZ39" s="780">
        <v>346</v>
      </c>
      <c r="BA39" s="781">
        <v>0.8010904255319149</v>
      </c>
      <c r="BB39" s="780">
        <v>376</v>
      </c>
      <c r="BC39" s="781">
        <v>0.68629629629629629</v>
      </c>
      <c r="BD39" s="780">
        <v>351</v>
      </c>
      <c r="BE39" s="781">
        <v>0.78026881720430108</v>
      </c>
      <c r="BF39" s="780">
        <v>372</v>
      </c>
      <c r="BG39" s="781">
        <v>0.71501253132832077</v>
      </c>
      <c r="BH39" s="780">
        <v>399</v>
      </c>
      <c r="BI39" s="781">
        <v>0.68990338164251208</v>
      </c>
      <c r="BJ39" s="780">
        <v>414</v>
      </c>
      <c r="BK39" s="781">
        <v>0.76521739130434785</v>
      </c>
      <c r="BL39" s="780">
        <v>322</v>
      </c>
      <c r="BM39" s="781">
        <v>0.65784153005464474</v>
      </c>
      <c r="BN39" s="780">
        <v>366</v>
      </c>
      <c r="BO39" s="781">
        <v>0.79109756097560979</v>
      </c>
      <c r="BP39" s="780">
        <v>328</v>
      </c>
      <c r="BQ39" s="781">
        <v>0.71220873786407768</v>
      </c>
      <c r="BR39" s="780">
        <v>412</v>
      </c>
      <c r="BS39" s="781">
        <v>0.73233618233618225</v>
      </c>
      <c r="BT39" s="780">
        <v>351</v>
      </c>
      <c r="BU39" s="781">
        <v>0.72812154696132592</v>
      </c>
      <c r="BV39" s="780">
        <v>362</v>
      </c>
      <c r="BW39" s="781">
        <v>0.79704918032786876</v>
      </c>
      <c r="BX39" s="780">
        <v>366</v>
      </c>
      <c r="BY39" s="781">
        <v>0.71253968253968258</v>
      </c>
      <c r="BZ39" s="780">
        <v>315</v>
      </c>
      <c r="CA39" s="781">
        <v>0.7371676300578035</v>
      </c>
      <c r="CB39" s="780">
        <v>346</v>
      </c>
      <c r="CC39" s="781">
        <v>0.75251445086705204</v>
      </c>
      <c r="CD39" s="780">
        <v>346</v>
      </c>
      <c r="CE39" s="781">
        <v>0.79251515151515151</v>
      </c>
      <c r="CF39" s="780">
        <v>330</v>
      </c>
      <c r="CG39" s="781">
        <v>0.71652329749103938</v>
      </c>
      <c r="CH39" s="780">
        <v>279</v>
      </c>
      <c r="CI39" s="781">
        <v>0.76946902654867255</v>
      </c>
      <c r="CJ39" s="780">
        <v>339</v>
      </c>
      <c r="CK39" s="781">
        <v>0.79389355742296919</v>
      </c>
      <c r="CL39" s="780">
        <v>357</v>
      </c>
      <c r="CM39" s="781">
        <v>0.73422969187675069</v>
      </c>
      <c r="CN39" s="780">
        <v>357</v>
      </c>
      <c r="CO39" s="781">
        <v>0.74238482384823856</v>
      </c>
      <c r="CP39" s="780">
        <v>369</v>
      </c>
      <c r="CQ39" s="781">
        <v>0.8268501529051987</v>
      </c>
      <c r="CR39" s="780">
        <v>327</v>
      </c>
      <c r="CS39" s="781">
        <v>0.6968939393939394</v>
      </c>
      <c r="CT39" s="780">
        <v>396</v>
      </c>
    </row>
    <row r="40" spans="1:98" ht="11.25" customHeight="1">
      <c r="B40" s="797" t="s">
        <v>1041</v>
      </c>
      <c r="C40" s="797" t="s">
        <v>1050</v>
      </c>
      <c r="D40" s="798">
        <v>422</v>
      </c>
      <c r="E40" s="799">
        <f t="shared" si="4"/>
        <v>963.57899634236492</v>
      </c>
      <c r="F40" s="799">
        <f t="shared" si="2"/>
        <v>0</v>
      </c>
      <c r="G40" s="807">
        <v>3534</v>
      </c>
      <c r="H40" s="799">
        <f t="shared" si="3"/>
        <v>0</v>
      </c>
      <c r="I40" s="799">
        <v>-7.3</v>
      </c>
      <c r="J40" s="800">
        <v>-14.2</v>
      </c>
      <c r="K40" s="792"/>
      <c r="L40" s="802">
        <v>40</v>
      </c>
      <c r="M40" s="802">
        <v>10</v>
      </c>
      <c r="N40" s="803">
        <f t="shared" si="7"/>
        <v>0.77676100628930811</v>
      </c>
      <c r="O40" s="804">
        <f t="shared" si="5"/>
        <v>318</v>
      </c>
      <c r="P40" s="805">
        <f t="shared" si="8"/>
        <v>4853</v>
      </c>
      <c r="Q40" s="806">
        <f t="shared" si="9"/>
        <v>6.3150566282088416</v>
      </c>
      <c r="R40" s="801"/>
      <c r="S40" s="781">
        <v>0.75587078651685391</v>
      </c>
      <c r="T40" s="780">
        <v>356</v>
      </c>
      <c r="U40" s="781">
        <v>0.8200909090909092</v>
      </c>
      <c r="V40" s="780">
        <v>330</v>
      </c>
      <c r="W40" s="781">
        <v>0.75100609756097558</v>
      </c>
      <c r="X40" s="780">
        <v>328</v>
      </c>
      <c r="Y40" s="781">
        <v>0.79</v>
      </c>
      <c r="Z40" s="780">
        <v>384</v>
      </c>
      <c r="AA40" s="781">
        <v>0.80554245283018877</v>
      </c>
      <c r="AB40" s="780">
        <v>424</v>
      </c>
      <c r="AC40" s="781">
        <v>0.81470914127423821</v>
      </c>
      <c r="AD40" s="780">
        <v>361</v>
      </c>
      <c r="AE40" s="781">
        <v>0.78598086124401911</v>
      </c>
      <c r="AF40" s="780">
        <v>418</v>
      </c>
      <c r="AG40" s="781">
        <v>0.73651757188498412</v>
      </c>
      <c r="AH40" s="780">
        <v>313</v>
      </c>
      <c r="AI40" s="781">
        <v>0.76673740053050399</v>
      </c>
      <c r="AJ40" s="780">
        <v>377</v>
      </c>
      <c r="AK40" s="781">
        <v>0.72105392156862746</v>
      </c>
      <c r="AL40" s="780">
        <v>408</v>
      </c>
      <c r="AM40" s="781">
        <v>0.79846938775510212</v>
      </c>
      <c r="AN40" s="780">
        <v>392</v>
      </c>
      <c r="AO40" s="781">
        <v>0.74853470437017988</v>
      </c>
      <c r="AP40" s="780">
        <v>389</v>
      </c>
      <c r="AQ40" s="781">
        <v>0.79303703703703698</v>
      </c>
      <c r="AR40" s="780">
        <v>405</v>
      </c>
      <c r="AS40" s="781">
        <v>0.68087155963302748</v>
      </c>
      <c r="AT40" s="780">
        <v>218</v>
      </c>
      <c r="AU40" s="781">
        <v>0.80135593220338985</v>
      </c>
      <c r="AV40" s="780">
        <v>354</v>
      </c>
      <c r="AW40" s="781">
        <v>0.7746531791907515</v>
      </c>
      <c r="AX40" s="780">
        <v>346</v>
      </c>
      <c r="AY40" s="781">
        <v>0.78748704663212432</v>
      </c>
      <c r="AZ40" s="780">
        <v>386</v>
      </c>
      <c r="BA40" s="781">
        <v>0.79421917808219178</v>
      </c>
      <c r="BB40" s="780">
        <v>365</v>
      </c>
      <c r="BC40" s="781">
        <v>0.65963276836158191</v>
      </c>
      <c r="BD40" s="780">
        <v>354</v>
      </c>
      <c r="BE40" s="781">
        <v>0.76809768637532128</v>
      </c>
      <c r="BF40" s="780">
        <v>389</v>
      </c>
      <c r="BG40" s="781">
        <v>0.7054302670623146</v>
      </c>
      <c r="BH40" s="780">
        <v>337</v>
      </c>
      <c r="BI40" s="781">
        <v>0.67409836065573769</v>
      </c>
      <c r="BJ40" s="780">
        <v>427</v>
      </c>
      <c r="BK40" s="781">
        <v>0.72552706552706558</v>
      </c>
      <c r="BL40" s="780">
        <v>351</v>
      </c>
      <c r="BM40" s="781">
        <v>0.61914454277286135</v>
      </c>
      <c r="BN40" s="780">
        <v>339</v>
      </c>
      <c r="BO40" s="781">
        <v>0.80139364303178484</v>
      </c>
      <c r="BP40" s="780">
        <v>409</v>
      </c>
      <c r="BQ40" s="781">
        <v>0.6672950819672131</v>
      </c>
      <c r="BR40" s="780">
        <v>366</v>
      </c>
      <c r="BS40" s="781">
        <v>0.72365853658536583</v>
      </c>
      <c r="BT40" s="780">
        <v>369</v>
      </c>
      <c r="BU40" s="781">
        <v>0.73209932279909706</v>
      </c>
      <c r="BV40" s="780">
        <v>443</v>
      </c>
      <c r="BW40" s="781">
        <v>0.77251851851851849</v>
      </c>
      <c r="BX40" s="780">
        <v>405</v>
      </c>
      <c r="BY40" s="781">
        <v>0.72796923076923081</v>
      </c>
      <c r="BZ40" s="780">
        <v>325</v>
      </c>
      <c r="CA40" s="781">
        <v>0.74065217391304339</v>
      </c>
      <c r="CB40" s="780">
        <v>368</v>
      </c>
      <c r="CC40" s="781">
        <v>0.72992042440318305</v>
      </c>
      <c r="CD40" s="780">
        <v>377</v>
      </c>
      <c r="CE40" s="781">
        <v>0.79337209302325573</v>
      </c>
      <c r="CF40" s="780">
        <v>344</v>
      </c>
      <c r="CG40" s="781">
        <v>0.71130434782608698</v>
      </c>
      <c r="CH40" s="780">
        <v>322</v>
      </c>
      <c r="CI40" s="781">
        <v>0.77676100628930811</v>
      </c>
      <c r="CJ40" s="780">
        <v>318</v>
      </c>
      <c r="CK40" s="781">
        <v>0.80657971014492758</v>
      </c>
      <c r="CL40" s="780">
        <v>345</v>
      </c>
      <c r="CM40" s="781">
        <v>0.7449056603773585</v>
      </c>
      <c r="CN40" s="780">
        <v>318</v>
      </c>
      <c r="CO40" s="781">
        <v>0.74876543209876545</v>
      </c>
      <c r="CP40" s="780">
        <v>324</v>
      </c>
      <c r="CQ40" s="781">
        <v>0.82872628726287256</v>
      </c>
      <c r="CR40" s="780">
        <v>369</v>
      </c>
      <c r="CS40" s="781">
        <v>0.69759643916913949</v>
      </c>
      <c r="CT40" s="780">
        <v>337</v>
      </c>
    </row>
    <row r="41" spans="1:98" ht="11.25" customHeight="1">
      <c r="B41" s="797" t="s">
        <v>1042</v>
      </c>
      <c r="C41" s="797" t="s">
        <v>1061</v>
      </c>
      <c r="D41" s="798">
        <v>1638</v>
      </c>
      <c r="E41" s="799">
        <f t="shared" si="4"/>
        <v>831.3662984832946</v>
      </c>
      <c r="F41" s="799">
        <f t="shared" si="2"/>
        <v>0</v>
      </c>
      <c r="G41" s="807">
        <v>5388</v>
      </c>
      <c r="H41" s="799">
        <f t="shared" si="3"/>
        <v>0</v>
      </c>
      <c r="I41" s="799">
        <v>-11.1</v>
      </c>
      <c r="J41" s="800">
        <v>-17</v>
      </c>
      <c r="K41" s="792"/>
      <c r="L41" s="802">
        <v>41</v>
      </c>
      <c r="M41" s="802">
        <v>11</v>
      </c>
      <c r="N41" s="803">
        <f t="shared" si="7"/>
        <v>0.77576086956521739</v>
      </c>
      <c r="O41" s="804">
        <f t="shared" si="5"/>
        <v>368</v>
      </c>
      <c r="P41" s="805">
        <f>O41+P40</f>
        <v>5221</v>
      </c>
      <c r="Q41" s="806">
        <f t="shared" si="9"/>
        <v>6.7467443274314212</v>
      </c>
      <c r="R41" s="801"/>
      <c r="S41" s="781">
        <v>0.74803827751196161</v>
      </c>
      <c r="T41" s="780">
        <v>418</v>
      </c>
      <c r="U41" s="781">
        <v>0.82452307692307703</v>
      </c>
      <c r="V41" s="780">
        <v>325</v>
      </c>
      <c r="W41" s="781">
        <v>0.75590659340659339</v>
      </c>
      <c r="X41" s="780">
        <v>364</v>
      </c>
      <c r="Y41" s="781">
        <v>0.77236040609137047</v>
      </c>
      <c r="Z41" s="780">
        <v>394</v>
      </c>
      <c r="AA41" s="781">
        <v>0.78249999999999997</v>
      </c>
      <c r="AB41" s="780">
        <v>404</v>
      </c>
      <c r="AC41" s="781">
        <v>0.81092643051771118</v>
      </c>
      <c r="AD41" s="780">
        <v>367</v>
      </c>
      <c r="AE41" s="781">
        <v>0.79452261306532668</v>
      </c>
      <c r="AF41" s="780">
        <v>398</v>
      </c>
      <c r="AG41" s="781">
        <v>0.71138381201044387</v>
      </c>
      <c r="AH41" s="780">
        <v>383</v>
      </c>
      <c r="AI41" s="781">
        <v>0.708936170212766</v>
      </c>
      <c r="AJ41" s="780">
        <v>282</v>
      </c>
      <c r="AK41" s="781">
        <v>0.71320987654320989</v>
      </c>
      <c r="AL41" s="780">
        <v>405</v>
      </c>
      <c r="AM41" s="781">
        <v>0.80097799511002454</v>
      </c>
      <c r="AN41" s="780">
        <v>409</v>
      </c>
      <c r="AO41" s="781">
        <v>0.76661538461538459</v>
      </c>
      <c r="AP41" s="780">
        <v>390</v>
      </c>
      <c r="AQ41" s="781">
        <v>0.79507389162561581</v>
      </c>
      <c r="AR41" s="780">
        <v>406</v>
      </c>
      <c r="AS41" s="781">
        <v>0.63588541666666665</v>
      </c>
      <c r="AT41" s="780">
        <v>192</v>
      </c>
      <c r="AU41" s="781">
        <v>0.79181818181818187</v>
      </c>
      <c r="AV41" s="780">
        <v>363</v>
      </c>
      <c r="AW41" s="781">
        <v>0.77015957446808514</v>
      </c>
      <c r="AX41" s="780">
        <v>376</v>
      </c>
      <c r="AY41" s="781">
        <v>0.78701897018970191</v>
      </c>
      <c r="AZ41" s="780">
        <v>369</v>
      </c>
      <c r="BA41" s="781">
        <v>0.7782198952879581</v>
      </c>
      <c r="BB41" s="780">
        <v>382</v>
      </c>
      <c r="BC41" s="781">
        <v>0.66427272727272724</v>
      </c>
      <c r="BD41" s="780">
        <v>330</v>
      </c>
      <c r="BE41" s="781">
        <v>0.76483050847457634</v>
      </c>
      <c r="BF41" s="780">
        <v>354</v>
      </c>
      <c r="BG41" s="781">
        <v>0.67344311377245503</v>
      </c>
      <c r="BH41" s="780">
        <v>334</v>
      </c>
      <c r="BI41" s="781">
        <v>0.690961038961039</v>
      </c>
      <c r="BJ41" s="780">
        <v>385</v>
      </c>
      <c r="BK41" s="781">
        <v>0.72892105263157903</v>
      </c>
      <c r="BL41" s="780">
        <v>380</v>
      </c>
      <c r="BM41" s="781">
        <v>0.61039513677811552</v>
      </c>
      <c r="BN41" s="780">
        <v>329</v>
      </c>
      <c r="BO41" s="781">
        <v>0.78230985915492957</v>
      </c>
      <c r="BP41" s="780">
        <v>355</v>
      </c>
      <c r="BQ41" s="781">
        <v>0.69130434782608707</v>
      </c>
      <c r="BR41" s="780">
        <v>345</v>
      </c>
      <c r="BS41" s="781">
        <v>0.71410828025477713</v>
      </c>
      <c r="BT41" s="780">
        <v>314</v>
      </c>
      <c r="BU41" s="781">
        <v>0.72261569416499005</v>
      </c>
      <c r="BV41" s="780">
        <v>497</v>
      </c>
      <c r="BW41" s="781">
        <v>0.76426900584795321</v>
      </c>
      <c r="BX41" s="780">
        <v>342</v>
      </c>
      <c r="BY41" s="781">
        <v>0.65973568281938322</v>
      </c>
      <c r="BZ41" s="780">
        <v>227</v>
      </c>
      <c r="CA41" s="781">
        <v>0.74776504297994262</v>
      </c>
      <c r="CB41" s="780">
        <v>349</v>
      </c>
      <c r="CC41" s="781">
        <v>0.73291443850267379</v>
      </c>
      <c r="CD41" s="780">
        <v>374</v>
      </c>
      <c r="CE41" s="781">
        <v>0.79366233766233762</v>
      </c>
      <c r="CF41" s="780">
        <v>385</v>
      </c>
      <c r="CG41" s="781">
        <v>0.71415384615384614</v>
      </c>
      <c r="CH41" s="780">
        <v>325</v>
      </c>
      <c r="CI41" s="781">
        <v>0.77576086956521739</v>
      </c>
      <c r="CJ41" s="780">
        <v>368</v>
      </c>
      <c r="CK41" s="781">
        <v>0.76195250659630598</v>
      </c>
      <c r="CL41" s="780">
        <v>379</v>
      </c>
      <c r="CM41" s="781">
        <v>0.72133956386292841</v>
      </c>
      <c r="CN41" s="780">
        <v>321</v>
      </c>
      <c r="CO41" s="781">
        <v>0.72521857923497268</v>
      </c>
      <c r="CP41" s="780">
        <v>366</v>
      </c>
      <c r="CQ41" s="781">
        <v>0.81463611859838281</v>
      </c>
      <c r="CR41" s="780">
        <v>371</v>
      </c>
      <c r="CS41" s="781">
        <v>0.66525974025974022</v>
      </c>
      <c r="CT41" s="780">
        <v>308</v>
      </c>
    </row>
    <row r="42" spans="1:98" ht="11.25" customHeight="1">
      <c r="B42" s="797" t="s">
        <v>1021</v>
      </c>
      <c r="C42" s="797" t="s">
        <v>1070</v>
      </c>
      <c r="D42" s="798">
        <v>425</v>
      </c>
      <c r="E42" s="799">
        <f t="shared" si="4"/>
        <v>963.23308332324996</v>
      </c>
      <c r="F42" s="799">
        <f t="shared" si="2"/>
        <v>0</v>
      </c>
      <c r="G42" s="807">
        <v>3432</v>
      </c>
      <c r="H42" s="799">
        <f t="shared" si="3"/>
        <v>0</v>
      </c>
      <c r="I42" s="799">
        <v>-7.7</v>
      </c>
      <c r="J42" s="800">
        <v>-14.8</v>
      </c>
      <c r="K42" s="792"/>
      <c r="L42" s="802">
        <v>42</v>
      </c>
      <c r="M42" s="802">
        <v>12</v>
      </c>
      <c r="N42" s="803">
        <f t="shared" si="7"/>
        <v>0.73286604361370722</v>
      </c>
      <c r="O42" s="804">
        <f t="shared" si="5"/>
        <v>321</v>
      </c>
      <c r="P42" s="805">
        <f t="shared" si="8"/>
        <v>5542</v>
      </c>
      <c r="Q42" s="806">
        <f t="shared" si="9"/>
        <v>6.8105952110124637</v>
      </c>
      <c r="R42" s="801"/>
      <c r="S42" s="781">
        <v>0.72182278481012663</v>
      </c>
      <c r="T42" s="780">
        <v>395</v>
      </c>
      <c r="U42" s="781">
        <v>0.81360230547550427</v>
      </c>
      <c r="V42" s="780">
        <v>347</v>
      </c>
      <c r="W42" s="781">
        <v>0.72623318385650226</v>
      </c>
      <c r="X42" s="780">
        <v>446</v>
      </c>
      <c r="Y42" s="781">
        <v>0.76291666666666669</v>
      </c>
      <c r="Z42" s="780">
        <v>384</v>
      </c>
      <c r="AA42" s="781">
        <v>0.78454038997214481</v>
      </c>
      <c r="AB42" s="780">
        <v>359</v>
      </c>
      <c r="AC42" s="781">
        <v>0.78552000000000011</v>
      </c>
      <c r="AD42" s="780">
        <v>375</v>
      </c>
      <c r="AE42" s="781">
        <v>0.77886039886039882</v>
      </c>
      <c r="AF42" s="780">
        <v>351</v>
      </c>
      <c r="AG42" s="781">
        <v>0.67323204419889504</v>
      </c>
      <c r="AH42" s="780">
        <v>362</v>
      </c>
      <c r="AI42" s="781">
        <v>0.68242063492063498</v>
      </c>
      <c r="AJ42" s="780">
        <v>252</v>
      </c>
      <c r="AK42" s="781">
        <v>0.70273224043715843</v>
      </c>
      <c r="AL42" s="780">
        <v>366</v>
      </c>
      <c r="AM42" s="781">
        <v>0.76680100755667513</v>
      </c>
      <c r="AN42" s="780">
        <v>397</v>
      </c>
      <c r="AO42" s="781">
        <v>0.78027027027027029</v>
      </c>
      <c r="AP42" s="780">
        <v>407</v>
      </c>
      <c r="AQ42" s="781">
        <v>0.7672941176470589</v>
      </c>
      <c r="AR42" s="780">
        <v>425</v>
      </c>
      <c r="AS42" s="781">
        <v>0.60106870229007636</v>
      </c>
      <c r="AT42" s="780">
        <v>131</v>
      </c>
      <c r="AU42" s="781">
        <v>0.81133333333333335</v>
      </c>
      <c r="AV42" s="780">
        <v>435</v>
      </c>
      <c r="AW42" s="781">
        <v>0.75395784543325528</v>
      </c>
      <c r="AX42" s="780">
        <v>427</v>
      </c>
      <c r="AY42" s="781">
        <v>0.76286982248520718</v>
      </c>
      <c r="AZ42" s="780">
        <v>338</v>
      </c>
      <c r="BA42" s="781">
        <v>0.77277008310249296</v>
      </c>
      <c r="BB42" s="780">
        <v>361</v>
      </c>
      <c r="BC42" s="781">
        <v>0.71688654353561998</v>
      </c>
      <c r="BD42" s="780">
        <v>379</v>
      </c>
      <c r="BE42" s="781">
        <v>0.74877717391304344</v>
      </c>
      <c r="BF42" s="780">
        <v>368</v>
      </c>
      <c r="BG42" s="781">
        <v>0.7036196319018404</v>
      </c>
      <c r="BH42" s="780">
        <v>326</v>
      </c>
      <c r="BI42" s="781">
        <v>0.66578461538461542</v>
      </c>
      <c r="BJ42" s="780">
        <v>325</v>
      </c>
      <c r="BK42" s="781">
        <v>0.72428571428571431</v>
      </c>
      <c r="BL42" s="780">
        <v>392</v>
      </c>
      <c r="BM42" s="781">
        <v>0.64724675324675329</v>
      </c>
      <c r="BN42" s="780">
        <v>385</v>
      </c>
      <c r="BO42" s="781">
        <v>0.76829059829059831</v>
      </c>
      <c r="BP42" s="780">
        <v>351</v>
      </c>
      <c r="BQ42" s="781">
        <v>0.6839047619047619</v>
      </c>
      <c r="BR42" s="780">
        <v>315</v>
      </c>
      <c r="BS42" s="781">
        <v>0.70139088729016796</v>
      </c>
      <c r="BT42" s="780">
        <v>417</v>
      </c>
      <c r="BU42" s="781">
        <v>0.69227488151658756</v>
      </c>
      <c r="BV42" s="780">
        <v>422</v>
      </c>
      <c r="BW42" s="781">
        <v>0.77811475409836062</v>
      </c>
      <c r="BX42" s="780">
        <v>366</v>
      </c>
      <c r="BY42" s="781">
        <v>0.62820754716981131</v>
      </c>
      <c r="BZ42" s="780">
        <v>212</v>
      </c>
      <c r="CA42" s="781">
        <v>0.72617449664429534</v>
      </c>
      <c r="CB42" s="780">
        <v>298</v>
      </c>
      <c r="CC42" s="781">
        <v>0.70364383561643828</v>
      </c>
      <c r="CD42" s="780">
        <v>365</v>
      </c>
      <c r="CE42" s="781">
        <v>0.77865497076023393</v>
      </c>
      <c r="CF42" s="780">
        <v>342</v>
      </c>
      <c r="CG42" s="781">
        <v>0.70202857142857145</v>
      </c>
      <c r="CH42" s="780">
        <v>350</v>
      </c>
      <c r="CI42" s="781">
        <v>0.73286604361370722</v>
      </c>
      <c r="CJ42" s="780">
        <v>321</v>
      </c>
      <c r="CK42" s="781">
        <v>0.78771978021978029</v>
      </c>
      <c r="CL42" s="780">
        <v>364</v>
      </c>
      <c r="CM42" s="781">
        <v>0.71289156626506023</v>
      </c>
      <c r="CN42" s="780">
        <v>249</v>
      </c>
      <c r="CO42" s="781">
        <v>0.74379213483146078</v>
      </c>
      <c r="CP42" s="780">
        <v>356</v>
      </c>
      <c r="CQ42" s="781">
        <v>0.81370572207084468</v>
      </c>
      <c r="CR42" s="780">
        <v>367</v>
      </c>
      <c r="CS42" s="781">
        <v>0.63427046263345199</v>
      </c>
      <c r="CT42" s="780">
        <v>281</v>
      </c>
    </row>
    <row r="43" spans="1:98" ht="11.25" customHeight="1">
      <c r="A43" s="809"/>
      <c r="B43" s="797" t="s">
        <v>1428</v>
      </c>
      <c r="C43" s="797" t="s">
        <v>1070</v>
      </c>
      <c r="D43" s="798">
        <v>556</v>
      </c>
      <c r="E43" s="799">
        <f t="shared" si="4"/>
        <v>948.22596847581406</v>
      </c>
      <c r="F43" s="799">
        <f t="shared" si="2"/>
        <v>948.22596847581406</v>
      </c>
      <c r="G43" s="807">
        <v>3440</v>
      </c>
      <c r="H43" s="799">
        <f t="shared" si="3"/>
        <v>3440</v>
      </c>
      <c r="I43" s="799">
        <v>-7.5</v>
      </c>
      <c r="J43" s="800">
        <v>-13.3</v>
      </c>
      <c r="K43" s="810"/>
      <c r="L43" s="802">
        <v>43</v>
      </c>
      <c r="M43" s="802">
        <v>13</v>
      </c>
      <c r="N43" s="803">
        <f t="shared" si="7"/>
        <v>0.76937142857142859</v>
      </c>
      <c r="O43" s="804">
        <f t="shared" si="5"/>
        <v>350</v>
      </c>
      <c r="P43" s="805">
        <f t="shared" si="8"/>
        <v>5892</v>
      </c>
      <c r="Q43" s="806">
        <f t="shared" si="9"/>
        <v>7.6453381741699236</v>
      </c>
      <c r="R43" s="801"/>
      <c r="S43" s="781">
        <v>0.72298288508557462</v>
      </c>
      <c r="T43" s="780">
        <v>409</v>
      </c>
      <c r="U43" s="781">
        <v>0.79724550898203583</v>
      </c>
      <c r="V43" s="780">
        <v>334</v>
      </c>
      <c r="W43" s="781">
        <v>0.74131519274376412</v>
      </c>
      <c r="X43" s="780">
        <v>441</v>
      </c>
      <c r="Y43" s="781">
        <v>0.74045731707317075</v>
      </c>
      <c r="Z43" s="780">
        <v>328</v>
      </c>
      <c r="AA43" s="781">
        <v>0.77577586206896554</v>
      </c>
      <c r="AB43" s="780">
        <v>348</v>
      </c>
      <c r="AC43" s="781">
        <v>0.79891598915989159</v>
      </c>
      <c r="AD43" s="780">
        <v>369</v>
      </c>
      <c r="AE43" s="781">
        <v>0.78306962025316451</v>
      </c>
      <c r="AF43" s="780">
        <v>316</v>
      </c>
      <c r="AG43" s="781">
        <v>0.70553805774278222</v>
      </c>
      <c r="AH43" s="780">
        <v>381</v>
      </c>
      <c r="AI43" s="781">
        <v>0.64858407079646019</v>
      </c>
      <c r="AJ43" s="780">
        <v>226</v>
      </c>
      <c r="AK43" s="781">
        <v>0.7095810055865921</v>
      </c>
      <c r="AL43" s="780">
        <v>358</v>
      </c>
      <c r="AM43" s="781">
        <v>0.78181347150259073</v>
      </c>
      <c r="AN43" s="780">
        <v>386</v>
      </c>
      <c r="AO43" s="781">
        <v>0.76823979591836733</v>
      </c>
      <c r="AP43" s="780">
        <v>392</v>
      </c>
      <c r="AQ43" s="781">
        <v>0.74560283687943274</v>
      </c>
      <c r="AR43" s="780">
        <v>423</v>
      </c>
      <c r="AS43" s="781">
        <v>0.56692307692307697</v>
      </c>
      <c r="AT43" s="780">
        <v>117</v>
      </c>
      <c r="AU43" s="781">
        <v>0.811735294117647</v>
      </c>
      <c r="AV43" s="780">
        <v>340</v>
      </c>
      <c r="AW43" s="781">
        <v>0.73659624413145541</v>
      </c>
      <c r="AX43" s="780">
        <v>426</v>
      </c>
      <c r="AY43" s="781">
        <v>0.75560240963855418</v>
      </c>
      <c r="AZ43" s="780">
        <v>332</v>
      </c>
      <c r="BA43" s="781">
        <v>0.7889835164835165</v>
      </c>
      <c r="BB43" s="780">
        <v>364</v>
      </c>
      <c r="BC43" s="781">
        <v>0.7270731707317073</v>
      </c>
      <c r="BD43" s="780">
        <v>369</v>
      </c>
      <c r="BE43" s="781">
        <v>0.75809392265193365</v>
      </c>
      <c r="BF43" s="780">
        <v>362</v>
      </c>
      <c r="BG43" s="781">
        <v>0.71230563002680969</v>
      </c>
      <c r="BH43" s="780">
        <v>373</v>
      </c>
      <c r="BI43" s="781">
        <v>0.66769480519480529</v>
      </c>
      <c r="BJ43" s="780">
        <v>308</v>
      </c>
      <c r="BK43" s="781">
        <v>0.7068992248062016</v>
      </c>
      <c r="BL43" s="780">
        <v>387</v>
      </c>
      <c r="BM43" s="781">
        <v>0.61528571428571432</v>
      </c>
      <c r="BN43" s="780">
        <v>350</v>
      </c>
      <c r="BO43" s="781">
        <v>0.77006172839506182</v>
      </c>
      <c r="BP43" s="780">
        <v>324</v>
      </c>
      <c r="BQ43" s="781">
        <v>0.663455497382199</v>
      </c>
      <c r="BR43" s="780">
        <v>382</v>
      </c>
      <c r="BS43" s="781">
        <v>0.70179271708683477</v>
      </c>
      <c r="BT43" s="780">
        <v>357</v>
      </c>
      <c r="BU43" s="781">
        <v>0.71513846153846161</v>
      </c>
      <c r="BV43" s="780">
        <v>325</v>
      </c>
      <c r="BW43" s="781">
        <v>0.76436363636363636</v>
      </c>
      <c r="BX43" s="780">
        <v>330</v>
      </c>
      <c r="BY43" s="781">
        <v>0.61357512953367876</v>
      </c>
      <c r="BZ43" s="780">
        <v>193</v>
      </c>
      <c r="CA43" s="781">
        <v>0.69499999999999995</v>
      </c>
      <c r="CB43" s="780">
        <v>264</v>
      </c>
      <c r="CC43" s="781">
        <v>0.67275080906148876</v>
      </c>
      <c r="CD43" s="780">
        <v>309</v>
      </c>
      <c r="CE43" s="781">
        <v>0.77561872909698992</v>
      </c>
      <c r="CF43" s="780">
        <v>299</v>
      </c>
      <c r="CG43" s="781">
        <v>0.7</v>
      </c>
      <c r="CH43" s="780">
        <v>349</v>
      </c>
      <c r="CI43" s="781">
        <v>0.76937142857142859</v>
      </c>
      <c r="CJ43" s="780">
        <v>350</v>
      </c>
      <c r="CK43" s="781">
        <v>0.77432911392405057</v>
      </c>
      <c r="CL43" s="780">
        <v>395</v>
      </c>
      <c r="CM43" s="781">
        <v>0.66732142857142862</v>
      </c>
      <c r="CN43" s="780">
        <v>224</v>
      </c>
      <c r="CO43" s="781">
        <v>0.70690553745928342</v>
      </c>
      <c r="CP43" s="780">
        <v>307</v>
      </c>
      <c r="CQ43" s="781">
        <v>0.81099722991689749</v>
      </c>
      <c r="CR43" s="780">
        <v>361</v>
      </c>
      <c r="CS43" s="781">
        <v>0.60004032258064521</v>
      </c>
      <c r="CT43" s="780">
        <v>248</v>
      </c>
    </row>
    <row r="44" spans="1:98" ht="11.25" customHeight="1">
      <c r="B44" s="809"/>
      <c r="C44" s="809"/>
      <c r="D44" s="783" t="s">
        <v>1071</v>
      </c>
      <c r="E44" s="811"/>
      <c r="F44" s="812">
        <f>SUM(F4:F43)</f>
        <v>948.22596847581406</v>
      </c>
      <c r="G44" s="813"/>
      <c r="H44" s="814">
        <f>SUM(H4:H43)</f>
        <v>3440</v>
      </c>
      <c r="I44" s="810"/>
      <c r="J44" s="810"/>
      <c r="L44" s="802">
        <v>44</v>
      </c>
      <c r="M44" s="802">
        <v>14</v>
      </c>
      <c r="N44" s="803">
        <f t="shared" si="7"/>
        <v>0.75021164021164022</v>
      </c>
      <c r="O44" s="804">
        <f t="shared" si="5"/>
        <v>378</v>
      </c>
      <c r="P44" s="805">
        <f t="shared" si="8"/>
        <v>6270</v>
      </c>
      <c r="Q44" s="806">
        <f t="shared" si="9"/>
        <v>7.9609051804027224</v>
      </c>
      <c r="R44" s="801"/>
      <c r="S44" s="781">
        <v>0.70936416184971096</v>
      </c>
      <c r="T44" s="780">
        <v>346</v>
      </c>
      <c r="U44" s="781">
        <v>0.78129032258064512</v>
      </c>
      <c r="V44" s="780">
        <v>372</v>
      </c>
      <c r="W44" s="781">
        <v>0.72502380952380951</v>
      </c>
      <c r="X44" s="780">
        <v>420</v>
      </c>
      <c r="Y44" s="781">
        <v>0.75363363363363367</v>
      </c>
      <c r="Z44" s="780">
        <v>333</v>
      </c>
      <c r="AA44" s="781">
        <v>0.74357366771159872</v>
      </c>
      <c r="AB44" s="780">
        <v>319</v>
      </c>
      <c r="AC44" s="781">
        <v>0.79986595174262731</v>
      </c>
      <c r="AD44" s="780">
        <v>373</v>
      </c>
      <c r="AE44" s="781">
        <v>0.75374149659863943</v>
      </c>
      <c r="AF44" s="780">
        <v>294</v>
      </c>
      <c r="AG44" s="781">
        <v>0.69043478260869562</v>
      </c>
      <c r="AH44" s="780">
        <v>345</v>
      </c>
      <c r="AI44" s="781">
        <v>0.58799999999999997</v>
      </c>
      <c r="AJ44" s="780">
        <v>185</v>
      </c>
      <c r="AK44" s="781">
        <v>0.68381656804733726</v>
      </c>
      <c r="AL44" s="780">
        <v>338</v>
      </c>
      <c r="AM44" s="781">
        <v>0.7531714285714286</v>
      </c>
      <c r="AN44" s="780">
        <v>350</v>
      </c>
      <c r="AO44" s="781">
        <v>0.74428160919540232</v>
      </c>
      <c r="AP44" s="780">
        <v>348</v>
      </c>
      <c r="AQ44" s="781">
        <v>0.77830097087378647</v>
      </c>
      <c r="AR44" s="780">
        <v>412</v>
      </c>
      <c r="AS44" s="781">
        <v>0.51197530864197527</v>
      </c>
      <c r="AT44" s="780">
        <v>81</v>
      </c>
      <c r="AU44" s="781">
        <v>0.80105504587155962</v>
      </c>
      <c r="AV44" s="780">
        <v>436</v>
      </c>
      <c r="AW44" s="781">
        <v>0.70311046511627906</v>
      </c>
      <c r="AX44" s="780">
        <v>344</v>
      </c>
      <c r="AY44" s="781">
        <v>0.7458730158730158</v>
      </c>
      <c r="AZ44" s="780">
        <v>315</v>
      </c>
      <c r="BA44" s="781">
        <v>0.78526041666666668</v>
      </c>
      <c r="BB44" s="780">
        <v>384</v>
      </c>
      <c r="BC44" s="781">
        <v>0.72292957746478881</v>
      </c>
      <c r="BD44" s="780">
        <v>355</v>
      </c>
      <c r="BE44" s="781">
        <v>0.72188059701492535</v>
      </c>
      <c r="BF44" s="780">
        <v>335</v>
      </c>
      <c r="BG44" s="781">
        <v>0.74539440203562335</v>
      </c>
      <c r="BH44" s="780">
        <v>393</v>
      </c>
      <c r="BI44" s="781">
        <v>0.63197080291970809</v>
      </c>
      <c r="BJ44" s="780">
        <v>274</v>
      </c>
      <c r="BK44" s="781">
        <v>0.70021563342318061</v>
      </c>
      <c r="BL44" s="780">
        <v>371</v>
      </c>
      <c r="BM44" s="781">
        <v>0.63210389610389617</v>
      </c>
      <c r="BN44" s="780">
        <v>385</v>
      </c>
      <c r="BO44" s="781">
        <v>0.74768361581920895</v>
      </c>
      <c r="BP44" s="780">
        <v>354</v>
      </c>
      <c r="BQ44" s="781">
        <v>0.71088311688311689</v>
      </c>
      <c r="BR44" s="780">
        <v>385</v>
      </c>
      <c r="BS44" s="781">
        <v>0.69953551912568301</v>
      </c>
      <c r="BT44" s="780">
        <v>366</v>
      </c>
      <c r="BU44" s="781">
        <v>0.69733137829912029</v>
      </c>
      <c r="BV44" s="780">
        <v>341</v>
      </c>
      <c r="BW44" s="781">
        <v>0.75876790830945551</v>
      </c>
      <c r="BX44" s="780">
        <v>349</v>
      </c>
      <c r="BY44" s="781">
        <v>0.54947089947089944</v>
      </c>
      <c r="BZ44" s="780">
        <v>189</v>
      </c>
      <c r="CA44" s="781">
        <v>0.65822222222222226</v>
      </c>
      <c r="CB44" s="780">
        <v>225</v>
      </c>
      <c r="CC44" s="781">
        <v>0.62976095617529881</v>
      </c>
      <c r="CD44" s="780">
        <v>251</v>
      </c>
      <c r="CE44" s="781">
        <v>0.7723323615160349</v>
      </c>
      <c r="CF44" s="780">
        <v>343</v>
      </c>
      <c r="CG44" s="781">
        <v>0.69867007672634274</v>
      </c>
      <c r="CH44" s="780">
        <v>391</v>
      </c>
      <c r="CI44" s="781">
        <v>0.75021164021164022</v>
      </c>
      <c r="CJ44" s="780">
        <v>378</v>
      </c>
      <c r="CK44" s="781">
        <v>0.74492610837438422</v>
      </c>
      <c r="CL44" s="780">
        <v>406</v>
      </c>
      <c r="CM44" s="781">
        <v>0.6323857868020305</v>
      </c>
      <c r="CN44" s="780">
        <v>197</v>
      </c>
      <c r="CO44" s="781">
        <v>0.72272131147540986</v>
      </c>
      <c r="CP44" s="780">
        <v>305</v>
      </c>
      <c r="CQ44" s="781">
        <v>0.8029946524064171</v>
      </c>
      <c r="CR44" s="780">
        <v>374</v>
      </c>
      <c r="CS44" s="781">
        <v>0.52910377358490568</v>
      </c>
      <c r="CT44" s="780">
        <v>212</v>
      </c>
    </row>
    <row r="45" spans="1:98" ht="11.25" customHeight="1">
      <c r="L45" s="802">
        <v>45</v>
      </c>
      <c r="M45" s="802">
        <v>15</v>
      </c>
      <c r="N45" s="803">
        <f t="shared" si="7"/>
        <v>0.74384848484848487</v>
      </c>
      <c r="O45" s="804">
        <f t="shared" si="5"/>
        <v>330</v>
      </c>
      <c r="P45" s="805">
        <f t="shared" si="8"/>
        <v>6600</v>
      </c>
      <c r="Q45" s="806">
        <f t="shared" si="9"/>
        <v>8.4268113700486946</v>
      </c>
      <c r="R45" s="801"/>
      <c r="S45" s="781">
        <v>0.66403100775193791</v>
      </c>
      <c r="T45" s="780">
        <v>258</v>
      </c>
      <c r="U45" s="781">
        <v>0.80259842519685032</v>
      </c>
      <c r="V45" s="780">
        <v>381</v>
      </c>
      <c r="W45" s="781">
        <v>0.69644391408114559</v>
      </c>
      <c r="X45" s="780">
        <v>419</v>
      </c>
      <c r="Y45" s="781">
        <v>0.7406948640483384</v>
      </c>
      <c r="Z45" s="780">
        <v>331</v>
      </c>
      <c r="AA45" s="781">
        <v>0.71839590443686008</v>
      </c>
      <c r="AB45" s="780">
        <v>293</v>
      </c>
      <c r="AC45" s="781">
        <v>0.78017045454545453</v>
      </c>
      <c r="AD45" s="780">
        <v>352</v>
      </c>
      <c r="AE45" s="781">
        <v>0.72671814671814672</v>
      </c>
      <c r="AF45" s="780">
        <v>259</v>
      </c>
      <c r="AG45" s="781">
        <v>0.68269696969696969</v>
      </c>
      <c r="AH45" s="780">
        <v>330</v>
      </c>
      <c r="AI45" s="781">
        <v>0.5818674698795181</v>
      </c>
      <c r="AJ45" s="780">
        <v>166</v>
      </c>
      <c r="AK45" s="781">
        <v>0.63465346534653466</v>
      </c>
      <c r="AL45" s="780">
        <v>303</v>
      </c>
      <c r="AM45" s="781">
        <v>0.73422950819672128</v>
      </c>
      <c r="AN45" s="780">
        <v>305</v>
      </c>
      <c r="AO45" s="781">
        <v>0.72849420849420854</v>
      </c>
      <c r="AP45" s="780">
        <v>259</v>
      </c>
      <c r="AQ45" s="781">
        <v>0.75468421052631585</v>
      </c>
      <c r="AR45" s="780">
        <v>380</v>
      </c>
      <c r="AS45" s="781">
        <v>0.46702127659574466</v>
      </c>
      <c r="AT45" s="780">
        <v>47</v>
      </c>
      <c r="AU45" s="781">
        <v>0.7948412698412699</v>
      </c>
      <c r="AV45" s="780">
        <v>378</v>
      </c>
      <c r="AW45" s="781">
        <v>0.68733333333333335</v>
      </c>
      <c r="AX45" s="780">
        <v>375</v>
      </c>
      <c r="AY45" s="781">
        <v>0.738061797752809</v>
      </c>
      <c r="AZ45" s="780">
        <v>356</v>
      </c>
      <c r="BA45" s="781">
        <v>0.76321937321937328</v>
      </c>
      <c r="BB45" s="780">
        <v>351</v>
      </c>
      <c r="BC45" s="781">
        <v>0.72709359605911328</v>
      </c>
      <c r="BD45" s="780">
        <v>406</v>
      </c>
      <c r="BE45" s="781">
        <v>0.75210106382978725</v>
      </c>
      <c r="BF45" s="780">
        <v>376</v>
      </c>
      <c r="BG45" s="781">
        <v>0.70140625000000001</v>
      </c>
      <c r="BH45" s="780">
        <v>320</v>
      </c>
      <c r="BI45" s="781">
        <v>0.59982062780269063</v>
      </c>
      <c r="BJ45" s="780">
        <v>223</v>
      </c>
      <c r="BK45" s="781">
        <v>0.68688311688311687</v>
      </c>
      <c r="BL45" s="780">
        <v>308</v>
      </c>
      <c r="BM45" s="781">
        <v>0.67363861386138613</v>
      </c>
      <c r="BN45" s="780">
        <v>404</v>
      </c>
      <c r="BO45" s="781">
        <v>0.75271293375394321</v>
      </c>
      <c r="BP45" s="780">
        <v>317</v>
      </c>
      <c r="BQ45" s="781">
        <v>0.69525222551928778</v>
      </c>
      <c r="BR45" s="780">
        <v>337</v>
      </c>
      <c r="BS45" s="781">
        <v>0.6929201101928375</v>
      </c>
      <c r="BT45" s="780">
        <v>363</v>
      </c>
      <c r="BU45" s="781">
        <v>0.65659722222222228</v>
      </c>
      <c r="BV45" s="780">
        <v>288</v>
      </c>
      <c r="BW45" s="781">
        <v>0.74047745358090178</v>
      </c>
      <c r="BX45" s="780">
        <v>377</v>
      </c>
      <c r="BY45" s="781">
        <v>0.52322580645161287</v>
      </c>
      <c r="BZ45" s="780">
        <v>124</v>
      </c>
      <c r="CA45" s="781">
        <v>0.61728643216080403</v>
      </c>
      <c r="CB45" s="780">
        <v>199</v>
      </c>
      <c r="CC45" s="781">
        <v>0.60389140271493214</v>
      </c>
      <c r="CD45" s="780">
        <v>221</v>
      </c>
      <c r="CE45" s="781">
        <v>0.76302631578947366</v>
      </c>
      <c r="CF45" s="780">
        <v>380</v>
      </c>
      <c r="CG45" s="781">
        <v>0.68342261904761903</v>
      </c>
      <c r="CH45" s="780">
        <v>336</v>
      </c>
      <c r="CI45" s="781">
        <v>0.74384848484848487</v>
      </c>
      <c r="CJ45" s="780">
        <v>330</v>
      </c>
      <c r="CK45" s="781">
        <v>0.7069886363636364</v>
      </c>
      <c r="CL45" s="780">
        <v>352</v>
      </c>
      <c r="CM45" s="781">
        <v>0.59851063829787232</v>
      </c>
      <c r="CN45" s="780">
        <v>188</v>
      </c>
      <c r="CO45" s="781">
        <v>0.71316923076923078</v>
      </c>
      <c r="CP45" s="780">
        <v>325</v>
      </c>
      <c r="CQ45" s="781">
        <v>0.80448170731707325</v>
      </c>
      <c r="CR45" s="780">
        <v>328</v>
      </c>
      <c r="CS45" s="781">
        <v>0.4981958762886598</v>
      </c>
      <c r="CT45" s="780">
        <v>194</v>
      </c>
    </row>
    <row r="46" spans="1:98" ht="11.25" customHeight="1">
      <c r="L46" s="802">
        <v>46</v>
      </c>
      <c r="M46" s="802">
        <v>16</v>
      </c>
      <c r="N46" s="803">
        <f t="shared" si="7"/>
        <v>0.7515384615384616</v>
      </c>
      <c r="O46" s="804">
        <f t="shared" si="5"/>
        <v>390</v>
      </c>
      <c r="P46" s="805">
        <f t="shared" si="8"/>
        <v>6990</v>
      </c>
      <c r="Q46" s="806">
        <f t="shared" si="9"/>
        <v>9.0875100766743504</v>
      </c>
      <c r="R46" s="801"/>
      <c r="S46" s="781">
        <v>0.63247572815533981</v>
      </c>
      <c r="T46" s="780">
        <v>206</v>
      </c>
      <c r="U46" s="781">
        <v>0.76576923076923076</v>
      </c>
      <c r="V46" s="780">
        <v>312</v>
      </c>
      <c r="W46" s="781">
        <v>0.70574821852731584</v>
      </c>
      <c r="X46" s="780">
        <v>421</v>
      </c>
      <c r="Y46" s="781">
        <v>0.72622478386167144</v>
      </c>
      <c r="Z46" s="780">
        <v>347</v>
      </c>
      <c r="AA46" s="781">
        <v>0.73067055393586</v>
      </c>
      <c r="AB46" s="780">
        <v>343</v>
      </c>
      <c r="AC46" s="781">
        <v>0.77106707317073175</v>
      </c>
      <c r="AD46" s="780">
        <v>328</v>
      </c>
      <c r="AE46" s="781">
        <v>0.6825</v>
      </c>
      <c r="AF46" s="780">
        <v>236</v>
      </c>
      <c r="AG46" s="781">
        <v>0.69452879581151838</v>
      </c>
      <c r="AH46" s="780">
        <v>382</v>
      </c>
      <c r="AI46" s="781">
        <v>0.52748201438848918</v>
      </c>
      <c r="AJ46" s="780">
        <v>139</v>
      </c>
      <c r="AK46" s="781">
        <v>0.62184331797235026</v>
      </c>
      <c r="AL46" s="780">
        <v>217</v>
      </c>
      <c r="AM46" s="781">
        <v>0.73081339712918658</v>
      </c>
      <c r="AN46" s="780">
        <v>209</v>
      </c>
      <c r="AO46" s="781">
        <v>0.71101063829787237</v>
      </c>
      <c r="AP46" s="780">
        <v>188</v>
      </c>
      <c r="AQ46" s="781">
        <v>0.72499999999999998</v>
      </c>
      <c r="AR46" s="780">
        <v>344</v>
      </c>
      <c r="AS46" s="781">
        <v>0.44708333333333333</v>
      </c>
      <c r="AT46" s="780">
        <v>24</v>
      </c>
      <c r="AU46" s="781">
        <v>0.77824281150159746</v>
      </c>
      <c r="AV46" s="780">
        <v>313</v>
      </c>
      <c r="AW46" s="781">
        <v>0.67080213903743313</v>
      </c>
      <c r="AX46" s="780">
        <v>374</v>
      </c>
      <c r="AY46" s="781">
        <v>0.74433544303797461</v>
      </c>
      <c r="AZ46" s="780">
        <v>316</v>
      </c>
      <c r="BA46" s="781">
        <v>0.75987616099071209</v>
      </c>
      <c r="BB46" s="780">
        <v>323</v>
      </c>
      <c r="BC46" s="781">
        <v>0.7229222520107238</v>
      </c>
      <c r="BD46" s="780">
        <v>373</v>
      </c>
      <c r="BE46" s="781">
        <v>0.72182481751824823</v>
      </c>
      <c r="BF46" s="780">
        <v>411</v>
      </c>
      <c r="BG46" s="781">
        <v>0.72086705202312129</v>
      </c>
      <c r="BH46" s="780">
        <v>346</v>
      </c>
      <c r="BI46" s="781">
        <v>0.56636363636363629</v>
      </c>
      <c r="BJ46" s="780">
        <v>198</v>
      </c>
      <c r="BK46" s="781">
        <v>0.70012307692307685</v>
      </c>
      <c r="BL46" s="780">
        <v>325</v>
      </c>
      <c r="BM46" s="781">
        <v>0.66010126582278472</v>
      </c>
      <c r="BN46" s="780">
        <v>395</v>
      </c>
      <c r="BO46" s="781">
        <v>0.73820512820512818</v>
      </c>
      <c r="BP46" s="780">
        <v>312</v>
      </c>
      <c r="BQ46" s="781">
        <v>0.66604895104895112</v>
      </c>
      <c r="BR46" s="780">
        <v>286</v>
      </c>
      <c r="BS46" s="781">
        <v>0.68285302593659947</v>
      </c>
      <c r="BT46" s="780">
        <v>347</v>
      </c>
      <c r="BU46" s="781">
        <v>0.65369565217391301</v>
      </c>
      <c r="BV46" s="780">
        <v>276</v>
      </c>
      <c r="BW46" s="781">
        <v>0.74650568181818189</v>
      </c>
      <c r="BX46" s="780">
        <v>352</v>
      </c>
      <c r="BY46" s="781">
        <v>0.50336000000000003</v>
      </c>
      <c r="BZ46" s="780">
        <v>125</v>
      </c>
      <c r="CA46" s="781">
        <v>0.587710843373494</v>
      </c>
      <c r="CB46" s="780">
        <v>166</v>
      </c>
      <c r="CC46" s="781">
        <v>0.59732984293193714</v>
      </c>
      <c r="CD46" s="780">
        <v>191</v>
      </c>
      <c r="CE46" s="781">
        <v>0.72881028938906756</v>
      </c>
      <c r="CF46" s="780">
        <v>311</v>
      </c>
      <c r="CG46" s="781">
        <v>0.68933333333333335</v>
      </c>
      <c r="CH46" s="780">
        <v>330</v>
      </c>
      <c r="CI46" s="781">
        <v>0.7515384615384616</v>
      </c>
      <c r="CJ46" s="780">
        <v>390</v>
      </c>
      <c r="CK46" s="781">
        <v>0.69563333333333333</v>
      </c>
      <c r="CL46" s="780">
        <v>300</v>
      </c>
      <c r="CM46" s="781">
        <v>0.55005586592178768</v>
      </c>
      <c r="CN46" s="780">
        <v>179</v>
      </c>
      <c r="CO46" s="781">
        <v>0.73802985074626859</v>
      </c>
      <c r="CP46" s="780">
        <v>335</v>
      </c>
      <c r="CQ46" s="781">
        <v>0.78490683229813674</v>
      </c>
      <c r="CR46" s="780">
        <v>322</v>
      </c>
      <c r="CS46" s="781">
        <v>0.47911949685534594</v>
      </c>
      <c r="CT46" s="780">
        <v>159</v>
      </c>
    </row>
    <row r="47" spans="1:98" ht="11.25" customHeight="1">
      <c r="L47" s="802">
        <v>47</v>
      </c>
      <c r="M47" s="802">
        <v>17</v>
      </c>
      <c r="N47" s="803">
        <f t="shared" si="7"/>
        <v>0.73139726027397256</v>
      </c>
      <c r="O47" s="804">
        <f t="shared" si="5"/>
        <v>365</v>
      </c>
      <c r="P47" s="805">
        <f t="shared" si="8"/>
        <v>7355</v>
      </c>
      <c r="Q47" s="806">
        <f t="shared" si="9"/>
        <v>9.4303116685884252</v>
      </c>
      <c r="R47" s="801"/>
      <c r="S47" s="781">
        <v>0.6172067039106145</v>
      </c>
      <c r="T47" s="780">
        <v>179</v>
      </c>
      <c r="U47" s="781">
        <v>0.74792243767313027</v>
      </c>
      <c r="V47" s="780">
        <v>361</v>
      </c>
      <c r="W47" s="781">
        <v>0.67793814432989696</v>
      </c>
      <c r="X47" s="780">
        <v>388</v>
      </c>
      <c r="Y47" s="781">
        <v>0.7233430232558139</v>
      </c>
      <c r="Z47" s="780">
        <v>344</v>
      </c>
      <c r="AA47" s="781">
        <v>0.71905844155844145</v>
      </c>
      <c r="AB47" s="780">
        <v>308</v>
      </c>
      <c r="AC47" s="781">
        <v>0.76114551083591342</v>
      </c>
      <c r="AD47" s="780">
        <v>323</v>
      </c>
      <c r="AE47" s="781">
        <v>0.64841860465116286</v>
      </c>
      <c r="AF47" s="780">
        <v>215</v>
      </c>
      <c r="AG47" s="781">
        <v>0.66839999999999999</v>
      </c>
      <c r="AH47" s="780">
        <v>375</v>
      </c>
      <c r="AI47" s="781">
        <v>0.51537190082644624</v>
      </c>
      <c r="AJ47" s="780">
        <v>121</v>
      </c>
      <c r="AK47" s="781">
        <v>0.56434343434343437</v>
      </c>
      <c r="AL47" s="780">
        <v>198</v>
      </c>
      <c r="AM47" s="781">
        <v>0.67248447204968942</v>
      </c>
      <c r="AN47" s="780">
        <v>161</v>
      </c>
      <c r="AO47" s="781">
        <v>0.66086419753086423</v>
      </c>
      <c r="AP47" s="780">
        <v>162</v>
      </c>
      <c r="AQ47" s="781">
        <v>0.68775974025974018</v>
      </c>
      <c r="AR47" s="780">
        <v>308</v>
      </c>
      <c r="AS47" s="781">
        <v>0.314</v>
      </c>
      <c r="AT47" s="780">
        <v>5</v>
      </c>
      <c r="AU47" s="781">
        <v>0.7544407894736842</v>
      </c>
      <c r="AV47" s="780">
        <v>304</v>
      </c>
      <c r="AW47" s="781">
        <v>0.65591362126245845</v>
      </c>
      <c r="AX47" s="780">
        <v>301</v>
      </c>
      <c r="AY47" s="781">
        <v>0.72371841155234662</v>
      </c>
      <c r="AZ47" s="780">
        <v>277</v>
      </c>
      <c r="BA47" s="781">
        <v>0.76596026490066227</v>
      </c>
      <c r="BB47" s="780">
        <v>302</v>
      </c>
      <c r="BC47" s="781">
        <v>0.70953488372093021</v>
      </c>
      <c r="BD47" s="780">
        <v>344</v>
      </c>
      <c r="BE47" s="781">
        <v>0.71700272479564031</v>
      </c>
      <c r="BF47" s="780">
        <v>367</v>
      </c>
      <c r="BG47" s="781">
        <v>0.73433628318584065</v>
      </c>
      <c r="BH47" s="780">
        <v>339</v>
      </c>
      <c r="BI47" s="781">
        <v>0.54687943262411343</v>
      </c>
      <c r="BJ47" s="780">
        <v>141</v>
      </c>
      <c r="BK47" s="781">
        <v>0.68107033639143733</v>
      </c>
      <c r="BL47" s="780">
        <v>327</v>
      </c>
      <c r="BM47" s="781">
        <v>0.64508379888268153</v>
      </c>
      <c r="BN47" s="780">
        <v>358</v>
      </c>
      <c r="BO47" s="781">
        <v>0.7231343283582089</v>
      </c>
      <c r="BP47" s="780">
        <v>268</v>
      </c>
      <c r="BQ47" s="781">
        <v>0.62048979591836728</v>
      </c>
      <c r="BR47" s="780">
        <v>245</v>
      </c>
      <c r="BS47" s="781">
        <v>0.68337209302325574</v>
      </c>
      <c r="BT47" s="780">
        <v>344</v>
      </c>
      <c r="BU47" s="781">
        <v>0.62794444444444442</v>
      </c>
      <c r="BV47" s="780">
        <v>180</v>
      </c>
      <c r="BW47" s="781">
        <v>0.72353658536585375</v>
      </c>
      <c r="BX47" s="780">
        <v>328</v>
      </c>
      <c r="BY47" s="781">
        <v>0.50211764705882356</v>
      </c>
      <c r="BZ47" s="780">
        <v>85</v>
      </c>
      <c r="CA47" s="781">
        <v>0.5637692307692308</v>
      </c>
      <c r="CB47" s="780">
        <v>130</v>
      </c>
      <c r="CC47" s="781">
        <v>0.53870503597122299</v>
      </c>
      <c r="CD47" s="780">
        <v>139</v>
      </c>
      <c r="CE47" s="781">
        <v>0.73910447761194031</v>
      </c>
      <c r="CF47" s="780">
        <v>335</v>
      </c>
      <c r="CG47" s="781">
        <v>0.66089700996677736</v>
      </c>
      <c r="CH47" s="780">
        <v>301</v>
      </c>
      <c r="CI47" s="781">
        <v>0.73139726027397256</v>
      </c>
      <c r="CJ47" s="780">
        <v>365</v>
      </c>
      <c r="CK47" s="781">
        <v>0.63216312056737589</v>
      </c>
      <c r="CL47" s="780">
        <v>282</v>
      </c>
      <c r="CM47" s="781">
        <v>0.50264516129032255</v>
      </c>
      <c r="CN47" s="780">
        <v>155</v>
      </c>
      <c r="CO47" s="781">
        <v>0.67950980392156868</v>
      </c>
      <c r="CP47" s="780">
        <v>306</v>
      </c>
      <c r="CQ47" s="781">
        <v>0.78882175226586104</v>
      </c>
      <c r="CR47" s="780">
        <v>331</v>
      </c>
      <c r="CS47" s="781">
        <v>0.44251655629139075</v>
      </c>
      <c r="CT47" s="780">
        <v>151</v>
      </c>
    </row>
    <row r="48" spans="1:98" ht="11.25" customHeight="1">
      <c r="L48" s="802">
        <v>48</v>
      </c>
      <c r="M48" s="802">
        <v>18</v>
      </c>
      <c r="N48" s="803">
        <f t="shared" si="7"/>
        <v>0.69183050847457617</v>
      </c>
      <c r="O48" s="804">
        <f t="shared" si="5"/>
        <v>295</v>
      </c>
      <c r="P48" s="805">
        <f t="shared" si="8"/>
        <v>7650</v>
      </c>
      <c r="Q48" s="806">
        <f t="shared" si="9"/>
        <v>9.5027843565118442</v>
      </c>
      <c r="R48" s="801"/>
      <c r="S48" s="781">
        <v>0.60117647058823531</v>
      </c>
      <c r="T48" s="780">
        <v>136</v>
      </c>
      <c r="U48" s="781">
        <v>0.71284866468842734</v>
      </c>
      <c r="V48" s="780">
        <v>337</v>
      </c>
      <c r="W48" s="781">
        <v>0.66805555555555562</v>
      </c>
      <c r="X48" s="780">
        <v>288</v>
      </c>
      <c r="Y48" s="781">
        <v>0.71321311475409843</v>
      </c>
      <c r="Z48" s="780">
        <v>305</v>
      </c>
      <c r="AA48" s="781">
        <v>0.7095652173913044</v>
      </c>
      <c r="AB48" s="780">
        <v>253</v>
      </c>
      <c r="AC48" s="781">
        <v>0.75138461538461543</v>
      </c>
      <c r="AD48" s="780">
        <v>260</v>
      </c>
      <c r="AE48" s="781">
        <v>0.59962962962962962</v>
      </c>
      <c r="AF48" s="780">
        <v>189</v>
      </c>
      <c r="AG48" s="781">
        <v>0.63</v>
      </c>
      <c r="AH48" s="780">
        <v>298</v>
      </c>
      <c r="AI48" s="781">
        <v>0.47075268817204302</v>
      </c>
      <c r="AJ48" s="780">
        <v>93</v>
      </c>
      <c r="AK48" s="781">
        <v>0.54562500000000003</v>
      </c>
      <c r="AL48" s="780">
        <v>160</v>
      </c>
      <c r="AM48" s="781">
        <v>0.65109489051094893</v>
      </c>
      <c r="AN48" s="780">
        <v>137</v>
      </c>
      <c r="AO48" s="781">
        <v>0.64444444444444438</v>
      </c>
      <c r="AP48" s="780">
        <v>153</v>
      </c>
      <c r="AQ48" s="781">
        <v>0.64331914893617026</v>
      </c>
      <c r="AR48" s="780">
        <v>235</v>
      </c>
      <c r="AS48" s="781">
        <v>0</v>
      </c>
      <c r="AT48" s="780">
        <v>0</v>
      </c>
      <c r="AU48" s="781">
        <v>0.72550387596899224</v>
      </c>
      <c r="AV48" s="780">
        <v>258</v>
      </c>
      <c r="AW48" s="781">
        <v>0.66501779359430602</v>
      </c>
      <c r="AX48" s="780">
        <v>281</v>
      </c>
      <c r="AY48" s="781">
        <v>0.67641434262948208</v>
      </c>
      <c r="AZ48" s="780">
        <v>251</v>
      </c>
      <c r="BA48" s="781">
        <v>0.72424028268551244</v>
      </c>
      <c r="BB48" s="780">
        <v>283</v>
      </c>
      <c r="BC48" s="781">
        <v>0.71578796561604596</v>
      </c>
      <c r="BD48" s="780">
        <v>349</v>
      </c>
      <c r="BE48" s="781">
        <v>0.69970394736842112</v>
      </c>
      <c r="BF48" s="780">
        <v>304</v>
      </c>
      <c r="BG48" s="781">
        <v>0.70419871794871791</v>
      </c>
      <c r="BH48" s="780">
        <v>312</v>
      </c>
      <c r="BI48" s="781">
        <v>0.51368055555555558</v>
      </c>
      <c r="BJ48" s="780">
        <v>144</v>
      </c>
      <c r="BK48" s="781">
        <v>0.6691017964071857</v>
      </c>
      <c r="BL48" s="780">
        <v>334</v>
      </c>
      <c r="BM48" s="781">
        <v>0.65618768328445753</v>
      </c>
      <c r="BN48" s="780">
        <v>341</v>
      </c>
      <c r="BO48" s="781">
        <v>0.70706563706563719</v>
      </c>
      <c r="BP48" s="780">
        <v>259</v>
      </c>
      <c r="BQ48" s="781">
        <v>0.5623369565217391</v>
      </c>
      <c r="BR48" s="780">
        <v>184</v>
      </c>
      <c r="BS48" s="781">
        <v>0.68559420289855066</v>
      </c>
      <c r="BT48" s="780">
        <v>345</v>
      </c>
      <c r="BU48" s="781">
        <v>0.60493827160493829</v>
      </c>
      <c r="BV48" s="780">
        <v>162</v>
      </c>
      <c r="BW48" s="781">
        <v>0.68280276816608998</v>
      </c>
      <c r="BX48" s="780">
        <v>289</v>
      </c>
      <c r="BY48" s="781">
        <v>0.47153061224489795</v>
      </c>
      <c r="BZ48" s="780">
        <v>98</v>
      </c>
      <c r="CA48" s="781">
        <v>0.53988235294117648</v>
      </c>
      <c r="CB48" s="780">
        <v>85</v>
      </c>
      <c r="CC48" s="781">
        <v>0.4970945945945946</v>
      </c>
      <c r="CD48" s="780">
        <v>148</v>
      </c>
      <c r="CE48" s="781">
        <v>0.69375838926174493</v>
      </c>
      <c r="CF48" s="780">
        <v>298</v>
      </c>
      <c r="CG48" s="781">
        <v>0.65475352112676066</v>
      </c>
      <c r="CH48" s="780">
        <v>284</v>
      </c>
      <c r="CI48" s="781">
        <v>0.69183050847457617</v>
      </c>
      <c r="CJ48" s="780">
        <v>295</v>
      </c>
      <c r="CK48" s="781">
        <v>0.61165289256198352</v>
      </c>
      <c r="CL48" s="780">
        <v>242</v>
      </c>
      <c r="CM48" s="781">
        <v>0.49115606936416184</v>
      </c>
      <c r="CN48" s="780">
        <v>173</v>
      </c>
      <c r="CO48" s="781">
        <v>0.65993103448275858</v>
      </c>
      <c r="CP48" s="780">
        <v>290</v>
      </c>
      <c r="CQ48" s="781">
        <v>0.73484375000000002</v>
      </c>
      <c r="CR48" s="780">
        <v>256</v>
      </c>
      <c r="CS48" s="781">
        <v>0.39948717948717949</v>
      </c>
      <c r="CT48" s="780">
        <v>117</v>
      </c>
    </row>
    <row r="49" spans="12:98" ht="11.25" customHeight="1">
      <c r="L49" s="802">
        <v>49</v>
      </c>
      <c r="M49" s="802">
        <v>19</v>
      </c>
      <c r="N49" s="803">
        <f t="shared" si="7"/>
        <v>0.66731092436974793</v>
      </c>
      <c r="O49" s="804">
        <f t="shared" si="5"/>
        <v>238</v>
      </c>
      <c r="P49" s="805">
        <f t="shared" si="8"/>
        <v>7888</v>
      </c>
      <c r="Q49" s="806">
        <f t="shared" si="9"/>
        <v>9.7628006053948742</v>
      </c>
      <c r="R49" s="801"/>
      <c r="S49" s="781">
        <v>0.56366336633663361</v>
      </c>
      <c r="T49" s="780">
        <v>101</v>
      </c>
      <c r="U49" s="781">
        <v>0.66772881355932201</v>
      </c>
      <c r="V49" s="780">
        <v>295</v>
      </c>
      <c r="W49" s="781">
        <v>0.61727272727272731</v>
      </c>
      <c r="X49" s="780">
        <v>253</v>
      </c>
      <c r="Y49" s="781">
        <v>0.67381294964028782</v>
      </c>
      <c r="Z49" s="780">
        <v>278</v>
      </c>
      <c r="AA49" s="781">
        <v>0.64795555555555551</v>
      </c>
      <c r="AB49" s="780">
        <v>225</v>
      </c>
      <c r="AC49" s="781">
        <v>0.69036866359447002</v>
      </c>
      <c r="AD49" s="780">
        <v>217</v>
      </c>
      <c r="AE49" s="781">
        <v>0.56689024390243903</v>
      </c>
      <c r="AF49" s="780">
        <v>164</v>
      </c>
      <c r="AG49" s="781">
        <v>0.61463035019455259</v>
      </c>
      <c r="AH49" s="780">
        <v>257</v>
      </c>
      <c r="AI49" s="781">
        <v>0.43391752577319587</v>
      </c>
      <c r="AJ49" s="780">
        <v>97</v>
      </c>
      <c r="AK49" s="781">
        <v>0.50090909090909097</v>
      </c>
      <c r="AL49" s="780">
        <v>132</v>
      </c>
      <c r="AM49" s="781">
        <v>0.62308510638297876</v>
      </c>
      <c r="AN49" s="780">
        <v>94</v>
      </c>
      <c r="AO49" s="781">
        <v>0.61672413793103442</v>
      </c>
      <c r="AP49" s="780">
        <v>116</v>
      </c>
      <c r="AQ49" s="781">
        <v>0.59376146788990825</v>
      </c>
      <c r="AR49" s="780">
        <v>218</v>
      </c>
      <c r="AS49" s="781">
        <v>0</v>
      </c>
      <c r="AT49" s="780">
        <v>0</v>
      </c>
      <c r="AU49" s="781">
        <v>0.696780487804878</v>
      </c>
      <c r="AV49" s="780">
        <v>205</v>
      </c>
      <c r="AW49" s="781">
        <v>0.63716666666666666</v>
      </c>
      <c r="AX49" s="780">
        <v>240</v>
      </c>
      <c r="AY49" s="781">
        <v>0.65245136186770425</v>
      </c>
      <c r="AZ49" s="780">
        <v>257</v>
      </c>
      <c r="BA49" s="781">
        <v>0.68489795918367347</v>
      </c>
      <c r="BB49" s="780">
        <v>196</v>
      </c>
      <c r="BC49" s="781">
        <v>0.70825842696629204</v>
      </c>
      <c r="BD49" s="780">
        <v>356</v>
      </c>
      <c r="BE49" s="781">
        <v>0.66843511450381687</v>
      </c>
      <c r="BF49" s="780">
        <v>262</v>
      </c>
      <c r="BG49" s="781">
        <v>0.6937864077669903</v>
      </c>
      <c r="BH49" s="780">
        <v>309</v>
      </c>
      <c r="BI49" s="781">
        <v>0.49136752136752138</v>
      </c>
      <c r="BJ49" s="780">
        <v>117</v>
      </c>
      <c r="BK49" s="781">
        <v>0.64051369863013707</v>
      </c>
      <c r="BL49" s="780">
        <v>292</v>
      </c>
      <c r="BM49" s="781">
        <v>0.64459302325581391</v>
      </c>
      <c r="BN49" s="780">
        <v>344</v>
      </c>
      <c r="BO49" s="781">
        <v>0.65445378151260503</v>
      </c>
      <c r="BP49" s="780">
        <v>238</v>
      </c>
      <c r="BQ49" s="781">
        <v>0.54065934065934063</v>
      </c>
      <c r="BR49" s="780">
        <v>182</v>
      </c>
      <c r="BS49" s="781">
        <v>0.6749363867684478</v>
      </c>
      <c r="BT49" s="780">
        <v>393</v>
      </c>
      <c r="BU49" s="781">
        <v>0.5822068965517242</v>
      </c>
      <c r="BV49" s="780">
        <v>145</v>
      </c>
      <c r="BW49" s="781">
        <v>0.64594696969696974</v>
      </c>
      <c r="BX49" s="780">
        <v>264</v>
      </c>
      <c r="BY49" s="781">
        <v>0.44440476190476191</v>
      </c>
      <c r="BZ49" s="780">
        <v>84</v>
      </c>
      <c r="CA49" s="781">
        <v>0.51140624999999995</v>
      </c>
      <c r="CB49" s="780">
        <v>64</v>
      </c>
      <c r="CC49" s="781">
        <v>0.44936363636363635</v>
      </c>
      <c r="CD49" s="780">
        <v>110</v>
      </c>
      <c r="CE49" s="781">
        <v>0.63843749999999999</v>
      </c>
      <c r="CF49" s="780">
        <v>224</v>
      </c>
      <c r="CG49" s="781">
        <v>0.61578124999999995</v>
      </c>
      <c r="CH49" s="780">
        <v>256</v>
      </c>
      <c r="CI49" s="781">
        <v>0.66731092436974793</v>
      </c>
      <c r="CJ49" s="780">
        <v>238</v>
      </c>
      <c r="CK49" s="781">
        <v>0.60423580786026199</v>
      </c>
      <c r="CL49" s="780">
        <v>229</v>
      </c>
      <c r="CM49" s="781">
        <v>0.46721428571428569</v>
      </c>
      <c r="CN49" s="780">
        <v>140</v>
      </c>
      <c r="CO49" s="781">
        <v>0.63407114624505934</v>
      </c>
      <c r="CP49" s="780">
        <v>253</v>
      </c>
      <c r="CQ49" s="781">
        <v>0.67267942583732054</v>
      </c>
      <c r="CR49" s="780">
        <v>209</v>
      </c>
      <c r="CS49" s="781">
        <v>0.38858695652173914</v>
      </c>
      <c r="CT49" s="780">
        <v>92</v>
      </c>
    </row>
    <row r="50" spans="12:98" ht="11.25" customHeight="1">
      <c r="L50" s="802">
        <v>50</v>
      </c>
      <c r="M50" s="802">
        <v>20</v>
      </c>
      <c r="N50" s="803">
        <f t="shared" si="7"/>
        <v>0.59250000000000003</v>
      </c>
      <c r="O50" s="804">
        <f t="shared" si="5"/>
        <v>188</v>
      </c>
      <c r="P50" s="805">
        <f t="shared" si="8"/>
        <v>8076</v>
      </c>
      <c r="Q50" s="806">
        <f t="shared" si="9"/>
        <v>9.2164757653867841</v>
      </c>
      <c r="R50" s="801"/>
      <c r="S50" s="781">
        <v>0.55012195121951224</v>
      </c>
      <c r="T50" s="780">
        <v>82</v>
      </c>
      <c r="U50" s="781">
        <v>0.64500000000000002</v>
      </c>
      <c r="V50" s="780">
        <v>244</v>
      </c>
      <c r="W50" s="781">
        <v>0.60645933014354059</v>
      </c>
      <c r="X50" s="780">
        <v>209</v>
      </c>
      <c r="Y50" s="781">
        <v>0.60794871794871796</v>
      </c>
      <c r="Z50" s="780">
        <v>234</v>
      </c>
      <c r="AA50" s="781">
        <v>0.61364640883977895</v>
      </c>
      <c r="AB50" s="780">
        <v>181</v>
      </c>
      <c r="AC50" s="781">
        <v>0.62455621301775144</v>
      </c>
      <c r="AD50" s="780">
        <v>169</v>
      </c>
      <c r="AE50" s="781">
        <v>0.56801801801801799</v>
      </c>
      <c r="AF50" s="780">
        <v>111</v>
      </c>
      <c r="AG50" s="781">
        <v>0.55565853658536579</v>
      </c>
      <c r="AH50" s="780">
        <v>205</v>
      </c>
      <c r="AI50" s="781">
        <v>0.41480519480519484</v>
      </c>
      <c r="AJ50" s="780">
        <v>77</v>
      </c>
      <c r="AK50" s="781">
        <v>0.49855855855855857</v>
      </c>
      <c r="AL50" s="780">
        <v>111</v>
      </c>
      <c r="AM50" s="781">
        <v>0.60287500000000005</v>
      </c>
      <c r="AN50" s="780">
        <v>80</v>
      </c>
      <c r="AO50" s="781">
        <v>0.57159574468085106</v>
      </c>
      <c r="AP50" s="780">
        <v>94</v>
      </c>
      <c r="AQ50" s="781">
        <v>0.56523255813953488</v>
      </c>
      <c r="AR50" s="780">
        <v>172</v>
      </c>
      <c r="AS50" s="781">
        <v>0</v>
      </c>
      <c r="AT50" s="780">
        <v>0</v>
      </c>
      <c r="AU50" s="781">
        <v>0.6755491329479768</v>
      </c>
      <c r="AV50" s="780">
        <v>173</v>
      </c>
      <c r="AW50" s="781">
        <v>0.60486486486486479</v>
      </c>
      <c r="AX50" s="780">
        <v>259</v>
      </c>
      <c r="AY50" s="781">
        <v>0.60130890052356023</v>
      </c>
      <c r="AZ50" s="780">
        <v>191</v>
      </c>
      <c r="BA50" s="781">
        <v>0.63674285714285717</v>
      </c>
      <c r="BB50" s="780">
        <v>175</v>
      </c>
      <c r="BC50" s="781">
        <v>0.6788088642659279</v>
      </c>
      <c r="BD50" s="780">
        <v>361</v>
      </c>
      <c r="BE50" s="781">
        <v>0.64314720812182746</v>
      </c>
      <c r="BF50" s="780">
        <v>197</v>
      </c>
      <c r="BG50" s="781">
        <v>0.69757309941520462</v>
      </c>
      <c r="BH50" s="780">
        <v>342</v>
      </c>
      <c r="BI50" s="781">
        <v>0.45948979591836731</v>
      </c>
      <c r="BJ50" s="780">
        <v>98</v>
      </c>
      <c r="BK50" s="781">
        <v>0.60996153846153844</v>
      </c>
      <c r="BL50" s="780">
        <v>260</v>
      </c>
      <c r="BM50" s="781">
        <v>0.62292763157894737</v>
      </c>
      <c r="BN50" s="780">
        <v>304</v>
      </c>
      <c r="BO50" s="781">
        <v>0.63037037037037036</v>
      </c>
      <c r="BP50" s="780">
        <v>216</v>
      </c>
      <c r="BQ50" s="781">
        <v>0.51730496453900709</v>
      </c>
      <c r="BR50" s="780">
        <v>141</v>
      </c>
      <c r="BS50" s="781">
        <v>0.64699088145896655</v>
      </c>
      <c r="BT50" s="780">
        <v>329</v>
      </c>
      <c r="BU50" s="781">
        <v>0.54085714285714293</v>
      </c>
      <c r="BV50" s="780">
        <v>105</v>
      </c>
      <c r="BW50" s="781">
        <v>0.63193548387096776</v>
      </c>
      <c r="BX50" s="780">
        <v>186</v>
      </c>
      <c r="BY50" s="781">
        <v>0.41666666666666663</v>
      </c>
      <c r="BZ50" s="780">
        <v>84</v>
      </c>
      <c r="CA50" s="781">
        <v>0.4863265306122449</v>
      </c>
      <c r="CB50" s="780">
        <v>49</v>
      </c>
      <c r="CC50" s="781">
        <v>0.46619565217391307</v>
      </c>
      <c r="CD50" s="780">
        <v>92</v>
      </c>
      <c r="CE50" s="781">
        <v>0.59238578680203047</v>
      </c>
      <c r="CF50" s="780">
        <v>197</v>
      </c>
      <c r="CG50" s="781">
        <v>0.58892703862660944</v>
      </c>
      <c r="CH50" s="780">
        <v>233</v>
      </c>
      <c r="CI50" s="781">
        <v>0.59250000000000003</v>
      </c>
      <c r="CJ50" s="780">
        <v>188</v>
      </c>
      <c r="CK50" s="781">
        <v>0.58525316455696197</v>
      </c>
      <c r="CL50" s="780">
        <v>158</v>
      </c>
      <c r="CM50" s="781">
        <v>0.45294117647058824</v>
      </c>
      <c r="CN50" s="780">
        <v>102</v>
      </c>
      <c r="CO50" s="781">
        <v>0.60044843049327357</v>
      </c>
      <c r="CP50" s="780">
        <v>223</v>
      </c>
      <c r="CQ50" s="781">
        <v>0.64139037433155077</v>
      </c>
      <c r="CR50" s="780">
        <v>187</v>
      </c>
      <c r="CS50" s="781">
        <v>0.38442307692307692</v>
      </c>
      <c r="CT50" s="780">
        <v>104</v>
      </c>
    </row>
    <row r="51" spans="12:98" ht="11.25" customHeight="1">
      <c r="L51" s="802">
        <v>51</v>
      </c>
      <c r="M51" s="802">
        <v>21</v>
      </c>
      <c r="N51" s="803">
        <f t="shared" si="7"/>
        <v>0.58260273972602739</v>
      </c>
      <c r="O51" s="804">
        <f t="shared" si="5"/>
        <v>146</v>
      </c>
      <c r="P51" s="805">
        <f t="shared" si="8"/>
        <v>8222</v>
      </c>
      <c r="Q51" s="806">
        <f t="shared" si="9"/>
        <v>9.6458938619101211</v>
      </c>
      <c r="R51" s="801"/>
      <c r="S51" s="781">
        <v>0.52816666666666667</v>
      </c>
      <c r="T51" s="780">
        <v>60</v>
      </c>
      <c r="U51" s="781">
        <v>0.61341836734693878</v>
      </c>
      <c r="V51" s="780">
        <v>196</v>
      </c>
      <c r="W51" s="781">
        <v>0.57371257485029947</v>
      </c>
      <c r="X51" s="780">
        <v>167</v>
      </c>
      <c r="Y51" s="781">
        <v>0.57816831683168313</v>
      </c>
      <c r="Z51" s="780">
        <v>202</v>
      </c>
      <c r="AA51" s="781">
        <v>0.57708609271523181</v>
      </c>
      <c r="AB51" s="780">
        <v>151</v>
      </c>
      <c r="AC51" s="781">
        <v>0.59911111111111115</v>
      </c>
      <c r="AD51" s="780">
        <v>135</v>
      </c>
      <c r="AE51" s="781">
        <v>0.5384146341463415</v>
      </c>
      <c r="AF51" s="780">
        <v>82</v>
      </c>
      <c r="AG51" s="781">
        <v>0.52958115183246068</v>
      </c>
      <c r="AH51" s="780">
        <v>191</v>
      </c>
      <c r="AI51" s="781">
        <v>0.3837313432835821</v>
      </c>
      <c r="AJ51" s="780">
        <v>67</v>
      </c>
      <c r="AK51" s="781">
        <v>0.44804878048780489</v>
      </c>
      <c r="AL51" s="780">
        <v>82</v>
      </c>
      <c r="AM51" s="781">
        <v>0.59337837837837837</v>
      </c>
      <c r="AN51" s="780">
        <v>74</v>
      </c>
      <c r="AO51" s="781">
        <v>0.52964912280701748</v>
      </c>
      <c r="AP51" s="780">
        <v>57</v>
      </c>
      <c r="AQ51" s="781">
        <v>0.57825757575757575</v>
      </c>
      <c r="AR51" s="780">
        <v>132</v>
      </c>
      <c r="AS51" s="781">
        <v>0</v>
      </c>
      <c r="AT51" s="780">
        <v>0</v>
      </c>
      <c r="AU51" s="781">
        <v>0.61821656050955409</v>
      </c>
      <c r="AV51" s="780">
        <v>157</v>
      </c>
      <c r="AW51" s="781">
        <v>0.55555555555555558</v>
      </c>
      <c r="AX51" s="780">
        <v>198</v>
      </c>
      <c r="AY51" s="781">
        <v>0.58362903225806451</v>
      </c>
      <c r="AZ51" s="780">
        <v>124</v>
      </c>
      <c r="BA51" s="781">
        <v>0.57415584415584409</v>
      </c>
      <c r="BB51" s="780">
        <v>154</v>
      </c>
      <c r="BC51" s="781">
        <v>0.67960122699386505</v>
      </c>
      <c r="BD51" s="780">
        <v>326</v>
      </c>
      <c r="BE51" s="781">
        <v>0.60044585987261145</v>
      </c>
      <c r="BF51" s="780">
        <v>157</v>
      </c>
      <c r="BG51" s="781">
        <v>0.66489795918367345</v>
      </c>
      <c r="BH51" s="780">
        <v>294</v>
      </c>
      <c r="BI51" s="781">
        <v>0.4371830985915493</v>
      </c>
      <c r="BJ51" s="780">
        <v>71</v>
      </c>
      <c r="BK51" s="781">
        <v>0.58995121951219509</v>
      </c>
      <c r="BL51" s="780">
        <v>205</v>
      </c>
      <c r="BM51" s="781">
        <v>0.61684745762711868</v>
      </c>
      <c r="BN51" s="780">
        <v>295</v>
      </c>
      <c r="BO51" s="781">
        <v>0.5838271604938271</v>
      </c>
      <c r="BP51" s="780">
        <v>162</v>
      </c>
      <c r="BQ51" s="781">
        <v>0.49601449275362319</v>
      </c>
      <c r="BR51" s="780">
        <v>138</v>
      </c>
      <c r="BS51" s="781">
        <v>0.61322580645161284</v>
      </c>
      <c r="BT51" s="780">
        <v>279</v>
      </c>
      <c r="BU51" s="781">
        <v>0.52267326732673269</v>
      </c>
      <c r="BV51" s="780">
        <v>101</v>
      </c>
      <c r="BW51" s="781">
        <v>0.60758620689655174</v>
      </c>
      <c r="BX51" s="780">
        <v>174</v>
      </c>
      <c r="BY51" s="781">
        <v>0.38039215686274508</v>
      </c>
      <c r="BZ51" s="780">
        <v>51</v>
      </c>
      <c r="CA51" s="781">
        <v>0.42846153846153845</v>
      </c>
      <c r="CB51" s="780">
        <v>26</v>
      </c>
      <c r="CC51" s="781">
        <v>0.40732394366197183</v>
      </c>
      <c r="CD51" s="780">
        <v>71</v>
      </c>
      <c r="CE51" s="781">
        <v>0.53733695652173918</v>
      </c>
      <c r="CF51" s="780">
        <v>184</v>
      </c>
      <c r="CG51" s="781">
        <v>0.54554999999999998</v>
      </c>
      <c r="CH51" s="780">
        <v>200</v>
      </c>
      <c r="CI51" s="781">
        <v>0.58260273972602739</v>
      </c>
      <c r="CJ51" s="780">
        <v>146</v>
      </c>
      <c r="CK51" s="781">
        <v>0.5887603305785124</v>
      </c>
      <c r="CL51" s="780">
        <v>121</v>
      </c>
      <c r="CM51" s="781">
        <v>0.44453333333333334</v>
      </c>
      <c r="CN51" s="780">
        <v>75</v>
      </c>
      <c r="CO51" s="781">
        <v>0.5884491978609625</v>
      </c>
      <c r="CP51" s="780">
        <v>187</v>
      </c>
      <c r="CQ51" s="781">
        <v>0.59222222222222221</v>
      </c>
      <c r="CR51" s="780">
        <v>144</v>
      </c>
      <c r="CS51" s="781">
        <v>0.36333333333333334</v>
      </c>
      <c r="CT51" s="780">
        <v>60</v>
      </c>
    </row>
    <row r="52" spans="12:98" ht="11.25" customHeight="1">
      <c r="L52" s="802">
        <v>52</v>
      </c>
      <c r="M52" s="802">
        <v>22</v>
      </c>
      <c r="N52" s="803">
        <f t="shared" si="7"/>
        <v>0.56985074626865673</v>
      </c>
      <c r="O52" s="804">
        <f t="shared" si="5"/>
        <v>134</v>
      </c>
      <c r="P52" s="805">
        <f t="shared" si="8"/>
        <v>8356</v>
      </c>
      <c r="Q52" s="806">
        <f t="shared" si="9"/>
        <v>10.036723173953218</v>
      </c>
      <c r="R52" s="801"/>
      <c r="S52" s="781">
        <v>0.48279069767441862</v>
      </c>
      <c r="T52" s="780">
        <v>43</v>
      </c>
      <c r="U52" s="781">
        <v>0.59018867924528307</v>
      </c>
      <c r="V52" s="780">
        <v>159</v>
      </c>
      <c r="W52" s="781">
        <v>0.55796992481203</v>
      </c>
      <c r="X52" s="780">
        <v>133</v>
      </c>
      <c r="Y52" s="781">
        <v>0.54170454545454549</v>
      </c>
      <c r="Z52" s="780">
        <v>176</v>
      </c>
      <c r="AA52" s="781">
        <v>0.57658730158730154</v>
      </c>
      <c r="AB52" s="780">
        <v>126</v>
      </c>
      <c r="AC52" s="781">
        <v>0.55581967213114747</v>
      </c>
      <c r="AD52" s="780">
        <v>122</v>
      </c>
      <c r="AE52" s="781">
        <v>0.51682539682539685</v>
      </c>
      <c r="AF52" s="780">
        <v>63</v>
      </c>
      <c r="AG52" s="781">
        <v>0.47793333333333338</v>
      </c>
      <c r="AH52" s="780">
        <v>150</v>
      </c>
      <c r="AI52" s="781">
        <v>0.35805555555555557</v>
      </c>
      <c r="AJ52" s="780">
        <v>36</v>
      </c>
      <c r="AK52" s="781">
        <v>0.44148514851485143</v>
      </c>
      <c r="AL52" s="780">
        <v>101</v>
      </c>
      <c r="AM52" s="781">
        <v>0.56111111111111112</v>
      </c>
      <c r="AN52" s="780">
        <v>54</v>
      </c>
      <c r="AO52" s="781">
        <v>0.52794117647058825</v>
      </c>
      <c r="AP52" s="780">
        <v>34</v>
      </c>
      <c r="AQ52" s="781">
        <v>0.55699029126213595</v>
      </c>
      <c r="AR52" s="780">
        <v>103</v>
      </c>
      <c r="AS52" s="781">
        <v>0</v>
      </c>
      <c r="AT52" s="780">
        <v>0</v>
      </c>
      <c r="AU52" s="781">
        <v>0.59248322147651011</v>
      </c>
      <c r="AV52" s="780">
        <v>149</v>
      </c>
      <c r="AW52" s="781">
        <v>0.53087209302325578</v>
      </c>
      <c r="AX52" s="780">
        <v>172</v>
      </c>
      <c r="AY52" s="781">
        <v>0.57042016806722695</v>
      </c>
      <c r="AZ52" s="780">
        <v>119</v>
      </c>
      <c r="BA52" s="781">
        <v>0.57828124999999997</v>
      </c>
      <c r="BB52" s="780">
        <v>128</v>
      </c>
      <c r="BC52" s="781">
        <v>0.64912213740458014</v>
      </c>
      <c r="BD52" s="780">
        <v>262</v>
      </c>
      <c r="BE52" s="781">
        <v>0.58933962264150941</v>
      </c>
      <c r="BF52" s="780">
        <v>106</v>
      </c>
      <c r="BG52" s="781">
        <v>0.62306122448979595</v>
      </c>
      <c r="BH52" s="780">
        <v>245</v>
      </c>
      <c r="BI52" s="781">
        <v>0.41306666666666664</v>
      </c>
      <c r="BJ52" s="780">
        <v>75</v>
      </c>
      <c r="BK52" s="781">
        <v>0.54899497487437188</v>
      </c>
      <c r="BL52" s="780">
        <v>199</v>
      </c>
      <c r="BM52" s="781">
        <v>0.59376033057851241</v>
      </c>
      <c r="BN52" s="780">
        <v>242</v>
      </c>
      <c r="BO52" s="781">
        <v>0.56777777777777783</v>
      </c>
      <c r="BP52" s="780">
        <v>171</v>
      </c>
      <c r="BQ52" s="781">
        <v>0.48685714285714282</v>
      </c>
      <c r="BR52" s="780">
        <v>105</v>
      </c>
      <c r="BS52" s="781">
        <v>0.58014492753623192</v>
      </c>
      <c r="BT52" s="780">
        <v>207</v>
      </c>
      <c r="BU52" s="781">
        <v>0.52253731343283583</v>
      </c>
      <c r="BV52" s="780">
        <v>67</v>
      </c>
      <c r="BW52" s="781">
        <v>0.58853333333333335</v>
      </c>
      <c r="BX52" s="780">
        <v>150</v>
      </c>
      <c r="BY52" s="781">
        <v>0.38111111111111112</v>
      </c>
      <c r="BZ52" s="780">
        <v>45</v>
      </c>
      <c r="CA52" s="781">
        <v>0.38200000000000001</v>
      </c>
      <c r="CB52" s="780">
        <v>10</v>
      </c>
      <c r="CC52" s="781">
        <v>0.39708333333333334</v>
      </c>
      <c r="CD52" s="780">
        <v>72</v>
      </c>
      <c r="CE52" s="781">
        <v>0.53801587301587306</v>
      </c>
      <c r="CF52" s="780">
        <v>126</v>
      </c>
      <c r="CG52" s="781">
        <v>0.52880952380952384</v>
      </c>
      <c r="CH52" s="780">
        <v>168</v>
      </c>
      <c r="CI52" s="781">
        <v>0.56985074626865673</v>
      </c>
      <c r="CJ52" s="780">
        <v>134</v>
      </c>
      <c r="CK52" s="781">
        <v>0.53092592592592591</v>
      </c>
      <c r="CL52" s="780">
        <v>108</v>
      </c>
      <c r="CM52" s="781">
        <v>0.41839080459770117</v>
      </c>
      <c r="CN52" s="780">
        <v>87</v>
      </c>
      <c r="CO52" s="781">
        <v>0.55096774193548381</v>
      </c>
      <c r="CP52" s="780">
        <v>155</v>
      </c>
      <c r="CQ52" s="781">
        <v>0.57189189189189182</v>
      </c>
      <c r="CR52" s="780">
        <v>111</v>
      </c>
      <c r="CS52" s="781">
        <v>0.34166666666666662</v>
      </c>
      <c r="CT52" s="780">
        <v>54</v>
      </c>
    </row>
    <row r="53" spans="12:98" ht="11.25" customHeight="1">
      <c r="L53" s="802">
        <v>53</v>
      </c>
      <c r="M53" s="802">
        <v>23</v>
      </c>
      <c r="N53" s="803">
        <f t="shared" si="7"/>
        <v>0.55824561403508777</v>
      </c>
      <c r="O53" s="804">
        <f t="shared" si="5"/>
        <v>114</v>
      </c>
      <c r="P53" s="805">
        <f t="shared" si="8"/>
        <v>8470</v>
      </c>
      <c r="Q53" s="806">
        <f t="shared" si="9"/>
        <v>10.455194597031547</v>
      </c>
      <c r="R53" s="801"/>
      <c r="S53" s="781">
        <v>0.45517241379310341</v>
      </c>
      <c r="T53" s="780">
        <v>29</v>
      </c>
      <c r="U53" s="781">
        <v>0.55330708661417327</v>
      </c>
      <c r="V53" s="780">
        <v>127</v>
      </c>
      <c r="W53" s="781">
        <v>0.55803738317757012</v>
      </c>
      <c r="X53" s="780">
        <v>107</v>
      </c>
      <c r="Y53" s="781">
        <v>0.54861538461538462</v>
      </c>
      <c r="Z53" s="780">
        <v>130</v>
      </c>
      <c r="AA53" s="781">
        <v>0.54108108108108111</v>
      </c>
      <c r="AB53" s="780">
        <v>111</v>
      </c>
      <c r="AC53" s="781">
        <v>0.54658914728682173</v>
      </c>
      <c r="AD53" s="780">
        <v>129</v>
      </c>
      <c r="AE53" s="781">
        <v>0.48</v>
      </c>
      <c r="AF53" s="780">
        <v>51</v>
      </c>
      <c r="AG53" s="781">
        <v>0.48848484848484852</v>
      </c>
      <c r="AH53" s="780">
        <v>99</v>
      </c>
      <c r="AI53" s="781">
        <v>0.31346153846153846</v>
      </c>
      <c r="AJ53" s="780">
        <v>26</v>
      </c>
      <c r="AK53" s="781">
        <v>0.41689655172413792</v>
      </c>
      <c r="AL53" s="780">
        <v>58</v>
      </c>
      <c r="AM53" s="781">
        <v>0.53096774193548379</v>
      </c>
      <c r="AN53" s="780">
        <v>31</v>
      </c>
      <c r="AO53" s="781">
        <v>0.50562499999999999</v>
      </c>
      <c r="AP53" s="780">
        <v>32</v>
      </c>
      <c r="AQ53" s="781">
        <v>0.54263736263736262</v>
      </c>
      <c r="AR53" s="780">
        <v>91</v>
      </c>
      <c r="AS53" s="781">
        <v>0</v>
      </c>
      <c r="AT53" s="780">
        <v>0</v>
      </c>
      <c r="AU53" s="781">
        <v>0.56636363636363629</v>
      </c>
      <c r="AV53" s="780">
        <v>121</v>
      </c>
      <c r="AW53" s="781">
        <v>0.50992592592592589</v>
      </c>
      <c r="AX53" s="780">
        <v>135</v>
      </c>
      <c r="AY53" s="781">
        <v>0.50481132075471702</v>
      </c>
      <c r="AZ53" s="780">
        <v>106</v>
      </c>
      <c r="BA53" s="781">
        <v>0.55299999999999994</v>
      </c>
      <c r="BB53" s="780">
        <v>120</v>
      </c>
      <c r="BC53" s="781">
        <v>0.62268181818181811</v>
      </c>
      <c r="BD53" s="780">
        <v>220</v>
      </c>
      <c r="BE53" s="781">
        <v>0.57465517241379305</v>
      </c>
      <c r="BF53" s="780">
        <v>116</v>
      </c>
      <c r="BG53" s="781">
        <v>0.55015075376884426</v>
      </c>
      <c r="BH53" s="780">
        <v>199</v>
      </c>
      <c r="BI53" s="781">
        <v>0.39</v>
      </c>
      <c r="BJ53" s="780">
        <v>55</v>
      </c>
      <c r="BK53" s="781">
        <v>0.52486111111111111</v>
      </c>
      <c r="BL53" s="780">
        <v>144</v>
      </c>
      <c r="BM53" s="781">
        <v>0.55807692307692303</v>
      </c>
      <c r="BN53" s="780">
        <v>208</v>
      </c>
      <c r="BO53" s="781">
        <v>0.51976744186046508</v>
      </c>
      <c r="BP53" s="780">
        <v>129</v>
      </c>
      <c r="BQ53" s="781">
        <v>0.47835294117647059</v>
      </c>
      <c r="BR53" s="780">
        <v>85</v>
      </c>
      <c r="BS53" s="781">
        <v>0.54451219512195126</v>
      </c>
      <c r="BT53" s="780">
        <v>164</v>
      </c>
      <c r="BU53" s="781">
        <v>0.51400000000000001</v>
      </c>
      <c r="BV53" s="780">
        <v>75</v>
      </c>
      <c r="BW53" s="781">
        <v>0.5658928571428572</v>
      </c>
      <c r="BX53" s="780">
        <v>112</v>
      </c>
      <c r="BY53" s="781">
        <v>0.38583333333333336</v>
      </c>
      <c r="BZ53" s="780">
        <v>24</v>
      </c>
      <c r="CA53" s="781">
        <v>0</v>
      </c>
      <c r="CB53" s="780">
        <v>0</v>
      </c>
      <c r="CC53" s="781">
        <v>0.3757746478873239</v>
      </c>
      <c r="CD53" s="780">
        <v>71</v>
      </c>
      <c r="CE53" s="781">
        <v>0.53032520325203247</v>
      </c>
      <c r="CF53" s="780">
        <v>123</v>
      </c>
      <c r="CG53" s="781">
        <v>0.48499999999999999</v>
      </c>
      <c r="CH53" s="780">
        <v>144</v>
      </c>
      <c r="CI53" s="781">
        <v>0.55824561403508777</v>
      </c>
      <c r="CJ53" s="780">
        <v>114</v>
      </c>
      <c r="CK53" s="781">
        <v>0.51535714285714285</v>
      </c>
      <c r="CL53" s="780">
        <v>84</v>
      </c>
      <c r="CM53" s="781">
        <v>0.40346153846153848</v>
      </c>
      <c r="CN53" s="780">
        <v>78</v>
      </c>
      <c r="CO53" s="781">
        <v>0.53579831932773114</v>
      </c>
      <c r="CP53" s="780">
        <v>119</v>
      </c>
      <c r="CQ53" s="781">
        <v>0.5446280991735537</v>
      </c>
      <c r="CR53" s="780">
        <v>121</v>
      </c>
      <c r="CS53" s="781">
        <v>0.32086956521739135</v>
      </c>
      <c r="CT53" s="780">
        <v>23</v>
      </c>
    </row>
    <row r="54" spans="12:98" ht="11.25" customHeight="1">
      <c r="L54" s="802">
        <v>54</v>
      </c>
      <c r="M54" s="802">
        <v>24</v>
      </c>
      <c r="N54" s="803">
        <f t="shared" si="7"/>
        <v>0.50834951456310673</v>
      </c>
      <c r="O54" s="804">
        <f t="shared" si="5"/>
        <v>103</v>
      </c>
      <c r="P54" s="805">
        <f t="shared" si="8"/>
        <v>8573</v>
      </c>
      <c r="Q54" s="806">
        <f t="shared" si="9"/>
        <v>10.106875028410924</v>
      </c>
      <c r="R54" s="801"/>
      <c r="S54" s="781">
        <v>0.41499999999999998</v>
      </c>
      <c r="T54" s="780">
        <v>12</v>
      </c>
      <c r="U54" s="781">
        <v>0.5460169491525424</v>
      </c>
      <c r="V54" s="780">
        <v>118</v>
      </c>
      <c r="W54" s="781">
        <v>0.54880952380952375</v>
      </c>
      <c r="X54" s="780">
        <v>84</v>
      </c>
      <c r="Y54" s="781">
        <v>0.52279661016949153</v>
      </c>
      <c r="Z54" s="780">
        <v>118</v>
      </c>
      <c r="AA54" s="781">
        <v>0.52412371134020619</v>
      </c>
      <c r="AB54" s="780">
        <v>97</v>
      </c>
      <c r="AC54" s="781">
        <v>0.5183695652173913</v>
      </c>
      <c r="AD54" s="780">
        <v>92</v>
      </c>
      <c r="AE54" s="781">
        <v>0.45962962962962961</v>
      </c>
      <c r="AF54" s="780">
        <v>27</v>
      </c>
      <c r="AG54" s="781">
        <v>0.4632183908045977</v>
      </c>
      <c r="AH54" s="780">
        <v>87</v>
      </c>
      <c r="AI54" s="781">
        <v>0.32100000000000001</v>
      </c>
      <c r="AJ54" s="780">
        <v>10</v>
      </c>
      <c r="AK54" s="781">
        <v>0.39980392156862743</v>
      </c>
      <c r="AL54" s="780">
        <v>51</v>
      </c>
      <c r="AM54" s="781">
        <v>0.4786206896551724</v>
      </c>
      <c r="AN54" s="780">
        <v>29</v>
      </c>
      <c r="AO54" s="781">
        <v>0.46714285714285714</v>
      </c>
      <c r="AP54" s="780">
        <v>7</v>
      </c>
      <c r="AQ54" s="781">
        <v>0.55818181818181822</v>
      </c>
      <c r="AR54" s="780">
        <v>55</v>
      </c>
      <c r="AS54" s="781">
        <v>0</v>
      </c>
      <c r="AT54" s="780">
        <v>0</v>
      </c>
      <c r="AU54" s="781">
        <v>0.54416666666666669</v>
      </c>
      <c r="AV54" s="780">
        <v>84</v>
      </c>
      <c r="AW54" s="781">
        <v>0.49429629629629629</v>
      </c>
      <c r="AX54" s="780">
        <v>135</v>
      </c>
      <c r="AY54" s="781">
        <v>0.49419354838709678</v>
      </c>
      <c r="AZ54" s="780">
        <v>93</v>
      </c>
      <c r="BA54" s="781">
        <v>0.51887931034482759</v>
      </c>
      <c r="BB54" s="780">
        <v>116</v>
      </c>
      <c r="BC54" s="781">
        <v>0.6088023952095809</v>
      </c>
      <c r="BD54" s="780">
        <v>167</v>
      </c>
      <c r="BE54" s="781">
        <v>0.5370588235294117</v>
      </c>
      <c r="BF54" s="780">
        <v>85</v>
      </c>
      <c r="BG54" s="781">
        <v>0.5641176470588235</v>
      </c>
      <c r="BH54" s="780">
        <v>170</v>
      </c>
      <c r="BI54" s="781">
        <v>0.3603703703703704</v>
      </c>
      <c r="BJ54" s="780">
        <v>27</v>
      </c>
      <c r="BK54" s="781">
        <v>0.50453846153846149</v>
      </c>
      <c r="BL54" s="780">
        <v>130</v>
      </c>
      <c r="BM54" s="781">
        <v>0.54402234636871505</v>
      </c>
      <c r="BN54" s="780">
        <v>179</v>
      </c>
      <c r="BO54" s="781">
        <v>0.49830769230769228</v>
      </c>
      <c r="BP54" s="780">
        <v>130</v>
      </c>
      <c r="BQ54" s="781">
        <v>0.44621212121212123</v>
      </c>
      <c r="BR54" s="780">
        <v>66</v>
      </c>
      <c r="BS54" s="781">
        <v>0.52</v>
      </c>
      <c r="BT54" s="780">
        <v>128</v>
      </c>
      <c r="BU54" s="781">
        <v>0.49242424242424243</v>
      </c>
      <c r="BV54" s="780">
        <v>66</v>
      </c>
      <c r="BW54" s="781">
        <v>0.54037037037037039</v>
      </c>
      <c r="BX54" s="780">
        <v>81</v>
      </c>
      <c r="BY54" s="781">
        <v>0.39666666666666667</v>
      </c>
      <c r="BZ54" s="780">
        <v>6</v>
      </c>
      <c r="CA54" s="781">
        <v>0</v>
      </c>
      <c r="CB54" s="780">
        <v>0</v>
      </c>
      <c r="CC54" s="781">
        <v>0.33763636363636368</v>
      </c>
      <c r="CD54" s="780">
        <v>55</v>
      </c>
      <c r="CE54" s="781">
        <v>0.49460869565217391</v>
      </c>
      <c r="CF54" s="780">
        <v>115</v>
      </c>
      <c r="CG54" s="781">
        <v>0.46217391304347827</v>
      </c>
      <c r="CH54" s="780">
        <v>138</v>
      </c>
      <c r="CI54" s="781">
        <v>0.50834951456310673</v>
      </c>
      <c r="CJ54" s="780">
        <v>103</v>
      </c>
      <c r="CK54" s="781">
        <v>0.51538461538461544</v>
      </c>
      <c r="CL54" s="780">
        <v>65</v>
      </c>
      <c r="CM54" s="781">
        <v>0.35590909090909095</v>
      </c>
      <c r="CN54" s="780">
        <v>44</v>
      </c>
      <c r="CO54" s="781">
        <v>0.52915966386554625</v>
      </c>
      <c r="CP54" s="780">
        <v>119</v>
      </c>
      <c r="CQ54" s="781">
        <v>0.51189189189189188</v>
      </c>
      <c r="CR54" s="780">
        <v>111</v>
      </c>
      <c r="CS54" s="781">
        <v>0.29956521739130432</v>
      </c>
      <c r="CT54" s="780">
        <v>23</v>
      </c>
    </row>
    <row r="55" spans="12:98" ht="11.25" customHeight="1">
      <c r="L55" s="802">
        <v>55</v>
      </c>
      <c r="M55" s="802">
        <v>25</v>
      </c>
      <c r="N55" s="803">
        <f t="shared" si="7"/>
        <v>0.5043478260869565</v>
      </c>
      <c r="O55" s="804">
        <f t="shared" si="5"/>
        <v>46</v>
      </c>
      <c r="P55" s="805">
        <f t="shared" si="8"/>
        <v>8619</v>
      </c>
      <c r="Q55" s="806">
        <f t="shared" si="9"/>
        <v>10.654876344186441</v>
      </c>
      <c r="R55" s="801"/>
      <c r="S55" s="781">
        <v>0.37333333333333335</v>
      </c>
      <c r="T55" s="780">
        <v>9</v>
      </c>
      <c r="U55" s="781">
        <v>0.53142857142857147</v>
      </c>
      <c r="V55" s="780">
        <v>91</v>
      </c>
      <c r="W55" s="781">
        <v>0.53140624999999997</v>
      </c>
      <c r="X55" s="780">
        <v>64</v>
      </c>
      <c r="Y55" s="781">
        <v>0.49202020202020202</v>
      </c>
      <c r="Z55" s="780">
        <v>99</v>
      </c>
      <c r="AA55" s="781">
        <v>0.47457446808510639</v>
      </c>
      <c r="AB55" s="780">
        <v>94</v>
      </c>
      <c r="AC55" s="781">
        <v>0.50361904761904763</v>
      </c>
      <c r="AD55" s="780">
        <v>105</v>
      </c>
      <c r="AE55" s="781">
        <v>0.43529411764705883</v>
      </c>
      <c r="AF55" s="780">
        <v>17</v>
      </c>
      <c r="AG55" s="781">
        <v>0.45734177215189875</v>
      </c>
      <c r="AH55" s="780">
        <v>79</v>
      </c>
      <c r="AI55" s="781">
        <v>0.39</v>
      </c>
      <c r="AJ55" s="780">
        <v>7</v>
      </c>
      <c r="AK55" s="781">
        <v>0.37631578947368416</v>
      </c>
      <c r="AL55" s="780">
        <v>38</v>
      </c>
      <c r="AM55" s="781">
        <v>0.45399999999999996</v>
      </c>
      <c r="AN55" s="780">
        <v>25</v>
      </c>
      <c r="AO55" s="781">
        <v>0.39</v>
      </c>
      <c r="AP55" s="780">
        <v>4</v>
      </c>
      <c r="AQ55" s="781">
        <v>0.52083333333333337</v>
      </c>
      <c r="AR55" s="780">
        <v>60</v>
      </c>
      <c r="AS55" s="781">
        <v>0</v>
      </c>
      <c r="AT55" s="780">
        <v>0</v>
      </c>
      <c r="AU55" s="781">
        <v>0.53746031746031742</v>
      </c>
      <c r="AV55" s="780">
        <v>63</v>
      </c>
      <c r="AW55" s="781">
        <v>0.46382812499999998</v>
      </c>
      <c r="AX55" s="780">
        <v>128</v>
      </c>
      <c r="AY55" s="781">
        <v>0.49893333333333328</v>
      </c>
      <c r="AZ55" s="780">
        <v>75</v>
      </c>
      <c r="BA55" s="781">
        <v>0.48569767441860462</v>
      </c>
      <c r="BB55" s="780">
        <v>86</v>
      </c>
      <c r="BC55" s="781">
        <v>0.58136645962732925</v>
      </c>
      <c r="BD55" s="780">
        <v>161</v>
      </c>
      <c r="BE55" s="781">
        <v>0.4921518987341772</v>
      </c>
      <c r="BF55" s="780">
        <v>79</v>
      </c>
      <c r="BG55" s="781">
        <v>0.55473684210526319</v>
      </c>
      <c r="BH55" s="780">
        <v>152</v>
      </c>
      <c r="BI55" s="781">
        <v>0.31285714285714283</v>
      </c>
      <c r="BJ55" s="780">
        <v>14</v>
      </c>
      <c r="BK55" s="781">
        <v>0.482375</v>
      </c>
      <c r="BL55" s="780">
        <v>80</v>
      </c>
      <c r="BM55" s="781">
        <v>0.52892086330935251</v>
      </c>
      <c r="BN55" s="780">
        <v>139</v>
      </c>
      <c r="BO55" s="781">
        <v>0.48526881720430104</v>
      </c>
      <c r="BP55" s="780">
        <v>93</v>
      </c>
      <c r="BQ55" s="781">
        <v>0.41285714285714287</v>
      </c>
      <c r="BR55" s="780">
        <v>49</v>
      </c>
      <c r="BS55" s="781">
        <v>0.48584269662921353</v>
      </c>
      <c r="BT55" s="780">
        <v>89</v>
      </c>
      <c r="BU55" s="781">
        <v>0.46675675675675676</v>
      </c>
      <c r="BV55" s="780">
        <v>37</v>
      </c>
      <c r="BW55" s="781">
        <v>0.52686274509803921</v>
      </c>
      <c r="BX55" s="780">
        <v>51</v>
      </c>
      <c r="BY55" s="781">
        <v>0.4</v>
      </c>
      <c r="BZ55" s="780">
        <v>1</v>
      </c>
      <c r="CA55" s="781">
        <v>0</v>
      </c>
      <c r="CB55" s="780">
        <v>0</v>
      </c>
      <c r="CC55" s="781">
        <v>0.3192156862745098</v>
      </c>
      <c r="CD55" s="780">
        <v>51</v>
      </c>
      <c r="CE55" s="781">
        <v>0.46250000000000002</v>
      </c>
      <c r="CF55" s="780">
        <v>84</v>
      </c>
      <c r="CG55" s="781">
        <v>0.44496062992125984</v>
      </c>
      <c r="CH55" s="780">
        <v>127</v>
      </c>
      <c r="CI55" s="781">
        <v>0.5043478260869565</v>
      </c>
      <c r="CJ55" s="780">
        <v>46</v>
      </c>
      <c r="CK55" s="781">
        <v>0.50826086956521743</v>
      </c>
      <c r="CL55" s="780">
        <v>46</v>
      </c>
      <c r="CM55" s="781">
        <v>0.36228571428571427</v>
      </c>
      <c r="CN55" s="780">
        <v>35</v>
      </c>
      <c r="CO55" s="781">
        <v>0.5044578313253012</v>
      </c>
      <c r="CP55" s="780">
        <v>83</v>
      </c>
      <c r="CQ55" s="781">
        <v>0.48538461538461541</v>
      </c>
      <c r="CR55" s="780">
        <v>104</v>
      </c>
      <c r="CS55" s="781">
        <v>0.27</v>
      </c>
      <c r="CT55" s="780">
        <v>8</v>
      </c>
    </row>
    <row r="56" spans="12:98" ht="11.25" customHeight="1">
      <c r="L56" s="802">
        <v>56</v>
      </c>
      <c r="M56" s="802">
        <v>26</v>
      </c>
      <c r="N56" s="803">
        <f t="shared" si="7"/>
        <v>0.47234042553191485</v>
      </c>
      <c r="O56" s="804">
        <f t="shared" si="5"/>
        <v>47</v>
      </c>
      <c r="P56" s="805">
        <f t="shared" si="8"/>
        <v>8666</v>
      </c>
      <c r="Q56" s="806">
        <f t="shared" si="9"/>
        <v>10.588087791667846</v>
      </c>
      <c r="R56" s="801"/>
      <c r="S56" s="781">
        <v>0.35111111111111115</v>
      </c>
      <c r="T56" s="780">
        <v>9</v>
      </c>
      <c r="U56" s="781">
        <v>0.51025974025974019</v>
      </c>
      <c r="V56" s="780">
        <v>77</v>
      </c>
      <c r="W56" s="781">
        <v>0.52117647058823524</v>
      </c>
      <c r="X56" s="780">
        <v>51</v>
      </c>
      <c r="Y56" s="781">
        <v>0.47121212121212125</v>
      </c>
      <c r="Z56" s="780">
        <v>66</v>
      </c>
      <c r="AA56" s="781">
        <v>0.47</v>
      </c>
      <c r="AB56" s="780">
        <v>69</v>
      </c>
      <c r="AC56" s="781">
        <v>0.46643835616438362</v>
      </c>
      <c r="AD56" s="780">
        <v>73</v>
      </c>
      <c r="AE56" s="781">
        <v>0.41956521739130437</v>
      </c>
      <c r="AF56" s="780">
        <v>23</v>
      </c>
      <c r="AG56" s="781">
        <v>0.45732394366197182</v>
      </c>
      <c r="AH56" s="780">
        <v>71</v>
      </c>
      <c r="AI56" s="781">
        <v>0.33</v>
      </c>
      <c r="AJ56" s="780">
        <v>1</v>
      </c>
      <c r="AK56" s="781">
        <v>0.37285714285714283</v>
      </c>
      <c r="AL56" s="780">
        <v>14</v>
      </c>
      <c r="AM56" s="781">
        <v>0.43941176470588234</v>
      </c>
      <c r="AN56" s="780">
        <v>17</v>
      </c>
      <c r="AO56" s="781">
        <v>0.34499999999999997</v>
      </c>
      <c r="AP56" s="780">
        <v>4</v>
      </c>
      <c r="AQ56" s="781">
        <v>0.52171428571428569</v>
      </c>
      <c r="AR56" s="780">
        <v>35</v>
      </c>
      <c r="AS56" s="781">
        <v>0</v>
      </c>
      <c r="AT56" s="780">
        <v>0</v>
      </c>
      <c r="AU56" s="781">
        <v>0.52539999999999998</v>
      </c>
      <c r="AV56" s="780">
        <v>50</v>
      </c>
      <c r="AW56" s="781">
        <v>0.42838383838383842</v>
      </c>
      <c r="AX56" s="780">
        <v>99</v>
      </c>
      <c r="AY56" s="781">
        <v>0.45645161290322583</v>
      </c>
      <c r="AZ56" s="780">
        <v>62</v>
      </c>
      <c r="BA56" s="781">
        <v>0.48423728813559319</v>
      </c>
      <c r="BB56" s="780">
        <v>59</v>
      </c>
      <c r="BC56" s="781">
        <v>0.57211864406779656</v>
      </c>
      <c r="BD56" s="780">
        <v>118</v>
      </c>
      <c r="BE56" s="781">
        <v>0.48372881355932201</v>
      </c>
      <c r="BF56" s="780">
        <v>59</v>
      </c>
      <c r="BG56" s="781">
        <v>0.53209090909090906</v>
      </c>
      <c r="BH56" s="780">
        <v>110</v>
      </c>
      <c r="BI56" s="781">
        <v>0.29666666666666669</v>
      </c>
      <c r="BJ56" s="780">
        <v>9</v>
      </c>
      <c r="BK56" s="781">
        <v>0.45987654320987653</v>
      </c>
      <c r="BL56" s="780">
        <v>81</v>
      </c>
      <c r="BM56" s="781">
        <v>0.5176510067114094</v>
      </c>
      <c r="BN56" s="780">
        <v>149</v>
      </c>
      <c r="BO56" s="781">
        <v>0.46028169014084502</v>
      </c>
      <c r="BP56" s="780">
        <v>71</v>
      </c>
      <c r="BQ56" s="781">
        <v>0.40351851851851855</v>
      </c>
      <c r="BR56" s="780">
        <v>54</v>
      </c>
      <c r="BS56" s="781">
        <v>0.46681159420289853</v>
      </c>
      <c r="BT56" s="780">
        <v>69</v>
      </c>
      <c r="BU56" s="781">
        <v>0.42095238095238097</v>
      </c>
      <c r="BV56" s="780">
        <v>21</v>
      </c>
      <c r="BW56" s="781">
        <v>0.5337142857142857</v>
      </c>
      <c r="BX56" s="780">
        <v>35</v>
      </c>
      <c r="BY56" s="781">
        <v>0</v>
      </c>
      <c r="BZ56" s="780">
        <v>0</v>
      </c>
      <c r="CA56" s="781">
        <v>0</v>
      </c>
      <c r="CB56" s="780">
        <v>0</v>
      </c>
      <c r="CC56" s="781">
        <v>0.30024999999999996</v>
      </c>
      <c r="CD56" s="780">
        <v>40</v>
      </c>
      <c r="CE56" s="781">
        <v>0.45507936507936508</v>
      </c>
      <c r="CF56" s="780">
        <v>63</v>
      </c>
      <c r="CG56" s="781">
        <v>0.44186440677966105</v>
      </c>
      <c r="CH56" s="780">
        <v>118</v>
      </c>
      <c r="CI56" s="781">
        <v>0.47234042553191485</v>
      </c>
      <c r="CJ56" s="780">
        <v>47</v>
      </c>
      <c r="CK56" s="781">
        <v>0.48470588235294115</v>
      </c>
      <c r="CL56" s="780">
        <v>34</v>
      </c>
      <c r="CM56" s="781">
        <v>0.32692307692307693</v>
      </c>
      <c r="CN56" s="780">
        <v>13</v>
      </c>
      <c r="CO56" s="781">
        <v>0.48388235294117649</v>
      </c>
      <c r="CP56" s="780">
        <v>85</v>
      </c>
      <c r="CQ56" s="781">
        <v>0.48061538461538461</v>
      </c>
      <c r="CR56" s="780">
        <v>65</v>
      </c>
      <c r="CS56" s="781">
        <v>0.28999999999999998</v>
      </c>
      <c r="CT56" s="780">
        <v>1</v>
      </c>
    </row>
    <row r="57" spans="12:98" ht="11.25" customHeight="1">
      <c r="L57" s="802">
        <v>57</v>
      </c>
      <c r="M57" s="802">
        <v>27</v>
      </c>
      <c r="N57" s="803">
        <f>INDEX($S$1:$CT$65,L57,MATCH($N$2,$S$2:$CT$2,0))</f>
        <v>0.44275862068965516</v>
      </c>
      <c r="O57" s="804">
        <f>INDEX($S$1:$CT$65,L57,MATCH($O$2,$S$2:$CT$2,0))</f>
        <v>29</v>
      </c>
      <c r="P57" s="805">
        <f t="shared" si="8"/>
        <v>8695</v>
      </c>
      <c r="Q57" s="806">
        <f t="shared" si="9"/>
        <v>10.526445754832219</v>
      </c>
      <c r="R57" s="801"/>
      <c r="S57" s="781">
        <v>0.26750000000000002</v>
      </c>
      <c r="T57" s="780">
        <v>4</v>
      </c>
      <c r="U57" s="781">
        <v>0.49725806451612903</v>
      </c>
      <c r="V57" s="780">
        <v>62</v>
      </c>
      <c r="W57" s="781">
        <v>0.47749999999999998</v>
      </c>
      <c r="X57" s="780">
        <v>48</v>
      </c>
      <c r="Y57" s="781">
        <v>0.45190476190476192</v>
      </c>
      <c r="Z57" s="780">
        <v>42</v>
      </c>
      <c r="AA57" s="781">
        <v>0.43642857142857144</v>
      </c>
      <c r="AB57" s="780">
        <v>56</v>
      </c>
      <c r="AC57" s="781">
        <v>0.4457575757575758</v>
      </c>
      <c r="AD57" s="780">
        <v>33</v>
      </c>
      <c r="AE57" s="781">
        <v>0.35636363636363633</v>
      </c>
      <c r="AF57" s="780">
        <v>11</v>
      </c>
      <c r="AG57" s="781">
        <v>0.43924999999999997</v>
      </c>
      <c r="AH57" s="780">
        <v>40</v>
      </c>
      <c r="AI57" s="781">
        <v>0</v>
      </c>
      <c r="AJ57" s="780">
        <v>0</v>
      </c>
      <c r="AK57" s="781">
        <v>0.34399999999999997</v>
      </c>
      <c r="AL57" s="780">
        <v>5</v>
      </c>
      <c r="AM57" s="781">
        <v>0.42</v>
      </c>
      <c r="AN57" s="780">
        <v>11</v>
      </c>
      <c r="AO57" s="781">
        <v>0.255</v>
      </c>
      <c r="AP57" s="780">
        <v>2</v>
      </c>
      <c r="AQ57" s="781">
        <v>0.49658536585365853</v>
      </c>
      <c r="AR57" s="780">
        <v>41</v>
      </c>
      <c r="AS57" s="781">
        <v>0</v>
      </c>
      <c r="AT57" s="780">
        <v>0</v>
      </c>
      <c r="AU57" s="781">
        <v>0.49727272727272726</v>
      </c>
      <c r="AV57" s="780">
        <v>33</v>
      </c>
      <c r="AW57" s="781">
        <v>0.40574712643678162</v>
      </c>
      <c r="AX57" s="780">
        <v>87</v>
      </c>
      <c r="AY57" s="781">
        <v>0.47485714285714287</v>
      </c>
      <c r="AZ57" s="780">
        <v>35</v>
      </c>
      <c r="BA57" s="781">
        <v>0.44068965517241382</v>
      </c>
      <c r="BB57" s="780">
        <v>29</v>
      </c>
      <c r="BC57" s="781">
        <v>0.54659090909090902</v>
      </c>
      <c r="BD57" s="780">
        <v>88</v>
      </c>
      <c r="BE57" s="781">
        <v>0.46081081081081082</v>
      </c>
      <c r="BF57" s="780">
        <v>37</v>
      </c>
      <c r="BG57" s="781">
        <v>0.52322314049586782</v>
      </c>
      <c r="BH57" s="780">
        <v>121</v>
      </c>
      <c r="BI57" s="781">
        <v>0.27</v>
      </c>
      <c r="BJ57" s="780">
        <v>6</v>
      </c>
      <c r="BK57" s="781">
        <v>0.44259999999999999</v>
      </c>
      <c r="BL57" s="780">
        <v>50</v>
      </c>
      <c r="BM57" s="781">
        <v>0.48221238938053096</v>
      </c>
      <c r="BN57" s="780">
        <v>113</v>
      </c>
      <c r="BO57" s="781">
        <v>0.45147058823529412</v>
      </c>
      <c r="BP57" s="780">
        <v>34</v>
      </c>
      <c r="BQ57" s="781">
        <v>0.37708333333333338</v>
      </c>
      <c r="BR57" s="780">
        <v>24</v>
      </c>
      <c r="BS57" s="781">
        <v>0.43791666666666662</v>
      </c>
      <c r="BT57" s="780">
        <v>48</v>
      </c>
      <c r="BU57" s="781">
        <v>0.31818181818181818</v>
      </c>
      <c r="BV57" s="780">
        <v>11</v>
      </c>
      <c r="BW57" s="781">
        <v>0.50928571428571434</v>
      </c>
      <c r="BX57" s="780">
        <v>42</v>
      </c>
      <c r="BY57" s="781">
        <v>0</v>
      </c>
      <c r="BZ57" s="780">
        <v>0</v>
      </c>
      <c r="CA57" s="781">
        <v>0</v>
      </c>
      <c r="CB57" s="780">
        <v>0</v>
      </c>
      <c r="CC57" s="781">
        <v>0.26214285714285718</v>
      </c>
      <c r="CD57" s="780">
        <v>28</v>
      </c>
      <c r="CE57" s="781">
        <v>0.41857142857142854</v>
      </c>
      <c r="CF57" s="780">
        <v>42</v>
      </c>
      <c r="CG57" s="781">
        <v>0.4346739130434783</v>
      </c>
      <c r="CH57" s="780">
        <v>92</v>
      </c>
      <c r="CI57" s="781">
        <v>0.44275862068965516</v>
      </c>
      <c r="CJ57" s="780">
        <v>29</v>
      </c>
      <c r="CK57" s="781">
        <v>0.47333333333333338</v>
      </c>
      <c r="CL57" s="780">
        <v>15</v>
      </c>
      <c r="CM57" s="781">
        <v>0.34</v>
      </c>
      <c r="CN57" s="780">
        <v>4</v>
      </c>
      <c r="CO57" s="781">
        <v>0.47067567567567564</v>
      </c>
      <c r="CP57" s="780">
        <v>74</v>
      </c>
      <c r="CQ57" s="781">
        <v>0.4526470588235294</v>
      </c>
      <c r="CR57" s="780">
        <v>34</v>
      </c>
      <c r="CS57" s="781">
        <v>0.27</v>
      </c>
      <c r="CT57" s="780">
        <v>2</v>
      </c>
    </row>
    <row r="58" spans="12:98" ht="11.25" customHeight="1">
      <c r="L58" s="802">
        <v>58</v>
      </c>
      <c r="M58" s="802">
        <v>28</v>
      </c>
      <c r="N58" s="803">
        <f t="shared" si="7"/>
        <v>0.40083333333333337</v>
      </c>
      <c r="O58" s="804">
        <f t="shared" si="5"/>
        <v>24</v>
      </c>
      <c r="P58" s="805">
        <f t="shared" si="8"/>
        <v>8719</v>
      </c>
      <c r="Q58" s="806">
        <f t="shared" si="9"/>
        <v>10.096823845730837</v>
      </c>
      <c r="R58" s="801"/>
      <c r="S58" s="781">
        <v>0</v>
      </c>
      <c r="T58" s="780">
        <v>0</v>
      </c>
      <c r="U58" s="781">
        <v>0.46200000000000002</v>
      </c>
      <c r="V58" s="780">
        <v>35</v>
      </c>
      <c r="W58" s="781">
        <v>0.48222222222222222</v>
      </c>
      <c r="X58" s="780">
        <v>27</v>
      </c>
      <c r="Y58" s="781">
        <v>0.44289473684210529</v>
      </c>
      <c r="Z58" s="780">
        <v>38</v>
      </c>
      <c r="AA58" s="781">
        <v>0.41142857142857148</v>
      </c>
      <c r="AB58" s="780">
        <v>35</v>
      </c>
      <c r="AC58" s="781">
        <v>0.43359999999999999</v>
      </c>
      <c r="AD58" s="780">
        <v>25</v>
      </c>
      <c r="AE58" s="781">
        <v>0.33624999999999999</v>
      </c>
      <c r="AF58" s="780">
        <v>8</v>
      </c>
      <c r="AG58" s="781">
        <v>0.38393939393939391</v>
      </c>
      <c r="AH58" s="780">
        <v>33</v>
      </c>
      <c r="AI58" s="781">
        <v>0</v>
      </c>
      <c r="AJ58" s="780">
        <v>0</v>
      </c>
      <c r="AK58" s="781">
        <v>0.34250000000000003</v>
      </c>
      <c r="AL58" s="780">
        <v>4</v>
      </c>
      <c r="AM58" s="781">
        <v>0.42142857142857149</v>
      </c>
      <c r="AN58" s="780">
        <v>14</v>
      </c>
      <c r="AO58" s="781">
        <v>0.22500000000000001</v>
      </c>
      <c r="AP58" s="780">
        <v>2</v>
      </c>
      <c r="AQ58" s="781">
        <v>0.45888888888888885</v>
      </c>
      <c r="AR58" s="780">
        <v>18</v>
      </c>
      <c r="AS58" s="781">
        <v>0</v>
      </c>
      <c r="AT58" s="780">
        <v>0</v>
      </c>
      <c r="AU58" s="781">
        <v>0.43166666666666664</v>
      </c>
      <c r="AV58" s="780">
        <v>18</v>
      </c>
      <c r="AW58" s="781">
        <v>0.39254237288135591</v>
      </c>
      <c r="AX58" s="780">
        <v>59</v>
      </c>
      <c r="AY58" s="781">
        <v>0.42147058823529415</v>
      </c>
      <c r="AZ58" s="780">
        <v>34</v>
      </c>
      <c r="BA58" s="781">
        <v>0.42625000000000002</v>
      </c>
      <c r="BB58" s="780">
        <v>24</v>
      </c>
      <c r="BC58" s="781">
        <v>0.54349206349206347</v>
      </c>
      <c r="BD58" s="780">
        <v>63</v>
      </c>
      <c r="BE58" s="781">
        <v>0.45344827586206898</v>
      </c>
      <c r="BF58" s="780">
        <v>29</v>
      </c>
      <c r="BG58" s="781">
        <v>0.51215053763440865</v>
      </c>
      <c r="BH58" s="780">
        <v>93</v>
      </c>
      <c r="BI58" s="781">
        <v>0.28000000000000003</v>
      </c>
      <c r="BJ58" s="780">
        <v>1</v>
      </c>
      <c r="BK58" s="781">
        <v>0.39925925925925926</v>
      </c>
      <c r="BL58" s="780">
        <v>27</v>
      </c>
      <c r="BM58" s="781">
        <v>0.47842857142857143</v>
      </c>
      <c r="BN58" s="780">
        <v>70</v>
      </c>
      <c r="BO58" s="781">
        <v>0.43</v>
      </c>
      <c r="BP58" s="780">
        <v>25</v>
      </c>
      <c r="BQ58" s="781">
        <v>0.38500000000000001</v>
      </c>
      <c r="BR58" s="780">
        <v>8</v>
      </c>
      <c r="BS58" s="781">
        <v>0.40375</v>
      </c>
      <c r="BT58" s="780">
        <v>32</v>
      </c>
      <c r="BU58" s="781">
        <v>0.25</v>
      </c>
      <c r="BV58" s="780">
        <v>1</v>
      </c>
      <c r="BW58" s="781">
        <v>0.45190476190476192</v>
      </c>
      <c r="BX58" s="780">
        <v>21</v>
      </c>
      <c r="BY58" s="781">
        <v>0</v>
      </c>
      <c r="BZ58" s="780">
        <v>0</v>
      </c>
      <c r="CA58" s="781">
        <v>0</v>
      </c>
      <c r="CB58" s="780">
        <v>0</v>
      </c>
      <c r="CC58" s="781">
        <v>0.25894736842105265</v>
      </c>
      <c r="CD58" s="780">
        <v>19</v>
      </c>
      <c r="CE58" s="781">
        <v>0.40500000000000003</v>
      </c>
      <c r="CF58" s="780">
        <v>22</v>
      </c>
      <c r="CG58" s="781">
        <v>0.42921568627450979</v>
      </c>
      <c r="CH58" s="780">
        <v>51</v>
      </c>
      <c r="CI58" s="781">
        <v>0.40083333333333337</v>
      </c>
      <c r="CJ58" s="780">
        <v>24</v>
      </c>
      <c r="CK58" s="781">
        <v>0.48352941176470587</v>
      </c>
      <c r="CL58" s="780">
        <v>17</v>
      </c>
      <c r="CM58" s="781">
        <v>0</v>
      </c>
      <c r="CN58" s="780">
        <v>0</v>
      </c>
      <c r="CO58" s="781">
        <v>0.42568627450980395</v>
      </c>
      <c r="CP58" s="780">
        <v>51</v>
      </c>
      <c r="CQ58" s="781">
        <v>0.42434782608695648</v>
      </c>
      <c r="CR58" s="780">
        <v>23</v>
      </c>
      <c r="CS58" s="781">
        <v>0.26</v>
      </c>
      <c r="CT58" s="780">
        <v>1</v>
      </c>
    </row>
    <row r="59" spans="12:98" ht="11.25" customHeight="1">
      <c r="L59" s="802">
        <v>59</v>
      </c>
      <c r="M59" s="802">
        <v>29</v>
      </c>
      <c r="N59" s="803">
        <f t="shared" si="7"/>
        <v>0.39642857142857146</v>
      </c>
      <c r="O59" s="804">
        <f t="shared" si="5"/>
        <v>14</v>
      </c>
      <c r="P59" s="805">
        <f t="shared" si="8"/>
        <v>8733</v>
      </c>
      <c r="Q59" s="806">
        <f t="shared" si="9"/>
        <v>10.590957931484501</v>
      </c>
      <c r="R59" s="801"/>
      <c r="S59" s="781">
        <v>0</v>
      </c>
      <c r="T59" s="780">
        <v>0</v>
      </c>
      <c r="U59" s="781">
        <v>0.45481481481481478</v>
      </c>
      <c r="V59" s="780">
        <v>27</v>
      </c>
      <c r="W59" s="781">
        <v>0.38933333333333331</v>
      </c>
      <c r="X59" s="780">
        <v>15</v>
      </c>
      <c r="Y59" s="781">
        <v>0.40625</v>
      </c>
      <c r="Z59" s="780">
        <v>32</v>
      </c>
      <c r="AA59" s="781">
        <v>0.37812499999999999</v>
      </c>
      <c r="AB59" s="780">
        <v>16</v>
      </c>
      <c r="AC59" s="781">
        <v>0.41954545454545455</v>
      </c>
      <c r="AD59" s="780">
        <v>22</v>
      </c>
      <c r="AE59" s="781">
        <v>0</v>
      </c>
      <c r="AF59" s="780">
        <v>0</v>
      </c>
      <c r="AG59" s="781">
        <v>0.38269230769230766</v>
      </c>
      <c r="AH59" s="780">
        <v>26</v>
      </c>
      <c r="AI59" s="781">
        <v>0</v>
      </c>
      <c r="AJ59" s="780">
        <v>0</v>
      </c>
      <c r="AK59" s="781">
        <v>0.34499999999999997</v>
      </c>
      <c r="AL59" s="780">
        <v>2</v>
      </c>
      <c r="AM59" s="781">
        <v>0.3775</v>
      </c>
      <c r="AN59" s="780">
        <v>4</v>
      </c>
      <c r="AO59" s="781">
        <v>0</v>
      </c>
      <c r="AP59" s="780">
        <v>0</v>
      </c>
      <c r="AQ59" s="781">
        <v>0.39</v>
      </c>
      <c r="AR59" s="780">
        <v>10</v>
      </c>
      <c r="AS59" s="781">
        <v>0</v>
      </c>
      <c r="AT59" s="780">
        <v>0</v>
      </c>
      <c r="AU59" s="781">
        <v>0.43083333333333335</v>
      </c>
      <c r="AV59" s="780">
        <v>12</v>
      </c>
      <c r="AW59" s="781">
        <v>0.35820000000000002</v>
      </c>
      <c r="AX59" s="780">
        <v>50</v>
      </c>
      <c r="AY59" s="781">
        <v>0.39925925925925926</v>
      </c>
      <c r="AZ59" s="780">
        <v>27</v>
      </c>
      <c r="BA59" s="781">
        <v>0.40363636363636368</v>
      </c>
      <c r="BB59" s="780">
        <v>22</v>
      </c>
      <c r="BC59" s="781">
        <v>0.50705882352941178</v>
      </c>
      <c r="BD59" s="780">
        <v>51</v>
      </c>
      <c r="BE59" s="781">
        <v>0.41</v>
      </c>
      <c r="BF59" s="780">
        <v>30</v>
      </c>
      <c r="BG59" s="781">
        <v>0.48769230769230765</v>
      </c>
      <c r="BH59" s="780">
        <v>65</v>
      </c>
      <c r="BI59" s="781">
        <v>0</v>
      </c>
      <c r="BJ59" s="780">
        <v>0</v>
      </c>
      <c r="BK59" s="781">
        <v>0.36666666666666664</v>
      </c>
      <c r="BL59" s="780">
        <v>24</v>
      </c>
      <c r="BM59" s="781">
        <v>0.47340000000000004</v>
      </c>
      <c r="BN59" s="780">
        <v>50</v>
      </c>
      <c r="BO59" s="781">
        <v>0.41291666666666665</v>
      </c>
      <c r="BP59" s="780">
        <v>24</v>
      </c>
      <c r="BQ59" s="781">
        <v>0.36555555555555558</v>
      </c>
      <c r="BR59" s="780">
        <v>9</v>
      </c>
      <c r="BS59" s="781">
        <v>0.36</v>
      </c>
      <c r="BT59" s="780">
        <v>23</v>
      </c>
      <c r="BU59" s="781">
        <v>0</v>
      </c>
      <c r="BV59" s="780">
        <v>0</v>
      </c>
      <c r="BW59" s="781">
        <v>0.43842105263157899</v>
      </c>
      <c r="BX59" s="780">
        <v>19</v>
      </c>
      <c r="BY59" s="781">
        <v>0</v>
      </c>
      <c r="BZ59" s="780">
        <v>0</v>
      </c>
      <c r="CA59" s="781">
        <v>0</v>
      </c>
      <c r="CB59" s="780">
        <v>0</v>
      </c>
      <c r="CC59" s="781">
        <v>0.20499999999999999</v>
      </c>
      <c r="CD59" s="780">
        <v>2</v>
      </c>
      <c r="CE59" s="781">
        <v>0.36809523809523809</v>
      </c>
      <c r="CF59" s="780">
        <v>21</v>
      </c>
      <c r="CG59" s="781">
        <v>0.39578947368421052</v>
      </c>
      <c r="CH59" s="780">
        <v>38</v>
      </c>
      <c r="CI59" s="781">
        <v>0.39642857142857146</v>
      </c>
      <c r="CJ59" s="780">
        <v>14</v>
      </c>
      <c r="CK59" s="781">
        <v>0.48333333333333334</v>
      </c>
      <c r="CL59" s="780">
        <v>3</v>
      </c>
      <c r="CM59" s="781">
        <v>0</v>
      </c>
      <c r="CN59" s="780">
        <v>0</v>
      </c>
      <c r="CO59" s="781">
        <v>0.42678571428571432</v>
      </c>
      <c r="CP59" s="780">
        <v>28</v>
      </c>
      <c r="CQ59" s="781">
        <v>0.4123809523809524</v>
      </c>
      <c r="CR59" s="780">
        <v>21</v>
      </c>
      <c r="CS59" s="781">
        <v>0</v>
      </c>
      <c r="CT59" s="780">
        <v>0</v>
      </c>
    </row>
    <row r="60" spans="12:98" ht="11.25" customHeight="1">
      <c r="L60" s="802">
        <v>60</v>
      </c>
      <c r="M60" s="802">
        <v>30</v>
      </c>
      <c r="N60" s="803">
        <f t="shared" si="7"/>
        <v>0.385625</v>
      </c>
      <c r="O60" s="804">
        <f t="shared" si="5"/>
        <v>16</v>
      </c>
      <c r="P60" s="805">
        <f t="shared" si="8"/>
        <v>8749</v>
      </c>
      <c r="Q60" s="806">
        <f t="shared" si="9"/>
        <v>10.918959306969693</v>
      </c>
      <c r="R60" s="801"/>
      <c r="S60" s="781">
        <v>0</v>
      </c>
      <c r="T60" s="780">
        <v>0</v>
      </c>
      <c r="U60" s="781">
        <v>0.43578947368421056</v>
      </c>
      <c r="V60" s="780">
        <v>19</v>
      </c>
      <c r="W60" s="781">
        <v>0.38833333333333336</v>
      </c>
      <c r="X60" s="780">
        <v>12</v>
      </c>
      <c r="Y60" s="781">
        <v>0.4126086956521739</v>
      </c>
      <c r="Z60" s="780">
        <v>23</v>
      </c>
      <c r="AA60" s="781">
        <v>0.37624999999999997</v>
      </c>
      <c r="AB60" s="780">
        <v>16</v>
      </c>
      <c r="AC60" s="781">
        <v>0.38250000000000001</v>
      </c>
      <c r="AD60" s="780">
        <v>20</v>
      </c>
      <c r="AE60" s="781">
        <v>0</v>
      </c>
      <c r="AF60" s="780">
        <v>0</v>
      </c>
      <c r="AG60" s="781">
        <v>0.36166666666666664</v>
      </c>
      <c r="AH60" s="780">
        <v>18</v>
      </c>
      <c r="AI60" s="781">
        <v>0</v>
      </c>
      <c r="AJ60" s="780">
        <v>0</v>
      </c>
      <c r="AK60" s="781">
        <v>0</v>
      </c>
      <c r="AL60" s="780">
        <v>0</v>
      </c>
      <c r="AM60" s="781">
        <v>0.34</v>
      </c>
      <c r="AN60" s="780">
        <v>1</v>
      </c>
      <c r="AO60" s="781">
        <v>0</v>
      </c>
      <c r="AP60" s="780">
        <v>0</v>
      </c>
      <c r="AQ60" s="781">
        <v>0.38294117647058828</v>
      </c>
      <c r="AR60" s="780">
        <v>17</v>
      </c>
      <c r="AS60" s="781">
        <v>0</v>
      </c>
      <c r="AT60" s="780">
        <v>0</v>
      </c>
      <c r="AU60" s="781">
        <v>0.41307692307692306</v>
      </c>
      <c r="AV60" s="780">
        <v>13</v>
      </c>
      <c r="AW60" s="781">
        <v>0.34304347826086956</v>
      </c>
      <c r="AX60" s="780">
        <v>23</v>
      </c>
      <c r="AY60" s="781">
        <v>0.4018181818181818</v>
      </c>
      <c r="AZ60" s="780">
        <v>11</v>
      </c>
      <c r="BA60" s="781">
        <v>0.38733333333333336</v>
      </c>
      <c r="BB60" s="780">
        <v>15</v>
      </c>
      <c r="BC60" s="781">
        <v>0.44210526315789472</v>
      </c>
      <c r="BD60" s="780">
        <v>19</v>
      </c>
      <c r="BE60" s="781">
        <v>0.39880000000000004</v>
      </c>
      <c r="BF60" s="780">
        <v>25</v>
      </c>
      <c r="BG60" s="781">
        <v>0.44062499999999999</v>
      </c>
      <c r="BH60" s="780">
        <v>16</v>
      </c>
      <c r="BI60" s="781">
        <v>0</v>
      </c>
      <c r="BJ60" s="780">
        <v>0</v>
      </c>
      <c r="BK60" s="781">
        <v>0.33272727272727276</v>
      </c>
      <c r="BL60" s="780">
        <v>11</v>
      </c>
      <c r="BM60" s="781">
        <v>0.43863636363636366</v>
      </c>
      <c r="BN60" s="780">
        <v>22</v>
      </c>
      <c r="BO60" s="781">
        <v>0.38909090909090904</v>
      </c>
      <c r="BP60" s="780">
        <v>11</v>
      </c>
      <c r="BQ60" s="781">
        <v>0.34799999999999998</v>
      </c>
      <c r="BR60" s="780">
        <v>5</v>
      </c>
      <c r="BS60" s="781">
        <v>0.35428571428571431</v>
      </c>
      <c r="BT60" s="780">
        <v>7</v>
      </c>
      <c r="BU60" s="781">
        <v>0</v>
      </c>
      <c r="BV60" s="780">
        <v>0</v>
      </c>
      <c r="BW60" s="781">
        <v>0.38923076923076921</v>
      </c>
      <c r="BX60" s="780">
        <v>13</v>
      </c>
      <c r="BY60" s="781">
        <v>0</v>
      </c>
      <c r="BZ60" s="780">
        <v>0</v>
      </c>
      <c r="CA60" s="781">
        <v>0</v>
      </c>
      <c r="CB60" s="780">
        <v>0</v>
      </c>
      <c r="CC60" s="781">
        <v>0</v>
      </c>
      <c r="CD60" s="780">
        <v>0</v>
      </c>
      <c r="CE60" s="781">
        <v>0.34100000000000003</v>
      </c>
      <c r="CF60" s="780">
        <v>10</v>
      </c>
      <c r="CG60" s="781">
        <v>0.38724137931034486</v>
      </c>
      <c r="CH60" s="780">
        <v>29</v>
      </c>
      <c r="CI60" s="781">
        <v>0.385625</v>
      </c>
      <c r="CJ60" s="780">
        <v>16</v>
      </c>
      <c r="CK60" s="781">
        <v>0.38666666666666666</v>
      </c>
      <c r="CL60" s="780">
        <v>6</v>
      </c>
      <c r="CM60" s="781">
        <v>0</v>
      </c>
      <c r="CN60" s="780">
        <v>0</v>
      </c>
      <c r="CO60" s="781">
        <v>0.42894736842105258</v>
      </c>
      <c r="CP60" s="780">
        <v>19</v>
      </c>
      <c r="CQ60" s="781">
        <v>0.35846153846153844</v>
      </c>
      <c r="CR60" s="780">
        <v>13</v>
      </c>
      <c r="CS60" s="781">
        <v>0</v>
      </c>
      <c r="CT60" s="780">
        <v>0</v>
      </c>
    </row>
    <row r="61" spans="12:98" ht="11.25" customHeight="1">
      <c r="L61" s="802">
        <v>61</v>
      </c>
      <c r="M61" s="802">
        <v>31</v>
      </c>
      <c r="N61" s="803">
        <f t="shared" si="7"/>
        <v>0.36499999999999999</v>
      </c>
      <c r="O61" s="804">
        <f t="shared" si="5"/>
        <v>6</v>
      </c>
      <c r="P61" s="805">
        <f t="shared" si="8"/>
        <v>8755</v>
      </c>
      <c r="Q61" s="806">
        <f t="shared" si="9"/>
        <v>10.943572231900754</v>
      </c>
      <c r="R61" s="801"/>
      <c r="S61" s="781">
        <v>0</v>
      </c>
      <c r="T61" s="780">
        <v>0</v>
      </c>
      <c r="U61" s="781">
        <v>0.436</v>
      </c>
      <c r="V61" s="780">
        <v>5</v>
      </c>
      <c r="W61" s="781">
        <v>0.37857142857142856</v>
      </c>
      <c r="X61" s="780">
        <v>14</v>
      </c>
      <c r="Y61" s="781">
        <v>0.41333333333333333</v>
      </c>
      <c r="Z61" s="780">
        <v>12</v>
      </c>
      <c r="AA61" s="781">
        <v>0.28499999999999998</v>
      </c>
      <c r="AB61" s="780">
        <v>2</v>
      </c>
      <c r="AC61" s="781">
        <v>0.33923076923076922</v>
      </c>
      <c r="AD61" s="780">
        <v>13</v>
      </c>
      <c r="AE61" s="781">
        <v>0</v>
      </c>
      <c r="AF61" s="780">
        <v>0</v>
      </c>
      <c r="AG61" s="781">
        <v>0.34888888888888886</v>
      </c>
      <c r="AH61" s="780">
        <v>9</v>
      </c>
      <c r="AI61" s="781">
        <v>0</v>
      </c>
      <c r="AJ61" s="780">
        <v>0</v>
      </c>
      <c r="AK61" s="781">
        <v>0</v>
      </c>
      <c r="AL61" s="780">
        <v>0</v>
      </c>
      <c r="AM61" s="781">
        <v>0</v>
      </c>
      <c r="AN61" s="780">
        <v>0</v>
      </c>
      <c r="AO61" s="781">
        <v>0</v>
      </c>
      <c r="AP61" s="780">
        <v>0</v>
      </c>
      <c r="AQ61" s="781">
        <v>0.38</v>
      </c>
      <c r="AR61" s="780">
        <v>8</v>
      </c>
      <c r="AS61" s="781">
        <v>0</v>
      </c>
      <c r="AT61" s="780">
        <v>0</v>
      </c>
      <c r="AU61" s="781">
        <v>0.39</v>
      </c>
      <c r="AV61" s="780">
        <v>5</v>
      </c>
      <c r="AW61" s="781">
        <v>0.29894736842105263</v>
      </c>
      <c r="AX61" s="780">
        <v>19</v>
      </c>
      <c r="AY61" s="781">
        <v>0.36166666666666664</v>
      </c>
      <c r="AZ61" s="780">
        <v>6</v>
      </c>
      <c r="BA61" s="781">
        <v>0.3686666666666667</v>
      </c>
      <c r="BB61" s="780">
        <v>15</v>
      </c>
      <c r="BC61" s="781">
        <v>0.45333333333333337</v>
      </c>
      <c r="BD61" s="780">
        <v>3</v>
      </c>
      <c r="BE61" s="781">
        <v>0.3807692307692308</v>
      </c>
      <c r="BF61" s="780">
        <v>13</v>
      </c>
      <c r="BG61" s="781">
        <v>0.49249999999999999</v>
      </c>
      <c r="BH61" s="780">
        <v>4</v>
      </c>
      <c r="BI61" s="781">
        <v>0</v>
      </c>
      <c r="BJ61" s="780">
        <v>0</v>
      </c>
      <c r="BK61" s="781">
        <v>0.35</v>
      </c>
      <c r="BL61" s="780">
        <v>9</v>
      </c>
      <c r="BM61" s="781">
        <v>0.38294117647058828</v>
      </c>
      <c r="BN61" s="780">
        <v>17</v>
      </c>
      <c r="BO61" s="781">
        <v>0.33750000000000002</v>
      </c>
      <c r="BP61" s="780">
        <v>8</v>
      </c>
      <c r="BQ61" s="781">
        <v>0</v>
      </c>
      <c r="BR61" s="780">
        <v>0</v>
      </c>
      <c r="BS61" s="781">
        <v>0.32</v>
      </c>
      <c r="BT61" s="780">
        <v>5</v>
      </c>
      <c r="BU61" s="781">
        <v>0</v>
      </c>
      <c r="BV61" s="780">
        <v>0</v>
      </c>
      <c r="BW61" s="781">
        <v>0.35749999999999998</v>
      </c>
      <c r="BX61" s="780">
        <v>4</v>
      </c>
      <c r="BY61" s="781">
        <v>0</v>
      </c>
      <c r="BZ61" s="780">
        <v>0</v>
      </c>
      <c r="CA61" s="781">
        <v>0</v>
      </c>
      <c r="CB61" s="780">
        <v>0</v>
      </c>
      <c r="CC61" s="781">
        <v>0</v>
      </c>
      <c r="CD61" s="780">
        <v>0</v>
      </c>
      <c r="CE61" s="781">
        <v>0.3194736842105263</v>
      </c>
      <c r="CF61" s="780">
        <v>19</v>
      </c>
      <c r="CG61" s="781">
        <v>0.33416666666666667</v>
      </c>
      <c r="CH61" s="780">
        <v>12</v>
      </c>
      <c r="CI61" s="781">
        <v>0.36499999999999999</v>
      </c>
      <c r="CJ61" s="780">
        <v>6</v>
      </c>
      <c r="CK61" s="781">
        <v>0</v>
      </c>
      <c r="CL61" s="780">
        <v>0</v>
      </c>
      <c r="CM61" s="781">
        <v>0</v>
      </c>
      <c r="CN61" s="780">
        <v>0</v>
      </c>
      <c r="CO61" s="781">
        <v>0.36799999999999999</v>
      </c>
      <c r="CP61" s="780">
        <v>15</v>
      </c>
      <c r="CQ61" s="781">
        <v>0.36545454545454548</v>
      </c>
      <c r="CR61" s="780">
        <v>11</v>
      </c>
      <c r="CS61" s="781">
        <v>0</v>
      </c>
      <c r="CT61" s="780">
        <v>0</v>
      </c>
    </row>
    <row r="62" spans="12:98" ht="11.25" customHeight="1">
      <c r="L62" s="802">
        <v>62</v>
      </c>
      <c r="M62" s="802">
        <v>32</v>
      </c>
      <c r="N62" s="803">
        <f t="shared" si="7"/>
        <v>0.29499999999999998</v>
      </c>
      <c r="O62" s="804">
        <f t="shared" si="5"/>
        <v>2</v>
      </c>
      <c r="P62" s="805">
        <f t="shared" si="8"/>
        <v>8757</v>
      </c>
      <c r="Q62" s="806">
        <f t="shared" si="9"/>
        <v>9.3375463988818801</v>
      </c>
      <c r="R62" s="801"/>
      <c r="S62" s="781">
        <v>0</v>
      </c>
      <c r="T62" s="780">
        <v>0</v>
      </c>
      <c r="U62" s="781">
        <v>0.35</v>
      </c>
      <c r="V62" s="780">
        <v>1</v>
      </c>
      <c r="W62" s="781">
        <v>0.42499999999999999</v>
      </c>
      <c r="X62" s="780">
        <v>2</v>
      </c>
      <c r="Y62" s="781">
        <v>0.39714285714285713</v>
      </c>
      <c r="Z62" s="780">
        <v>7</v>
      </c>
      <c r="AA62" s="781">
        <v>0</v>
      </c>
      <c r="AB62" s="780">
        <v>0</v>
      </c>
      <c r="AC62" s="781">
        <v>0.32818181818181819</v>
      </c>
      <c r="AD62" s="780">
        <v>11</v>
      </c>
      <c r="AE62" s="781">
        <v>0</v>
      </c>
      <c r="AF62" s="780">
        <v>0</v>
      </c>
      <c r="AG62" s="781">
        <v>0.31769230769230772</v>
      </c>
      <c r="AH62" s="780">
        <v>13</v>
      </c>
      <c r="AI62" s="781">
        <v>0</v>
      </c>
      <c r="AJ62" s="780">
        <v>0</v>
      </c>
      <c r="AK62" s="781">
        <v>0</v>
      </c>
      <c r="AL62" s="780">
        <v>0</v>
      </c>
      <c r="AM62" s="781">
        <v>0</v>
      </c>
      <c r="AN62" s="780">
        <v>0</v>
      </c>
      <c r="AO62" s="781">
        <v>0</v>
      </c>
      <c r="AP62" s="780">
        <v>0</v>
      </c>
      <c r="AQ62" s="781">
        <v>0.34499999999999997</v>
      </c>
      <c r="AR62" s="780">
        <v>2</v>
      </c>
      <c r="AS62" s="781">
        <v>0</v>
      </c>
      <c r="AT62" s="780">
        <v>0</v>
      </c>
      <c r="AU62" s="781">
        <v>0</v>
      </c>
      <c r="AV62" s="780">
        <v>0</v>
      </c>
      <c r="AW62" s="781">
        <v>0.308</v>
      </c>
      <c r="AX62" s="780">
        <v>10</v>
      </c>
      <c r="AY62" s="781">
        <v>0.32666666666666666</v>
      </c>
      <c r="AZ62" s="780">
        <v>6</v>
      </c>
      <c r="BA62" s="781">
        <v>0.33111111111111113</v>
      </c>
      <c r="BB62" s="780">
        <v>9</v>
      </c>
      <c r="BC62" s="781">
        <v>0.37</v>
      </c>
      <c r="BD62" s="780">
        <v>1</v>
      </c>
      <c r="BE62" s="781">
        <v>0.39818181818181819</v>
      </c>
      <c r="BF62" s="780">
        <v>11</v>
      </c>
      <c r="BG62" s="781">
        <v>0</v>
      </c>
      <c r="BH62" s="780">
        <v>0</v>
      </c>
      <c r="BI62" s="781">
        <v>0</v>
      </c>
      <c r="BJ62" s="780">
        <v>0</v>
      </c>
      <c r="BK62" s="781">
        <v>0.25800000000000001</v>
      </c>
      <c r="BL62" s="780">
        <v>5</v>
      </c>
      <c r="BM62" s="781">
        <v>0.34833333333333338</v>
      </c>
      <c r="BN62" s="780">
        <v>6</v>
      </c>
      <c r="BO62" s="781">
        <v>0.312</v>
      </c>
      <c r="BP62" s="780">
        <v>5</v>
      </c>
      <c r="BQ62" s="781">
        <v>0</v>
      </c>
      <c r="BR62" s="780">
        <v>0</v>
      </c>
      <c r="BS62" s="781">
        <v>0.28499999999999998</v>
      </c>
      <c r="BT62" s="780">
        <v>2</v>
      </c>
      <c r="BU62" s="781">
        <v>0</v>
      </c>
      <c r="BV62" s="780">
        <v>0</v>
      </c>
      <c r="BW62" s="781">
        <v>0</v>
      </c>
      <c r="BX62" s="780">
        <v>0</v>
      </c>
      <c r="BY62" s="781">
        <v>0</v>
      </c>
      <c r="BZ62" s="780">
        <v>0</v>
      </c>
      <c r="CA62" s="781">
        <v>0</v>
      </c>
      <c r="CB62" s="780">
        <v>0</v>
      </c>
      <c r="CC62" s="781">
        <v>0</v>
      </c>
      <c r="CD62" s="780">
        <v>0</v>
      </c>
      <c r="CE62" s="781">
        <v>0.29076923076923078</v>
      </c>
      <c r="CF62" s="780">
        <v>13</v>
      </c>
      <c r="CG62" s="781">
        <v>0.32</v>
      </c>
      <c r="CH62" s="780">
        <v>8</v>
      </c>
      <c r="CI62" s="781">
        <v>0.29499999999999998</v>
      </c>
      <c r="CJ62" s="780">
        <v>2</v>
      </c>
      <c r="CK62" s="781">
        <v>0</v>
      </c>
      <c r="CL62" s="780">
        <v>0</v>
      </c>
      <c r="CM62" s="781">
        <v>0</v>
      </c>
      <c r="CN62" s="780">
        <v>0</v>
      </c>
      <c r="CO62" s="781">
        <v>0.39666666666666667</v>
      </c>
      <c r="CP62" s="780">
        <v>6</v>
      </c>
      <c r="CQ62" s="781">
        <v>0.33399999999999996</v>
      </c>
      <c r="CR62" s="780">
        <v>5</v>
      </c>
      <c r="CS62" s="781">
        <v>0</v>
      </c>
      <c r="CT62" s="780">
        <v>0</v>
      </c>
    </row>
    <row r="63" spans="12:98" ht="11.25" customHeight="1">
      <c r="L63" s="802">
        <v>63</v>
      </c>
      <c r="M63" s="802">
        <v>33</v>
      </c>
      <c r="N63" s="803">
        <f t="shared" si="7"/>
        <v>0.25</v>
      </c>
      <c r="O63" s="804">
        <f t="shared" si="5"/>
        <v>3</v>
      </c>
      <c r="P63" s="805">
        <f t="shared" si="8"/>
        <v>8760</v>
      </c>
      <c r="Q63" s="806">
        <f t="shared" si="9"/>
        <v>8.3587503438709483</v>
      </c>
      <c r="R63" s="801"/>
      <c r="S63" s="781">
        <v>0</v>
      </c>
      <c r="T63" s="780">
        <v>0</v>
      </c>
      <c r="U63" s="781">
        <v>0</v>
      </c>
      <c r="V63" s="780">
        <v>0</v>
      </c>
      <c r="W63" s="781">
        <v>0</v>
      </c>
      <c r="X63" s="780">
        <v>0</v>
      </c>
      <c r="Y63" s="781">
        <v>0.3175</v>
      </c>
      <c r="Z63" s="780">
        <v>4</v>
      </c>
      <c r="AA63" s="781">
        <v>0</v>
      </c>
      <c r="AB63" s="780">
        <v>0</v>
      </c>
      <c r="AC63" s="781">
        <v>0.32</v>
      </c>
      <c r="AD63" s="780">
        <v>3</v>
      </c>
      <c r="AE63" s="781">
        <v>0</v>
      </c>
      <c r="AF63" s="780">
        <v>0</v>
      </c>
      <c r="AG63" s="781">
        <v>0.27571428571428575</v>
      </c>
      <c r="AH63" s="780">
        <v>7</v>
      </c>
      <c r="AI63" s="781">
        <v>0</v>
      </c>
      <c r="AJ63" s="780">
        <v>0</v>
      </c>
      <c r="AK63" s="781">
        <v>0</v>
      </c>
      <c r="AL63" s="780">
        <v>0</v>
      </c>
      <c r="AM63" s="781">
        <v>0</v>
      </c>
      <c r="AN63" s="780">
        <v>0</v>
      </c>
      <c r="AO63" s="781">
        <v>0</v>
      </c>
      <c r="AP63" s="780">
        <v>0</v>
      </c>
      <c r="AQ63" s="781">
        <v>0.27</v>
      </c>
      <c r="AR63" s="780">
        <v>1</v>
      </c>
      <c r="AS63" s="781">
        <v>0</v>
      </c>
      <c r="AT63" s="780">
        <v>0</v>
      </c>
      <c r="AU63" s="781">
        <v>0</v>
      </c>
      <c r="AV63" s="780">
        <v>0</v>
      </c>
      <c r="AW63" s="781">
        <v>0.2623076923076923</v>
      </c>
      <c r="AX63" s="780">
        <v>13</v>
      </c>
      <c r="AY63" s="781">
        <v>0.29499999999999998</v>
      </c>
      <c r="AZ63" s="780">
        <v>6</v>
      </c>
      <c r="BA63" s="781">
        <v>0.245</v>
      </c>
      <c r="BB63" s="780">
        <v>2</v>
      </c>
      <c r="BC63" s="781">
        <v>0</v>
      </c>
      <c r="BD63" s="780">
        <v>0</v>
      </c>
      <c r="BE63" s="781">
        <v>0.34166666666666662</v>
      </c>
      <c r="BF63" s="780">
        <v>6</v>
      </c>
      <c r="BG63" s="781">
        <v>0</v>
      </c>
      <c r="BH63" s="780">
        <v>0</v>
      </c>
      <c r="BI63" s="781">
        <v>0</v>
      </c>
      <c r="BJ63" s="780">
        <v>0</v>
      </c>
      <c r="BK63" s="781">
        <v>0.27</v>
      </c>
      <c r="BL63" s="780">
        <v>1</v>
      </c>
      <c r="BM63" s="781">
        <v>0.31571428571428573</v>
      </c>
      <c r="BN63" s="780">
        <v>7</v>
      </c>
      <c r="BO63" s="781">
        <v>0</v>
      </c>
      <c r="BP63" s="780">
        <v>0</v>
      </c>
      <c r="BQ63" s="781">
        <v>0</v>
      </c>
      <c r="BR63" s="780">
        <v>0</v>
      </c>
      <c r="BS63" s="781">
        <v>0</v>
      </c>
      <c r="BT63" s="780">
        <v>0</v>
      </c>
      <c r="BU63" s="781">
        <v>0</v>
      </c>
      <c r="BV63" s="780">
        <v>0</v>
      </c>
      <c r="BW63" s="781">
        <v>0</v>
      </c>
      <c r="BX63" s="780">
        <v>0</v>
      </c>
      <c r="BY63" s="781">
        <v>0</v>
      </c>
      <c r="BZ63" s="780">
        <v>0</v>
      </c>
      <c r="CA63" s="781">
        <v>0</v>
      </c>
      <c r="CB63" s="780">
        <v>0</v>
      </c>
      <c r="CC63" s="781">
        <v>0</v>
      </c>
      <c r="CD63" s="780">
        <v>0</v>
      </c>
      <c r="CE63" s="781">
        <v>0.32333333333333336</v>
      </c>
      <c r="CF63" s="780">
        <v>3</v>
      </c>
      <c r="CG63" s="781">
        <v>0.27500000000000002</v>
      </c>
      <c r="CH63" s="780">
        <v>2</v>
      </c>
      <c r="CI63" s="781">
        <v>0.25</v>
      </c>
      <c r="CJ63" s="780">
        <v>3</v>
      </c>
      <c r="CK63" s="781">
        <v>0</v>
      </c>
      <c r="CL63" s="780">
        <v>0</v>
      </c>
      <c r="CM63" s="781">
        <v>0</v>
      </c>
      <c r="CN63" s="780">
        <v>0</v>
      </c>
      <c r="CO63" s="781">
        <v>0</v>
      </c>
      <c r="CP63" s="780">
        <v>0</v>
      </c>
      <c r="CQ63" s="781">
        <v>0.24</v>
      </c>
      <c r="CR63" s="780">
        <v>1</v>
      </c>
      <c r="CS63" s="781">
        <v>0</v>
      </c>
      <c r="CT63" s="780">
        <v>0</v>
      </c>
    </row>
    <row r="64" spans="12:98">
      <c r="L64" s="802">
        <v>64</v>
      </c>
      <c r="M64" s="802">
        <v>34</v>
      </c>
      <c r="N64" s="803">
        <f t="shared" si="7"/>
        <v>0</v>
      </c>
      <c r="O64" s="804">
        <f t="shared" si="5"/>
        <v>0</v>
      </c>
      <c r="P64" s="805">
        <f t="shared" si="8"/>
        <v>8760</v>
      </c>
      <c r="Q64" s="806">
        <f t="shared" si="9"/>
        <v>0</v>
      </c>
      <c r="R64" s="801"/>
      <c r="S64" s="781">
        <v>0</v>
      </c>
      <c r="T64" s="780">
        <v>0</v>
      </c>
      <c r="U64" s="781">
        <v>0</v>
      </c>
      <c r="V64" s="780">
        <v>0</v>
      </c>
      <c r="W64" s="781">
        <v>0</v>
      </c>
      <c r="X64" s="780">
        <v>0</v>
      </c>
      <c r="Y64" s="781">
        <v>0.29199999999999998</v>
      </c>
      <c r="Z64" s="780">
        <v>5</v>
      </c>
      <c r="AA64" s="781">
        <v>0</v>
      </c>
      <c r="AB64" s="780">
        <v>0</v>
      </c>
      <c r="AC64" s="781">
        <v>0.23</v>
      </c>
      <c r="AD64" s="780">
        <v>4</v>
      </c>
      <c r="AE64" s="781">
        <v>0</v>
      </c>
      <c r="AF64" s="780">
        <v>0</v>
      </c>
      <c r="AG64" s="781">
        <v>0.24399999999999999</v>
      </c>
      <c r="AH64" s="780">
        <v>5</v>
      </c>
      <c r="AI64" s="781">
        <v>0</v>
      </c>
      <c r="AJ64" s="780">
        <v>0</v>
      </c>
      <c r="AK64" s="781">
        <v>0</v>
      </c>
      <c r="AL64" s="780">
        <v>0</v>
      </c>
      <c r="AM64" s="781">
        <v>0</v>
      </c>
      <c r="AN64" s="780">
        <v>0</v>
      </c>
      <c r="AO64" s="781">
        <v>0</v>
      </c>
      <c r="AP64" s="780">
        <v>0</v>
      </c>
      <c r="AQ64" s="781">
        <v>0</v>
      </c>
      <c r="AR64" s="780">
        <v>0</v>
      </c>
      <c r="AS64" s="781">
        <v>0</v>
      </c>
      <c r="AT64" s="780">
        <v>0</v>
      </c>
      <c r="AU64" s="781">
        <v>0</v>
      </c>
      <c r="AV64" s="780">
        <v>0</v>
      </c>
      <c r="AW64" s="781">
        <v>0.25</v>
      </c>
      <c r="AX64" s="780">
        <v>5</v>
      </c>
      <c r="AY64" s="781">
        <v>0.28999999999999998</v>
      </c>
      <c r="AZ64" s="780">
        <v>2</v>
      </c>
      <c r="BA64" s="781">
        <v>0.22666666666666668</v>
      </c>
      <c r="BB64" s="780">
        <v>3</v>
      </c>
      <c r="BC64" s="781">
        <v>0</v>
      </c>
      <c r="BD64" s="780">
        <v>0</v>
      </c>
      <c r="BE64" s="781">
        <v>0.31</v>
      </c>
      <c r="BF64" s="780">
        <v>2</v>
      </c>
      <c r="BG64" s="781">
        <v>0</v>
      </c>
      <c r="BH64" s="780">
        <v>0</v>
      </c>
      <c r="BI64" s="781">
        <v>0</v>
      </c>
      <c r="BJ64" s="780">
        <v>0</v>
      </c>
      <c r="BK64" s="781">
        <v>0.22</v>
      </c>
      <c r="BL64" s="780">
        <v>1</v>
      </c>
      <c r="BM64" s="781">
        <v>0.27333333333333332</v>
      </c>
      <c r="BN64" s="780">
        <v>3</v>
      </c>
      <c r="BO64" s="781">
        <v>0</v>
      </c>
      <c r="BP64" s="780">
        <v>0</v>
      </c>
      <c r="BQ64" s="781">
        <v>0</v>
      </c>
      <c r="BR64" s="780">
        <v>0</v>
      </c>
      <c r="BS64" s="781">
        <v>0</v>
      </c>
      <c r="BT64" s="780">
        <v>0</v>
      </c>
      <c r="BU64" s="781">
        <v>0</v>
      </c>
      <c r="BV64" s="780">
        <v>0</v>
      </c>
      <c r="BW64" s="781">
        <v>0</v>
      </c>
      <c r="BX64" s="780">
        <v>0</v>
      </c>
      <c r="BY64" s="781">
        <v>0</v>
      </c>
      <c r="BZ64" s="780">
        <v>0</v>
      </c>
      <c r="CA64" s="781">
        <v>0</v>
      </c>
      <c r="CB64" s="780">
        <v>0</v>
      </c>
      <c r="CC64" s="781">
        <v>0</v>
      </c>
      <c r="CD64" s="780">
        <v>0</v>
      </c>
      <c r="CE64" s="781">
        <v>0.2225</v>
      </c>
      <c r="CF64" s="780">
        <v>4</v>
      </c>
      <c r="CG64" s="781">
        <v>0.27</v>
      </c>
      <c r="CH64" s="780">
        <v>2</v>
      </c>
      <c r="CI64" s="781">
        <v>0</v>
      </c>
      <c r="CJ64" s="780">
        <v>0</v>
      </c>
      <c r="CK64" s="781">
        <v>0</v>
      </c>
      <c r="CL64" s="780">
        <v>0</v>
      </c>
      <c r="CM64" s="781">
        <v>0</v>
      </c>
      <c r="CN64" s="780">
        <v>0</v>
      </c>
      <c r="CO64" s="781">
        <v>0</v>
      </c>
      <c r="CP64" s="780">
        <v>0</v>
      </c>
      <c r="CQ64" s="781">
        <v>0.23</v>
      </c>
      <c r="CR64" s="780">
        <v>2</v>
      </c>
      <c r="CS64" s="781">
        <v>0</v>
      </c>
      <c r="CT64" s="780">
        <v>0</v>
      </c>
    </row>
    <row r="65" spans="1:98">
      <c r="L65" s="780">
        <v>65</v>
      </c>
      <c r="M65" s="815">
        <v>35</v>
      </c>
      <c r="N65" s="803">
        <f t="shared" si="7"/>
        <v>0</v>
      </c>
      <c r="O65" s="804">
        <f t="shared" si="5"/>
        <v>0</v>
      </c>
      <c r="P65" s="816">
        <f t="shared" si="8"/>
        <v>8760</v>
      </c>
      <c r="Q65" s="806">
        <f t="shared" si="9"/>
        <v>0</v>
      </c>
      <c r="S65" s="781">
        <v>0</v>
      </c>
      <c r="T65" s="780">
        <v>0</v>
      </c>
      <c r="U65" s="781">
        <v>0</v>
      </c>
      <c r="V65" s="780">
        <v>0</v>
      </c>
      <c r="W65" s="781">
        <v>0</v>
      </c>
      <c r="X65" s="780">
        <v>0</v>
      </c>
      <c r="Y65" s="781">
        <v>0.3</v>
      </c>
      <c r="Z65" s="780">
        <v>2</v>
      </c>
      <c r="AA65" s="781">
        <v>0</v>
      </c>
      <c r="AB65" s="780">
        <v>0</v>
      </c>
      <c r="AC65" s="781">
        <v>0</v>
      </c>
      <c r="AD65" s="780">
        <v>0</v>
      </c>
      <c r="AE65" s="781">
        <v>0</v>
      </c>
      <c r="AF65" s="780">
        <v>0</v>
      </c>
      <c r="AG65" s="781">
        <v>0.23250000000000001</v>
      </c>
      <c r="AH65" s="780">
        <v>4</v>
      </c>
      <c r="AI65" s="781">
        <v>0</v>
      </c>
      <c r="AJ65" s="780">
        <v>0</v>
      </c>
      <c r="AK65" s="781">
        <v>0</v>
      </c>
      <c r="AL65" s="780">
        <v>0</v>
      </c>
      <c r="AM65" s="781">
        <v>0</v>
      </c>
      <c r="AN65" s="780">
        <v>0</v>
      </c>
      <c r="AO65" s="781">
        <v>0</v>
      </c>
      <c r="AP65" s="780">
        <v>0</v>
      </c>
      <c r="AQ65" s="781">
        <v>0</v>
      </c>
      <c r="AR65" s="780">
        <v>0</v>
      </c>
      <c r="AS65" s="781">
        <v>0</v>
      </c>
      <c r="AT65" s="780">
        <v>0</v>
      </c>
      <c r="AU65" s="781">
        <v>0</v>
      </c>
      <c r="AV65" s="780">
        <v>0</v>
      </c>
      <c r="AW65" s="781">
        <v>0.27500000000000002</v>
      </c>
      <c r="AX65" s="780">
        <v>2</v>
      </c>
      <c r="AY65" s="781">
        <v>0</v>
      </c>
      <c r="AZ65" s="780">
        <v>0</v>
      </c>
      <c r="BA65" s="781">
        <v>0</v>
      </c>
      <c r="BB65" s="780">
        <v>0</v>
      </c>
      <c r="BC65" s="781">
        <v>0</v>
      </c>
      <c r="BD65" s="780">
        <v>0</v>
      </c>
      <c r="BE65" s="781">
        <v>0</v>
      </c>
      <c r="BF65" s="780">
        <v>0</v>
      </c>
      <c r="BG65" s="781">
        <v>0</v>
      </c>
      <c r="BH65" s="780">
        <v>0</v>
      </c>
      <c r="BI65" s="781">
        <v>0</v>
      </c>
      <c r="BJ65" s="780">
        <v>0</v>
      </c>
      <c r="BK65" s="781">
        <v>0</v>
      </c>
      <c r="BL65" s="780">
        <v>0</v>
      </c>
      <c r="BM65" s="781">
        <v>0</v>
      </c>
      <c r="BN65" s="780">
        <v>0</v>
      </c>
      <c r="BO65" s="781">
        <v>0</v>
      </c>
      <c r="BP65" s="780">
        <v>0</v>
      </c>
      <c r="BQ65" s="781">
        <v>0</v>
      </c>
      <c r="BR65" s="780">
        <v>0</v>
      </c>
      <c r="BS65" s="781">
        <v>0</v>
      </c>
      <c r="BT65" s="780">
        <v>0</v>
      </c>
      <c r="BU65" s="781">
        <v>0</v>
      </c>
      <c r="BV65" s="780">
        <v>0</v>
      </c>
      <c r="BW65" s="781">
        <v>0</v>
      </c>
      <c r="BX65" s="780">
        <v>0</v>
      </c>
      <c r="BY65" s="781">
        <v>0</v>
      </c>
      <c r="BZ65" s="780">
        <v>0</v>
      </c>
      <c r="CA65" s="781">
        <v>0</v>
      </c>
      <c r="CB65" s="780">
        <v>0</v>
      </c>
      <c r="CC65" s="781">
        <v>0</v>
      </c>
      <c r="CD65" s="780">
        <v>0</v>
      </c>
      <c r="CE65" s="781">
        <v>0.21</v>
      </c>
      <c r="CF65" s="780">
        <v>1</v>
      </c>
      <c r="CG65" s="781">
        <v>0</v>
      </c>
      <c r="CH65" s="780">
        <v>0</v>
      </c>
      <c r="CI65" s="781">
        <v>0</v>
      </c>
      <c r="CJ65" s="780">
        <v>0</v>
      </c>
      <c r="CK65" s="781">
        <v>0</v>
      </c>
      <c r="CL65" s="780">
        <v>0</v>
      </c>
      <c r="CM65" s="781">
        <v>0</v>
      </c>
      <c r="CN65" s="780">
        <v>0</v>
      </c>
      <c r="CO65" s="781">
        <v>0</v>
      </c>
      <c r="CP65" s="780">
        <v>0</v>
      </c>
      <c r="CQ65" s="781">
        <v>0</v>
      </c>
      <c r="CR65" s="780">
        <v>0</v>
      </c>
      <c r="CS65" s="781">
        <v>0</v>
      </c>
      <c r="CT65" s="780">
        <v>0</v>
      </c>
    </row>
    <row r="76" spans="1:98">
      <c r="A76" s="782"/>
      <c r="B76" s="782"/>
      <c r="C76" s="782"/>
      <c r="D76" s="782"/>
      <c r="E76" s="782"/>
      <c r="F76" s="782"/>
      <c r="G76" s="782"/>
      <c r="H76" s="782"/>
      <c r="I76" s="782"/>
      <c r="J76" s="782"/>
      <c r="K76" s="782"/>
    </row>
  </sheetData>
  <sheetProtection algorithmName="SHA-512" hashValue="d//R/7kITuDF1HZO8JIo6gcxvnd2g5EdiBAbyXPcsZ1RmDRyB0O2Gzc70jcrEP3SgAJx8V+kqelAzgjseyg3DA==" saltValue="83EUfxZpeh+K9AcumZfa8Q==" spinCount="100000" sheet="1" objects="1" scenarios="1"/>
  <pageMargins left="0.78740157480314965" right="0.78740157480314965" top="0.78740157480314965" bottom="0.78740157480314965" header="0.31496062992125984" footer="0.31496062992125984"/>
  <pageSetup paperSize="9" orientation="portrait" verticalDpi="180" r:id="rId1"/>
  <headerFooter>
    <oddHeader>&amp;LWärmepumpe Erdsonden 35°C&amp;CVersion 1.3&amp;R4/20/2025</oddHeader>
    <oddFooter>&amp;R&amp;F&amp;CSIA 2024, Copyright © 2017 by SIA Zurich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blRaum">
    <tabColor theme="9" tint="0.59999389629810485"/>
  </sheetPr>
  <dimension ref="A2:AV147"/>
  <sheetViews>
    <sheetView showGridLines="0" topLeftCell="G1" zoomScale="80" zoomScaleNormal="80" workbookViewId="0">
      <selection activeCell="AK58" sqref="AK58"/>
    </sheetView>
  </sheetViews>
  <sheetFormatPr baseColWidth="10" defaultColWidth="11.4609375" defaultRowHeight="12.45"/>
  <cols>
    <col min="1" max="1" width="6" style="169" bestFit="1" customWidth="1"/>
    <col min="2" max="2" width="28.23046875" style="169" bestFit="1" customWidth="1"/>
    <col min="3" max="7" width="7.53515625" style="197" customWidth="1"/>
    <col min="8" max="8" width="9.53515625" style="197" customWidth="1"/>
    <col min="9" max="9" width="7.53515625" style="197" customWidth="1"/>
    <col min="10" max="10" width="1.765625" style="197" customWidth="1"/>
    <col min="11" max="17" width="7.53515625" style="169" customWidth="1"/>
    <col min="18" max="18" width="1.765625" style="169" customWidth="1"/>
    <col min="19" max="25" width="8.23046875" style="169" customWidth="1"/>
    <col min="26" max="26" width="8.53515625" style="169" customWidth="1"/>
    <col min="27" max="27" width="5.53515625" style="169" bestFit="1" customWidth="1"/>
    <col min="28" max="28" width="27.4609375" style="169" customWidth="1"/>
    <col min="29" max="34" width="6.53515625" style="169" customWidth="1"/>
    <col min="35" max="35" width="2" style="169" customWidth="1"/>
    <col min="36" max="41" width="6.53515625" style="169" customWidth="1"/>
    <col min="42" max="42" width="2.23046875" style="169" customWidth="1"/>
    <col min="43" max="48" width="6.53515625" style="169" customWidth="1"/>
    <col min="49" max="16384" width="11.4609375" style="169"/>
  </cols>
  <sheetData>
    <row r="2" spans="1:48" ht="17.600000000000001">
      <c r="A2" s="167"/>
      <c r="B2" s="167" t="s">
        <v>229</v>
      </c>
      <c r="C2" s="168"/>
      <c r="D2" s="168"/>
      <c r="E2" s="168"/>
      <c r="F2" s="168"/>
      <c r="G2" s="168"/>
      <c r="H2" s="168"/>
      <c r="I2" s="168"/>
      <c r="J2" s="168"/>
      <c r="K2" s="167"/>
      <c r="L2" s="167"/>
      <c r="M2" s="167"/>
      <c r="N2" s="167"/>
      <c r="O2" s="167"/>
      <c r="P2" s="167"/>
      <c r="Q2" s="167"/>
      <c r="R2" s="167"/>
      <c r="S2" s="167"/>
      <c r="T2" s="167"/>
      <c r="U2" s="167"/>
      <c r="V2" s="167"/>
      <c r="W2" s="167"/>
      <c r="X2" s="167"/>
      <c r="Y2" s="167"/>
      <c r="AA2" s="170"/>
      <c r="AB2" s="170" t="s">
        <v>230</v>
      </c>
      <c r="AC2" s="171"/>
      <c r="AD2" s="171"/>
      <c r="AE2" s="171"/>
      <c r="AF2" s="171"/>
      <c r="AG2" s="171"/>
      <c r="AH2" s="171"/>
      <c r="AI2" s="171"/>
      <c r="AJ2" s="170"/>
      <c r="AK2" s="170"/>
      <c r="AL2" s="170"/>
      <c r="AM2" s="170"/>
      <c r="AN2" s="170"/>
      <c r="AO2" s="170"/>
      <c r="AP2" s="170"/>
      <c r="AQ2" s="170"/>
      <c r="AR2" s="170"/>
      <c r="AS2" s="170"/>
      <c r="AT2" s="170"/>
      <c r="AU2" s="170"/>
      <c r="AV2" s="170"/>
    </row>
    <row r="3" spans="1:48">
      <c r="B3" s="169">
        <v>1</v>
      </c>
      <c r="C3" s="197">
        <f>B3+1</f>
        <v>2</v>
      </c>
      <c r="D3" s="197">
        <f>C3+1</f>
        <v>3</v>
      </c>
      <c r="E3" s="197">
        <f t="shared" ref="E3:AV3" si="0">D3+1</f>
        <v>4</v>
      </c>
      <c r="F3" s="197">
        <f t="shared" si="0"/>
        <v>5</v>
      </c>
      <c r="G3" s="197">
        <f t="shared" si="0"/>
        <v>6</v>
      </c>
      <c r="H3" s="197">
        <f t="shared" si="0"/>
        <v>7</v>
      </c>
      <c r="I3" s="197">
        <f t="shared" si="0"/>
        <v>8</v>
      </c>
      <c r="J3" s="197">
        <f t="shared" si="0"/>
        <v>9</v>
      </c>
      <c r="K3" s="197">
        <f t="shared" si="0"/>
        <v>10</v>
      </c>
      <c r="L3" s="197">
        <f t="shared" si="0"/>
        <v>11</v>
      </c>
      <c r="M3" s="197">
        <f t="shared" si="0"/>
        <v>12</v>
      </c>
      <c r="N3" s="197">
        <f t="shared" si="0"/>
        <v>13</v>
      </c>
      <c r="O3" s="197">
        <f t="shared" si="0"/>
        <v>14</v>
      </c>
      <c r="P3" s="197">
        <f t="shared" si="0"/>
        <v>15</v>
      </c>
      <c r="Q3" s="197">
        <f t="shared" si="0"/>
        <v>16</v>
      </c>
      <c r="R3" s="197">
        <f t="shared" si="0"/>
        <v>17</v>
      </c>
      <c r="S3" s="197">
        <f t="shared" si="0"/>
        <v>18</v>
      </c>
      <c r="T3" s="197">
        <f t="shared" si="0"/>
        <v>19</v>
      </c>
      <c r="U3" s="197">
        <f t="shared" si="0"/>
        <v>20</v>
      </c>
      <c r="V3" s="197">
        <f t="shared" si="0"/>
        <v>21</v>
      </c>
      <c r="W3" s="197">
        <f t="shared" si="0"/>
        <v>22</v>
      </c>
      <c r="X3" s="197">
        <f t="shared" si="0"/>
        <v>23</v>
      </c>
      <c r="Y3" s="197">
        <f t="shared" si="0"/>
        <v>24</v>
      </c>
      <c r="Z3" s="197">
        <f t="shared" si="0"/>
        <v>25</v>
      </c>
      <c r="AA3" s="197">
        <f t="shared" si="0"/>
        <v>26</v>
      </c>
      <c r="AB3" s="197">
        <f t="shared" si="0"/>
        <v>27</v>
      </c>
      <c r="AC3" s="197">
        <f t="shared" si="0"/>
        <v>28</v>
      </c>
      <c r="AD3" s="197">
        <f t="shared" si="0"/>
        <v>29</v>
      </c>
      <c r="AE3" s="197">
        <f t="shared" si="0"/>
        <v>30</v>
      </c>
      <c r="AF3" s="197">
        <f t="shared" si="0"/>
        <v>31</v>
      </c>
      <c r="AG3" s="197">
        <f t="shared" si="0"/>
        <v>32</v>
      </c>
      <c r="AH3" s="197">
        <f t="shared" si="0"/>
        <v>33</v>
      </c>
      <c r="AI3" s="197">
        <f t="shared" si="0"/>
        <v>34</v>
      </c>
      <c r="AJ3" s="197">
        <f t="shared" si="0"/>
        <v>35</v>
      </c>
      <c r="AK3" s="197">
        <f t="shared" si="0"/>
        <v>36</v>
      </c>
      <c r="AL3" s="197">
        <f t="shared" si="0"/>
        <v>37</v>
      </c>
      <c r="AM3" s="197">
        <f t="shared" si="0"/>
        <v>38</v>
      </c>
      <c r="AN3" s="197">
        <f t="shared" si="0"/>
        <v>39</v>
      </c>
      <c r="AO3" s="197">
        <f t="shared" si="0"/>
        <v>40</v>
      </c>
      <c r="AP3" s="197">
        <f t="shared" si="0"/>
        <v>41</v>
      </c>
      <c r="AQ3" s="197">
        <f t="shared" si="0"/>
        <v>42</v>
      </c>
      <c r="AR3" s="197">
        <f t="shared" si="0"/>
        <v>43</v>
      </c>
      <c r="AS3" s="197">
        <f t="shared" si="0"/>
        <v>44</v>
      </c>
      <c r="AT3" s="197">
        <f t="shared" si="0"/>
        <v>45</v>
      </c>
      <c r="AU3" s="197">
        <f t="shared" si="0"/>
        <v>46</v>
      </c>
      <c r="AV3" s="197">
        <f t="shared" si="0"/>
        <v>47</v>
      </c>
    </row>
    <row r="4" spans="1:48">
      <c r="A4" s="172"/>
      <c r="B4" s="173"/>
      <c r="C4" s="174" t="s">
        <v>231</v>
      </c>
      <c r="D4" s="175"/>
      <c r="E4" s="175"/>
      <c r="F4" s="175"/>
      <c r="G4" s="175"/>
      <c r="H4" s="175"/>
      <c r="I4" s="176"/>
      <c r="J4" s="177"/>
      <c r="K4" s="178" t="s">
        <v>232</v>
      </c>
      <c r="L4" s="179"/>
      <c r="M4" s="179"/>
      <c r="N4" s="179"/>
      <c r="O4" s="179"/>
      <c r="P4" s="179"/>
      <c r="Q4" s="180"/>
      <c r="R4" s="177"/>
      <c r="S4" s="181" t="s">
        <v>233</v>
      </c>
      <c r="T4" s="303"/>
      <c r="U4" s="182"/>
      <c r="V4" s="182"/>
      <c r="W4" s="182"/>
      <c r="X4" s="182"/>
      <c r="Y4" s="183"/>
      <c r="AA4" s="172"/>
      <c r="AB4" s="173"/>
      <c r="AC4" s="184" t="s">
        <v>231</v>
      </c>
      <c r="AD4" s="185"/>
      <c r="AE4" s="185"/>
      <c r="AF4" s="185"/>
      <c r="AG4" s="185"/>
      <c r="AH4" s="185"/>
      <c r="AI4" s="186"/>
      <c r="AJ4" s="187" t="s">
        <v>232</v>
      </c>
      <c r="AK4" s="188"/>
      <c r="AL4" s="188"/>
      <c r="AM4" s="188"/>
      <c r="AN4" s="188"/>
      <c r="AO4" s="188"/>
      <c r="AP4" s="186"/>
      <c r="AQ4" s="189" t="s">
        <v>233</v>
      </c>
      <c r="AR4" s="304"/>
      <c r="AS4" s="190"/>
      <c r="AT4" s="190"/>
      <c r="AU4" s="190"/>
      <c r="AV4" s="190"/>
    </row>
    <row r="5" spans="1:48" ht="95.25" customHeight="1">
      <c r="A5" s="191"/>
      <c r="B5" s="191" t="s">
        <v>152</v>
      </c>
      <c r="C5" s="192" t="s">
        <v>219</v>
      </c>
      <c r="D5" s="192" t="s">
        <v>602</v>
      </c>
      <c r="E5" s="192" t="s">
        <v>0</v>
      </c>
      <c r="F5" s="192" t="s">
        <v>1</v>
      </c>
      <c r="G5" s="192" t="s">
        <v>147</v>
      </c>
      <c r="H5" s="192" t="s">
        <v>148</v>
      </c>
      <c r="I5" s="192" t="s">
        <v>78</v>
      </c>
      <c r="J5" s="177"/>
      <c r="K5" s="192" t="s">
        <v>219</v>
      </c>
      <c r="L5" s="192" t="s">
        <v>602</v>
      </c>
      <c r="M5" s="192" t="s">
        <v>0</v>
      </c>
      <c r="N5" s="192" t="s">
        <v>1</v>
      </c>
      <c r="O5" s="192" t="s">
        <v>147</v>
      </c>
      <c r="P5" s="192" t="s">
        <v>148</v>
      </c>
      <c r="Q5" s="192" t="s">
        <v>78</v>
      </c>
      <c r="R5" s="177"/>
      <c r="S5" s="192" t="s">
        <v>219</v>
      </c>
      <c r="T5" s="192" t="s">
        <v>602</v>
      </c>
      <c r="U5" s="192" t="s">
        <v>0</v>
      </c>
      <c r="V5" s="192" t="s">
        <v>1</v>
      </c>
      <c r="W5" s="192" t="s">
        <v>147</v>
      </c>
      <c r="X5" s="192" t="s">
        <v>148</v>
      </c>
      <c r="Y5" s="192" t="s">
        <v>78</v>
      </c>
      <c r="AA5" s="191"/>
      <c r="AB5" s="191" t="s">
        <v>152</v>
      </c>
      <c r="AC5" s="192" t="s">
        <v>219</v>
      </c>
      <c r="AD5" s="192" t="s">
        <v>602</v>
      </c>
      <c r="AE5" s="192" t="s">
        <v>0</v>
      </c>
      <c r="AF5" s="192" t="s">
        <v>1</v>
      </c>
      <c r="AG5" s="192" t="s">
        <v>147</v>
      </c>
      <c r="AH5" s="192" t="s">
        <v>148</v>
      </c>
      <c r="AI5" s="186"/>
      <c r="AJ5" s="192" t="s">
        <v>219</v>
      </c>
      <c r="AK5" s="192" t="s">
        <v>602</v>
      </c>
      <c r="AL5" s="192" t="s">
        <v>0</v>
      </c>
      <c r="AM5" s="192" t="s">
        <v>1</v>
      </c>
      <c r="AN5" s="192" t="s">
        <v>147</v>
      </c>
      <c r="AO5" s="192" t="s">
        <v>148</v>
      </c>
      <c r="AP5" s="186"/>
      <c r="AQ5" s="192" t="s">
        <v>219</v>
      </c>
      <c r="AR5" s="192" t="s">
        <v>602</v>
      </c>
      <c r="AS5" s="192" t="s">
        <v>0</v>
      </c>
      <c r="AT5" s="192" t="s">
        <v>1</v>
      </c>
      <c r="AU5" s="192" t="s">
        <v>147</v>
      </c>
      <c r="AV5" s="192" t="s">
        <v>148</v>
      </c>
    </row>
    <row r="6" spans="1:48">
      <c r="A6" s="191"/>
      <c r="B6" s="191"/>
      <c r="C6" s="193" t="s">
        <v>84</v>
      </c>
      <c r="D6" s="193" t="s">
        <v>84</v>
      </c>
      <c r="E6" s="193" t="s">
        <v>84</v>
      </c>
      <c r="F6" s="193" t="s">
        <v>84</v>
      </c>
      <c r="G6" s="193" t="s">
        <v>84</v>
      </c>
      <c r="H6" s="193" t="s">
        <v>84</v>
      </c>
      <c r="I6" s="193" t="s">
        <v>84</v>
      </c>
      <c r="J6" s="177"/>
      <c r="K6" s="193" t="s">
        <v>84</v>
      </c>
      <c r="L6" s="193" t="s">
        <v>84</v>
      </c>
      <c r="M6" s="193" t="s">
        <v>84</v>
      </c>
      <c r="N6" s="193" t="s">
        <v>84</v>
      </c>
      <c r="O6" s="193" t="s">
        <v>84</v>
      </c>
      <c r="P6" s="193" t="s">
        <v>84</v>
      </c>
      <c r="Q6" s="193" t="s">
        <v>84</v>
      </c>
      <c r="R6" s="177"/>
      <c r="S6" s="193" t="s">
        <v>84</v>
      </c>
      <c r="T6" s="193" t="s">
        <v>84</v>
      </c>
      <c r="U6" s="193" t="s">
        <v>84</v>
      </c>
      <c r="V6" s="193" t="s">
        <v>84</v>
      </c>
      <c r="W6" s="193" t="s">
        <v>84</v>
      </c>
      <c r="X6" s="193" t="s">
        <v>84</v>
      </c>
      <c r="Y6" s="193" t="s">
        <v>84</v>
      </c>
      <c r="AA6" s="191"/>
      <c r="AB6" s="191"/>
      <c r="AC6" s="193" t="s">
        <v>137</v>
      </c>
      <c r="AD6" s="193" t="s">
        <v>137</v>
      </c>
      <c r="AE6" s="193" t="s">
        <v>137</v>
      </c>
      <c r="AF6" s="193" t="s">
        <v>137</v>
      </c>
      <c r="AG6" s="193" t="s">
        <v>137</v>
      </c>
      <c r="AH6" s="193" t="s">
        <v>137</v>
      </c>
      <c r="AI6" s="186"/>
      <c r="AJ6" s="193" t="s">
        <v>137</v>
      </c>
      <c r="AK6" s="193" t="s">
        <v>137</v>
      </c>
      <c r="AL6" s="193" t="s">
        <v>137</v>
      </c>
      <c r="AM6" s="193" t="s">
        <v>137</v>
      </c>
      <c r="AN6" s="193" t="s">
        <v>137</v>
      </c>
      <c r="AO6" s="193" t="s">
        <v>137</v>
      </c>
      <c r="AP6" s="186"/>
      <c r="AQ6" s="193" t="s">
        <v>137</v>
      </c>
      <c r="AR6" s="193" t="s">
        <v>137</v>
      </c>
      <c r="AS6" s="193" t="s">
        <v>137</v>
      </c>
      <c r="AT6" s="193" t="s">
        <v>137</v>
      </c>
      <c r="AU6" s="193" t="s">
        <v>137</v>
      </c>
      <c r="AV6" s="193" t="s">
        <v>137</v>
      </c>
    </row>
    <row r="7" spans="1:48">
      <c r="A7" s="194" t="s">
        <v>37</v>
      </c>
      <c r="B7" s="278" t="str">
        <f>Begriffe!F13</f>
        <v>Wohnen MFH</v>
      </c>
      <c r="C7" s="305">
        <v>21.6</v>
      </c>
      <c r="D7" s="306">
        <v>0</v>
      </c>
      <c r="E7" s="307">
        <v>2.5203750000000005</v>
      </c>
      <c r="F7" s="305">
        <v>4.0646400000000007</v>
      </c>
      <c r="G7" s="992">
        <f>Qhc_Klimastat!E7</f>
        <v>4.9837705373583496</v>
      </c>
      <c r="H7" s="992">
        <f>Qhc_Klimastat!G7</f>
        <v>14.853826963696013</v>
      </c>
      <c r="I7" s="305">
        <v>16.936000000000003</v>
      </c>
      <c r="J7" s="177"/>
      <c r="K7" s="305">
        <v>10.8</v>
      </c>
      <c r="L7" s="306">
        <v>0</v>
      </c>
      <c r="M7" s="307">
        <v>1.1038194444444445</v>
      </c>
      <c r="N7" s="305">
        <v>1.8142400000000003</v>
      </c>
      <c r="O7" s="992">
        <f>Qhc_Klimastat!I7</f>
        <v>2.7573988470164092</v>
      </c>
      <c r="P7" s="992">
        <f>Qhc_Klimastat!K7</f>
        <v>10.295092187550507</v>
      </c>
      <c r="Q7" s="305">
        <v>16.936000000000003</v>
      </c>
      <c r="R7" s="177"/>
      <c r="S7" s="305">
        <v>25.92</v>
      </c>
      <c r="T7" s="306">
        <v>0</v>
      </c>
      <c r="U7" s="307">
        <v>3.2404821428571435</v>
      </c>
      <c r="V7" s="305">
        <v>0</v>
      </c>
      <c r="W7" s="992">
        <f>Qhc_Klimastat!M7</f>
        <v>0</v>
      </c>
      <c r="X7" s="992">
        <f>Qhc_Klimastat!O7</f>
        <v>103.48468160361931</v>
      </c>
      <c r="Y7" s="305">
        <v>16.936000000000003</v>
      </c>
      <c r="AA7" s="194">
        <v>1.01</v>
      </c>
      <c r="AB7" s="191" t="s">
        <v>234</v>
      </c>
      <c r="AC7" s="195">
        <v>10</v>
      </c>
      <c r="AD7" s="195">
        <v>0</v>
      </c>
      <c r="AE7" s="195">
        <v>2.9791666666666674</v>
      </c>
      <c r="AF7" s="195">
        <v>0.46400000000000008</v>
      </c>
      <c r="AG7" s="993">
        <f>Qhc_Klimastat!D7</f>
        <v>20.553281394957988</v>
      </c>
      <c r="AH7" s="993">
        <f>Qhc_Klimastat!F7</f>
        <v>15.500120588235296</v>
      </c>
      <c r="AI7" s="186"/>
      <c r="AJ7" s="195">
        <v>5</v>
      </c>
      <c r="AK7" s="195">
        <v>0</v>
      </c>
      <c r="AL7" s="195">
        <v>1.9097222222222221</v>
      </c>
      <c r="AM7" s="195">
        <v>0.28171428571428575</v>
      </c>
      <c r="AN7" s="993">
        <f>Qhc_Klimastat!H7</f>
        <v>14.240663435563025</v>
      </c>
      <c r="AO7" s="993">
        <f>Qhc_Klimastat!J7</f>
        <v>11.59279411764706</v>
      </c>
      <c r="AP7" s="186"/>
      <c r="AQ7" s="195">
        <v>12</v>
      </c>
      <c r="AR7" s="195">
        <v>0</v>
      </c>
      <c r="AS7" s="195">
        <v>3.8303571428571437</v>
      </c>
      <c r="AT7" s="195">
        <v>0</v>
      </c>
      <c r="AU7" s="993">
        <f>Qhc_Klimastat!L7</f>
        <v>0</v>
      </c>
      <c r="AV7" s="993">
        <f>Qhc_Klimastat!N7</f>
        <v>53.893647058823539</v>
      </c>
    </row>
    <row r="8" spans="1:48">
      <c r="A8" s="194" t="s">
        <v>235</v>
      </c>
      <c r="B8" s="278" t="str">
        <f>Begriffe!F14</f>
        <v>Wohnen EFH</v>
      </c>
      <c r="C8" s="305">
        <v>17.8</v>
      </c>
      <c r="D8" s="306">
        <v>0</v>
      </c>
      <c r="E8" s="307">
        <v>2.5203750000000005</v>
      </c>
      <c r="F8" s="305">
        <v>2.0831279999999999</v>
      </c>
      <c r="G8" s="992">
        <f>Qhc_Klimastat!E8</f>
        <v>1.9700502433015938</v>
      </c>
      <c r="H8" s="992">
        <f>Qhc_Klimastat!G8</f>
        <v>24.217696734376666</v>
      </c>
      <c r="I8" s="305">
        <v>13.548800000000002</v>
      </c>
      <c r="J8" s="177"/>
      <c r="K8" s="305">
        <v>8.9</v>
      </c>
      <c r="L8" s="306">
        <v>0</v>
      </c>
      <c r="M8" s="307">
        <v>1.1038194444444445</v>
      </c>
      <c r="N8" s="305">
        <v>0.83294959999999996</v>
      </c>
      <c r="O8" s="992">
        <f>Qhc_Klimastat!I8</f>
        <v>1.0097607654588956</v>
      </c>
      <c r="P8" s="992">
        <f>Qhc_Klimastat!K8</f>
        <v>15.880890965221152</v>
      </c>
      <c r="Q8" s="305">
        <v>13.548800000000002</v>
      </c>
      <c r="R8" s="177"/>
      <c r="S8" s="305">
        <v>21.36</v>
      </c>
      <c r="T8" s="306">
        <v>0</v>
      </c>
      <c r="U8" s="307">
        <v>3.2404821428571435</v>
      </c>
      <c r="V8" s="305">
        <v>0</v>
      </c>
      <c r="W8" s="992">
        <f>Qhc_Klimastat!M8</f>
        <v>0</v>
      </c>
      <c r="X8" s="992">
        <f>Qhc_Klimastat!O8</f>
        <v>164.9364473976139</v>
      </c>
      <c r="Y8" s="305">
        <v>13.548800000000002</v>
      </c>
      <c r="AA8" s="194">
        <v>1.02</v>
      </c>
      <c r="AB8" s="191" t="s">
        <v>236</v>
      </c>
      <c r="AC8" s="195">
        <v>10</v>
      </c>
      <c r="AD8" s="195">
        <v>0</v>
      </c>
      <c r="AE8" s="195">
        <v>2.9791666666666674</v>
      </c>
      <c r="AF8" s="195">
        <v>0.23779999999999996</v>
      </c>
      <c r="AG8" s="993">
        <f>Qhc_Klimastat!D8</f>
        <v>20.075569623529418</v>
      </c>
      <c r="AH8" s="993">
        <f>Qhc_Klimastat!F8</f>
        <v>19.009120588235294</v>
      </c>
      <c r="AI8" s="186"/>
      <c r="AJ8" s="195">
        <v>5</v>
      </c>
      <c r="AK8" s="195">
        <v>0</v>
      </c>
      <c r="AL8" s="195">
        <v>1.9097222222222221</v>
      </c>
      <c r="AM8" s="195">
        <v>0.12933999999999998</v>
      </c>
      <c r="AN8" s="993">
        <f>Qhc_Klimastat!H8</f>
        <v>14.053562640188236</v>
      </c>
      <c r="AO8" s="993">
        <f>Qhc_Klimastat!J8</f>
        <v>13.436911764705886</v>
      </c>
      <c r="AP8" s="186"/>
      <c r="AQ8" s="195">
        <v>12</v>
      </c>
      <c r="AR8" s="195">
        <v>0</v>
      </c>
      <c r="AS8" s="195">
        <v>3.8303571428571437</v>
      </c>
      <c r="AT8" s="195">
        <v>0</v>
      </c>
      <c r="AU8" s="993">
        <f>Qhc_Klimastat!L8</f>
        <v>0</v>
      </c>
      <c r="AV8" s="993">
        <f>Qhc_Klimastat!N8</f>
        <v>70.406588235294123</v>
      </c>
    </row>
    <row r="9" spans="1:48">
      <c r="A9" s="194" t="s">
        <v>38</v>
      </c>
      <c r="B9" s="278" t="str">
        <f>Begriffe!F15</f>
        <v xml:space="preserve">Hotelzimmer </v>
      </c>
      <c r="C9" s="305">
        <v>22.08</v>
      </c>
      <c r="D9" s="306">
        <v>0</v>
      </c>
      <c r="E9" s="307">
        <v>4.0337916666666676</v>
      </c>
      <c r="F9" s="305">
        <v>7.7623333333333342</v>
      </c>
      <c r="G9" s="992">
        <f>Qhc_Klimastat!E9</f>
        <v>6.171230830811707</v>
      </c>
      <c r="H9" s="992">
        <f>Qhc_Klimastat!G9</f>
        <v>16.01682655712278</v>
      </c>
      <c r="I9" s="305">
        <v>39.517333333333333</v>
      </c>
      <c r="J9" s="177"/>
      <c r="K9" s="305">
        <v>11.04</v>
      </c>
      <c r="L9" s="306">
        <v>0</v>
      </c>
      <c r="M9" s="307">
        <v>2.0625</v>
      </c>
      <c r="N9" s="305">
        <v>3.575893333333334</v>
      </c>
      <c r="O9" s="992">
        <f>Qhc_Klimastat!I9</f>
        <v>4.0834655005850102</v>
      </c>
      <c r="P9" s="992">
        <f>Qhc_Klimastat!K9</f>
        <v>10.473669295744653</v>
      </c>
      <c r="Q9" s="305">
        <v>39.517333333333333</v>
      </c>
      <c r="R9" s="177"/>
      <c r="S9" s="305">
        <v>33.119999999999997</v>
      </c>
      <c r="T9" s="306">
        <v>0</v>
      </c>
      <c r="U9" s="307">
        <v>5.1863035714285726</v>
      </c>
      <c r="V9" s="305">
        <v>12.843133333333332</v>
      </c>
      <c r="W9" s="992">
        <f>Qhc_Klimastat!M9</f>
        <v>0</v>
      </c>
      <c r="X9" s="992">
        <f>Qhc_Klimastat!O9</f>
        <v>102.50188967825707</v>
      </c>
      <c r="Y9" s="305">
        <v>39.517333333333333</v>
      </c>
      <c r="AA9" s="194">
        <v>2.0099999999999998</v>
      </c>
      <c r="AB9" s="191" t="s">
        <v>5</v>
      </c>
      <c r="AC9" s="195">
        <v>12</v>
      </c>
      <c r="AD9" s="195">
        <v>0</v>
      </c>
      <c r="AE9" s="195">
        <v>5.9583333333333348</v>
      </c>
      <c r="AF9" s="195">
        <v>1.0633333333333335</v>
      </c>
      <c r="AG9" s="993">
        <f>Qhc_Klimastat!D9</f>
        <v>21.769929411764707</v>
      </c>
      <c r="AH9" s="993">
        <f>Qhc_Klimastat!F9</f>
        <v>15.500120588235296</v>
      </c>
      <c r="AI9" s="186"/>
      <c r="AJ9" s="195">
        <v>6</v>
      </c>
      <c r="AK9" s="195">
        <v>0</v>
      </c>
      <c r="AL9" s="195">
        <v>3.8194444444444442</v>
      </c>
      <c r="AM9" s="195">
        <v>0.65733333333333344</v>
      </c>
      <c r="AN9" s="993">
        <f>Qhc_Klimastat!H9</f>
        <v>14.746732330039215</v>
      </c>
      <c r="AO9" s="993">
        <f>Qhc_Klimastat!J9</f>
        <v>11.59279411764706</v>
      </c>
      <c r="AP9" s="186"/>
      <c r="AQ9" s="195">
        <v>18</v>
      </c>
      <c r="AR9" s="195">
        <v>0</v>
      </c>
      <c r="AS9" s="195">
        <v>7.6607142857142874</v>
      </c>
      <c r="AT9" s="195">
        <v>1.7593333333333334</v>
      </c>
      <c r="AU9" s="993">
        <f>Qhc_Klimastat!L9</f>
        <v>0</v>
      </c>
      <c r="AV9" s="993">
        <f>Qhc_Klimastat!N9</f>
        <v>48.78964705882354</v>
      </c>
    </row>
    <row r="10" spans="1:48">
      <c r="A10" s="194" t="s">
        <v>39</v>
      </c>
      <c r="B10" s="278" t="str">
        <f>Begriffe!F16</f>
        <v>Empfang, Lobby</v>
      </c>
      <c r="C10" s="305">
        <v>20.93</v>
      </c>
      <c r="D10" s="306">
        <v>0</v>
      </c>
      <c r="E10" s="307">
        <v>21.054027777777776</v>
      </c>
      <c r="F10" s="305">
        <v>13.8446</v>
      </c>
      <c r="G10" s="992">
        <f>Qhc_Klimastat!E10</f>
        <v>20.63311217112328</v>
      </c>
      <c r="H10" s="992">
        <f>Qhc_Klimastat!G10</f>
        <v>9.9544986308410159</v>
      </c>
      <c r="I10" s="305">
        <v>0</v>
      </c>
      <c r="J10" s="177"/>
      <c r="K10" s="305">
        <v>8.9700000000000006</v>
      </c>
      <c r="L10" s="306">
        <v>0</v>
      </c>
      <c r="M10" s="307">
        <v>10.396367521367521</v>
      </c>
      <c r="N10" s="305">
        <v>7.2766800000000007</v>
      </c>
      <c r="O10" s="992">
        <f>Qhc_Klimastat!I10</f>
        <v>16.739145452144246</v>
      </c>
      <c r="P10" s="992">
        <f>Qhc_Klimastat!K10</f>
        <v>4.2585957132921832</v>
      </c>
      <c r="Q10" s="305">
        <v>0</v>
      </c>
      <c r="R10" s="177"/>
      <c r="S10" s="305">
        <v>44.85</v>
      </c>
      <c r="T10" s="306">
        <v>0</v>
      </c>
      <c r="U10" s="307">
        <v>27.069464285714282</v>
      </c>
      <c r="V10" s="305">
        <v>22.906519999999997</v>
      </c>
      <c r="W10" s="992">
        <f>Qhc_Klimastat!M10</f>
        <v>8.8984902707223377</v>
      </c>
      <c r="X10" s="992">
        <f>Qhc_Klimastat!O10</f>
        <v>59.359122937777826</v>
      </c>
      <c r="Y10" s="305">
        <v>0</v>
      </c>
      <c r="AA10" s="194">
        <v>2.02</v>
      </c>
      <c r="AB10" s="191" t="s">
        <v>6</v>
      </c>
      <c r="AC10" s="195">
        <v>7</v>
      </c>
      <c r="AD10" s="195">
        <v>0</v>
      </c>
      <c r="AE10" s="195">
        <v>5.1388888888888884</v>
      </c>
      <c r="AF10" s="195">
        <v>3.19</v>
      </c>
      <c r="AG10" s="993">
        <f>Qhc_Klimastat!D10</f>
        <v>41.711546771241842</v>
      </c>
      <c r="AH10" s="993">
        <f>Qhc_Klimastat!F10</f>
        <v>14.852167320261438</v>
      </c>
      <c r="AI10" s="186"/>
      <c r="AJ10" s="195">
        <v>3</v>
      </c>
      <c r="AK10" s="195">
        <v>0</v>
      </c>
      <c r="AL10" s="195">
        <v>3.2941595441595437</v>
      </c>
      <c r="AM10" s="195">
        <v>1.972</v>
      </c>
      <c r="AN10" s="993">
        <f>Qhc_Klimastat!H10</f>
        <v>32.945477228758172</v>
      </c>
      <c r="AO10" s="993">
        <f>Qhc_Klimastat!J10</f>
        <v>11.84407843137255</v>
      </c>
      <c r="AP10" s="186"/>
      <c r="AQ10" s="195">
        <v>15</v>
      </c>
      <c r="AR10" s="195">
        <v>0</v>
      </c>
      <c r="AS10" s="195">
        <v>6.6071428571428568</v>
      </c>
      <c r="AT10" s="195">
        <v>5.2779999999999996</v>
      </c>
      <c r="AU10" s="993">
        <f>Qhc_Klimastat!L10</f>
        <v>60.058373856209151</v>
      </c>
      <c r="AV10" s="993">
        <f>Qhc_Klimastat!N10</f>
        <v>39.164554248366009</v>
      </c>
    </row>
    <row r="11" spans="1:48">
      <c r="A11" s="194" t="s">
        <v>40</v>
      </c>
      <c r="B11" s="278" t="str">
        <f>Begriffe!F17</f>
        <v>Einzel-, Gruppenbüro</v>
      </c>
      <c r="C11" s="305">
        <v>32.01</v>
      </c>
      <c r="D11" s="306">
        <v>0</v>
      </c>
      <c r="E11" s="307">
        <v>13.445833333333333</v>
      </c>
      <c r="F11" s="305">
        <v>4.4432142857142862</v>
      </c>
      <c r="G11" s="992">
        <f>Qhc_Klimastat!E11</f>
        <v>14.430134539350295</v>
      </c>
      <c r="H11" s="992">
        <f>Qhc_Klimastat!G11</f>
        <v>10.76159676840914</v>
      </c>
      <c r="I11" s="305">
        <v>2.5950857142857147</v>
      </c>
      <c r="J11" s="177"/>
      <c r="K11" s="305">
        <v>17.46</v>
      </c>
      <c r="L11" s="306">
        <v>0</v>
      </c>
      <c r="M11" s="307">
        <v>1.6639957264957266</v>
      </c>
      <c r="N11" s="305">
        <v>1.9297428571428574</v>
      </c>
      <c r="O11" s="992">
        <f>Qhc_Klimastat!I11</f>
        <v>5.2320633783383244</v>
      </c>
      <c r="P11" s="992">
        <f>Qhc_Klimastat!K11</f>
        <v>9.8054468506331105</v>
      </c>
      <c r="Q11" s="305">
        <v>2.5950857142857147</v>
      </c>
      <c r="R11" s="177"/>
      <c r="S11" s="305">
        <v>52.38</v>
      </c>
      <c r="T11" s="306">
        <v>0</v>
      </c>
      <c r="U11" s="307">
        <v>17.287500000000005</v>
      </c>
      <c r="V11" s="305">
        <v>7.3515000000000006</v>
      </c>
      <c r="W11" s="992">
        <f>Qhc_Klimastat!M11</f>
        <v>4.5630273875502505</v>
      </c>
      <c r="X11" s="992">
        <f>Qhc_Klimastat!O11</f>
        <v>67.095197137449262</v>
      </c>
      <c r="Y11" s="305">
        <v>2.5950857142857147</v>
      </c>
      <c r="AA11" s="194">
        <v>3.01</v>
      </c>
      <c r="AB11" s="191" t="s">
        <v>7</v>
      </c>
      <c r="AC11" s="195">
        <v>11</v>
      </c>
      <c r="AD11" s="195">
        <v>0</v>
      </c>
      <c r="AE11" s="195">
        <v>9.7222222222222232</v>
      </c>
      <c r="AF11" s="195">
        <v>1.1392857142857145</v>
      </c>
      <c r="AG11" s="993">
        <f>Qhc_Klimastat!D11</f>
        <v>43.656469243697479</v>
      </c>
      <c r="AH11" s="993">
        <f>Qhc_Klimastat!F11</f>
        <v>19.82335098039216</v>
      </c>
      <c r="AI11" s="186"/>
      <c r="AJ11" s="195">
        <v>6</v>
      </c>
      <c r="AK11" s="195">
        <v>0</v>
      </c>
      <c r="AL11" s="195">
        <v>6.232193732193732</v>
      </c>
      <c r="AM11" s="195">
        <v>0.7042857142857144</v>
      </c>
      <c r="AN11" s="993">
        <f>Qhc_Klimastat!H11</f>
        <v>31.311380168067227</v>
      </c>
      <c r="AO11" s="993">
        <f>Qhc_Klimastat!J11</f>
        <v>15.144684313725492</v>
      </c>
      <c r="AP11" s="186"/>
      <c r="AQ11" s="195">
        <v>18</v>
      </c>
      <c r="AR11" s="195">
        <v>0</v>
      </c>
      <c r="AS11" s="195">
        <v>12.500000000000002</v>
      </c>
      <c r="AT11" s="195">
        <v>1.8850000000000002</v>
      </c>
      <c r="AU11" s="993">
        <f>Qhc_Klimastat!L11</f>
        <v>65.611632492997202</v>
      </c>
      <c r="AV11" s="993">
        <f>Qhc_Klimastat!N11</f>
        <v>50.167131372549022</v>
      </c>
    </row>
    <row r="12" spans="1:48">
      <c r="A12" s="194" t="s">
        <v>41</v>
      </c>
      <c r="B12" s="278" t="str">
        <f>Begriffe!F18</f>
        <v>Grossraumbüro</v>
      </c>
      <c r="C12" s="305">
        <v>43.65</v>
      </c>
      <c r="D12" s="306">
        <v>0</v>
      </c>
      <c r="E12" s="307">
        <v>14.750694444444441</v>
      </c>
      <c r="F12" s="305">
        <v>6.2205000000000004</v>
      </c>
      <c r="G12" s="992">
        <f>Qhc_Klimastat!E12</f>
        <v>22.522730030268949</v>
      </c>
      <c r="H12" s="992">
        <f>Qhc_Klimastat!G12</f>
        <v>1.8931654459333342</v>
      </c>
      <c r="I12" s="305">
        <v>3.6331200000000008</v>
      </c>
      <c r="J12" s="177"/>
      <c r="K12" s="305">
        <v>29.1</v>
      </c>
      <c r="L12" s="306">
        <v>0</v>
      </c>
      <c r="M12" s="307">
        <v>3.8928952991452981</v>
      </c>
      <c r="N12" s="305">
        <v>2.7016399999999998</v>
      </c>
      <c r="O12" s="992">
        <f>Qhc_Klimastat!I12</f>
        <v>12.273826949554088</v>
      </c>
      <c r="P12" s="992">
        <f>Qhc_Klimastat!K12</f>
        <v>1.9991640367702697</v>
      </c>
      <c r="Q12" s="305">
        <v>3.6331200000000008</v>
      </c>
      <c r="R12" s="177"/>
      <c r="S12" s="305">
        <v>58.2</v>
      </c>
      <c r="T12" s="306">
        <v>0</v>
      </c>
      <c r="U12" s="307">
        <v>18.96517857142857</v>
      </c>
      <c r="V12" s="305">
        <v>10.292099999999998</v>
      </c>
      <c r="W12" s="992">
        <f>Qhc_Klimastat!M12</f>
        <v>6.1460743125130044</v>
      </c>
      <c r="X12" s="992">
        <f>Qhc_Klimastat!O12</f>
        <v>48.529661339641557</v>
      </c>
      <c r="Y12" s="305">
        <v>3.6331200000000008</v>
      </c>
      <c r="AA12" s="194">
        <v>3.02</v>
      </c>
      <c r="AB12" s="191" t="s">
        <v>8</v>
      </c>
      <c r="AC12" s="195">
        <v>15</v>
      </c>
      <c r="AD12" s="195">
        <v>0</v>
      </c>
      <c r="AE12" s="195">
        <v>7.6388888888888875</v>
      </c>
      <c r="AF12" s="195">
        <v>1.595</v>
      </c>
      <c r="AG12" s="993">
        <f>Qhc_Klimastat!D12</f>
        <v>38.024635764705877</v>
      </c>
      <c r="AH12" s="993">
        <f>Qhc_Klimastat!F12</f>
        <v>12.556125490196077</v>
      </c>
      <c r="AI12" s="186"/>
      <c r="AJ12" s="195">
        <v>10</v>
      </c>
      <c r="AK12" s="195">
        <v>0</v>
      </c>
      <c r="AL12" s="195">
        <v>4.8967236467236459</v>
      </c>
      <c r="AM12" s="195">
        <v>0.98599999999999999</v>
      </c>
      <c r="AN12" s="993">
        <f>Qhc_Klimastat!H12</f>
        <v>29.068722823529409</v>
      </c>
      <c r="AO12" s="993">
        <f>Qhc_Klimastat!J12</f>
        <v>9.8051176470588253</v>
      </c>
      <c r="AP12" s="186"/>
      <c r="AQ12" s="195">
        <v>20</v>
      </c>
      <c r="AR12" s="195">
        <v>0</v>
      </c>
      <c r="AS12" s="195">
        <v>9.8214285714285712</v>
      </c>
      <c r="AT12" s="195">
        <v>2.6389999999999998</v>
      </c>
      <c r="AU12" s="993">
        <f>Qhc_Klimastat!L12</f>
        <v>52.367529411764707</v>
      </c>
      <c r="AV12" s="993">
        <f>Qhc_Klimastat!N12</f>
        <v>37.292386274509802</v>
      </c>
    </row>
    <row r="13" spans="1:48">
      <c r="A13" s="194" t="s">
        <v>42</v>
      </c>
      <c r="B13" s="278" t="str">
        <f>Begriffe!F19</f>
        <v>Sitzungszimmer</v>
      </c>
      <c r="C13" s="305">
        <v>11.28</v>
      </c>
      <c r="D13" s="306">
        <v>0</v>
      </c>
      <c r="E13" s="307">
        <v>7.3402777777777777</v>
      </c>
      <c r="F13" s="305">
        <v>5.7951666666666659</v>
      </c>
      <c r="G13" s="992">
        <f>Qhc_Klimastat!E13</f>
        <v>7.6126663130843584</v>
      </c>
      <c r="H13" s="992">
        <f>Qhc_Klimastat!G13</f>
        <v>18.41339519815179</v>
      </c>
      <c r="I13" s="305">
        <v>0</v>
      </c>
      <c r="J13" s="177"/>
      <c r="K13" s="305">
        <v>5.64</v>
      </c>
      <c r="L13" s="306">
        <v>0</v>
      </c>
      <c r="M13" s="307">
        <v>0.90990028490028496</v>
      </c>
      <c r="N13" s="305">
        <v>3.5824666666666669</v>
      </c>
      <c r="O13" s="992">
        <f>Qhc_Klimastat!I13</f>
        <v>4.6175137741005718</v>
      </c>
      <c r="P13" s="992">
        <f>Qhc_Klimastat!K13</f>
        <v>12.760188792503513</v>
      </c>
      <c r="Q13" s="305">
        <v>0</v>
      </c>
      <c r="R13" s="177"/>
      <c r="S13" s="305">
        <v>16.920000000000002</v>
      </c>
      <c r="T13" s="306">
        <v>0</v>
      </c>
      <c r="U13" s="307">
        <v>9.4375000000000018</v>
      </c>
      <c r="V13" s="305">
        <v>15.834</v>
      </c>
      <c r="W13" s="992">
        <f>Qhc_Klimastat!M13</f>
        <v>0</v>
      </c>
      <c r="X13" s="992">
        <f>Qhc_Klimastat!O13</f>
        <v>102.87718047633325</v>
      </c>
      <c r="Y13" s="305">
        <v>0</v>
      </c>
      <c r="AA13" s="194">
        <v>3.03</v>
      </c>
      <c r="AB13" s="191" t="s">
        <v>9</v>
      </c>
      <c r="AC13" s="195">
        <v>8</v>
      </c>
      <c r="AD13" s="195">
        <v>0</v>
      </c>
      <c r="AE13" s="195">
        <v>9.7222222222222232</v>
      </c>
      <c r="AF13" s="195">
        <v>5.3166666666666664</v>
      </c>
      <c r="AG13" s="993">
        <f>Qhc_Klimastat!D13</f>
        <v>69.821311372549019</v>
      </c>
      <c r="AH13" s="993">
        <f>Qhc_Klimastat!F13</f>
        <v>19.82335098039216</v>
      </c>
      <c r="AI13" s="186"/>
      <c r="AJ13" s="195">
        <v>4</v>
      </c>
      <c r="AK13" s="195">
        <v>0</v>
      </c>
      <c r="AL13" s="195">
        <v>6.232193732193732</v>
      </c>
      <c r="AM13" s="195">
        <v>3.2866666666666666</v>
      </c>
      <c r="AN13" s="993">
        <f>Qhc_Klimastat!H13</f>
        <v>56.843444705882348</v>
      </c>
      <c r="AO13" s="993">
        <f>Qhc_Klimastat!J13</f>
        <v>15.144684313725492</v>
      </c>
      <c r="AP13" s="186"/>
      <c r="AQ13" s="195">
        <v>12</v>
      </c>
      <c r="AR13" s="195">
        <v>0</v>
      </c>
      <c r="AS13" s="195">
        <v>12.500000000000002</v>
      </c>
      <c r="AT13" s="195">
        <v>8.7966666666666669</v>
      </c>
      <c r="AU13" s="993">
        <f>Qhc_Klimastat!L13</f>
        <v>0</v>
      </c>
      <c r="AV13" s="993">
        <f>Qhc_Klimastat!N13</f>
        <v>50.167131372549022</v>
      </c>
    </row>
    <row r="14" spans="1:48">
      <c r="A14" s="194" t="s">
        <v>43</v>
      </c>
      <c r="B14" s="278" t="str">
        <f>Begriffe!F20</f>
        <v>Schalterhalle, Empfang</v>
      </c>
      <c r="C14" s="305">
        <v>11.64</v>
      </c>
      <c r="D14" s="306">
        <v>0</v>
      </c>
      <c r="E14" s="307">
        <v>8.1203055555555554</v>
      </c>
      <c r="F14" s="305">
        <v>5.1837499999999999</v>
      </c>
      <c r="G14" s="992">
        <f>Qhc_Klimastat!E14</f>
        <v>5.4342964331961694</v>
      </c>
      <c r="H14" s="992">
        <f>Qhc_Klimastat!G14</f>
        <v>12.089743328874869</v>
      </c>
      <c r="I14" s="305">
        <v>0</v>
      </c>
      <c r="J14" s="177"/>
      <c r="K14" s="305">
        <v>5.82</v>
      </c>
      <c r="L14" s="306">
        <v>0</v>
      </c>
      <c r="M14" s="307">
        <v>2.4804131054131053</v>
      </c>
      <c r="N14" s="305">
        <v>2.2513666666666667</v>
      </c>
      <c r="O14" s="992">
        <f>Qhc_Klimastat!I14</f>
        <v>2.7727382550737736</v>
      </c>
      <c r="P14" s="992">
        <f>Qhc_Klimastat!K14</f>
        <v>8.833679631660992</v>
      </c>
      <c r="Q14" s="305">
        <v>0</v>
      </c>
      <c r="R14" s="177"/>
      <c r="S14" s="305">
        <v>29.1</v>
      </c>
      <c r="T14" s="306">
        <v>0</v>
      </c>
      <c r="U14" s="307">
        <v>10.440392857142859</v>
      </c>
      <c r="V14" s="305">
        <v>8.5767500000000005</v>
      </c>
      <c r="W14" s="992">
        <f>Qhc_Klimastat!M14</f>
        <v>2.0918257083511249</v>
      </c>
      <c r="X14" s="992">
        <f>Qhc_Klimastat!O14</f>
        <v>52.281197868793484</v>
      </c>
      <c r="Y14" s="305">
        <v>0</v>
      </c>
      <c r="AA14" s="194">
        <v>3.04</v>
      </c>
      <c r="AB14" s="191" t="s">
        <v>10</v>
      </c>
      <c r="AC14" s="195">
        <v>4</v>
      </c>
      <c r="AD14" s="195">
        <v>0</v>
      </c>
      <c r="AE14" s="195">
        <v>5.5277777777777786</v>
      </c>
      <c r="AF14" s="195">
        <v>1.3291666666666666</v>
      </c>
      <c r="AG14" s="993">
        <f>Qhc_Klimastat!D14</f>
        <v>29.388740915032681</v>
      </c>
      <c r="AH14" s="993">
        <f>Qhc_Klimastat!F14</f>
        <v>14.338807843137255</v>
      </c>
      <c r="AI14" s="186"/>
      <c r="AJ14" s="195">
        <v>2</v>
      </c>
      <c r="AK14" s="195">
        <v>0</v>
      </c>
      <c r="AL14" s="195">
        <v>3.5434472934472931</v>
      </c>
      <c r="AM14" s="195">
        <v>0.82166666666666666</v>
      </c>
      <c r="AN14" s="993">
        <f>Qhc_Klimastat!H14</f>
        <v>22.354390588235297</v>
      </c>
      <c r="AO14" s="993">
        <f>Qhc_Klimastat!J14</f>
        <v>11.428496732026145</v>
      </c>
      <c r="AP14" s="186"/>
      <c r="AQ14" s="195">
        <v>10</v>
      </c>
      <c r="AR14" s="195">
        <v>0</v>
      </c>
      <c r="AS14" s="195">
        <v>7.1071428571428577</v>
      </c>
      <c r="AT14" s="195">
        <v>2.1991666666666667</v>
      </c>
      <c r="AU14" s="993">
        <f>Qhc_Klimastat!L14</f>
        <v>45.707602614379084</v>
      </c>
      <c r="AV14" s="993">
        <f>Qhc_Klimastat!N14</f>
        <v>37.889050980392156</v>
      </c>
    </row>
    <row r="15" spans="1:48">
      <c r="A15" s="194" t="s">
        <v>44</v>
      </c>
      <c r="B15" s="278" t="str">
        <f>Begriffe!F21</f>
        <v>Schulzimmer</v>
      </c>
      <c r="C15" s="305">
        <v>14.16</v>
      </c>
      <c r="D15" s="306">
        <v>0</v>
      </c>
      <c r="E15" s="307">
        <v>11.254563492063493</v>
      </c>
      <c r="F15" s="305">
        <v>4.2397999999999998</v>
      </c>
      <c r="G15" s="992">
        <f>Qhc_Klimastat!E15</f>
        <v>10.331204735219744</v>
      </c>
      <c r="H15" s="992">
        <f>Qhc_Klimastat!G15</f>
        <v>15.912593796418303</v>
      </c>
      <c r="I15" s="305">
        <v>3.9675039041095888</v>
      </c>
      <c r="J15" s="177"/>
      <c r="K15" s="305">
        <v>7.08</v>
      </c>
      <c r="L15" s="306">
        <v>0</v>
      </c>
      <c r="M15" s="307">
        <v>1.8228912291412294</v>
      </c>
      <c r="N15" s="305">
        <v>2.7808100000000002</v>
      </c>
      <c r="O15" s="992">
        <f>Qhc_Klimastat!I15</f>
        <v>5.8918493130591285</v>
      </c>
      <c r="P15" s="992">
        <f>Qhc_Klimastat!K15</f>
        <v>11.376908438645764</v>
      </c>
      <c r="Q15" s="305">
        <v>3.9675039041095888</v>
      </c>
      <c r="R15" s="177"/>
      <c r="S15" s="305">
        <v>21.24</v>
      </c>
      <c r="T15" s="306">
        <v>0</v>
      </c>
      <c r="U15" s="307">
        <v>14.47015306122449</v>
      </c>
      <c r="V15" s="305">
        <v>0</v>
      </c>
      <c r="W15" s="992">
        <f>Qhc_Klimastat!M15</f>
        <v>0</v>
      </c>
      <c r="X15" s="992">
        <f>Qhc_Klimastat!O15</f>
        <v>126.38845093337406</v>
      </c>
      <c r="Y15" s="305">
        <v>3.9675039041095888</v>
      </c>
      <c r="AA15" s="194">
        <v>4.01</v>
      </c>
      <c r="AB15" s="191" t="s">
        <v>11</v>
      </c>
      <c r="AC15" s="195">
        <v>8</v>
      </c>
      <c r="AD15" s="195">
        <v>0</v>
      </c>
      <c r="AE15" s="195">
        <v>8.5912698412698418</v>
      </c>
      <c r="AF15" s="195">
        <v>2.4650000000000003</v>
      </c>
      <c r="AG15" s="993">
        <f>Qhc_Klimastat!D15</f>
        <v>54.796008739495797</v>
      </c>
      <c r="AH15" s="993">
        <f>Qhc_Klimastat!F15</f>
        <v>19.377043697478996</v>
      </c>
      <c r="AI15" s="186"/>
      <c r="AJ15" s="195">
        <v>4</v>
      </c>
      <c r="AK15" s="195">
        <v>0</v>
      </c>
      <c r="AL15" s="195">
        <v>5.5072242572242578</v>
      </c>
      <c r="AM15" s="195">
        <v>1.6167500000000001</v>
      </c>
      <c r="AN15" s="993">
        <f>Qhc_Klimastat!H15</f>
        <v>43.880469243697476</v>
      </c>
      <c r="AO15" s="993">
        <f>Qhc_Klimastat!J15</f>
        <v>14.499828571428573</v>
      </c>
      <c r="AP15" s="186"/>
      <c r="AQ15" s="195">
        <v>12</v>
      </c>
      <c r="AR15" s="195">
        <v>0</v>
      </c>
      <c r="AS15" s="195">
        <v>11.045918367346939</v>
      </c>
      <c r="AT15" s="195">
        <v>0</v>
      </c>
      <c r="AU15" s="993">
        <f>Qhc_Klimastat!L15</f>
        <v>0</v>
      </c>
      <c r="AV15" s="993">
        <f>Qhc_Klimastat!N15</f>
        <v>60.188134453781529</v>
      </c>
    </row>
    <row r="16" spans="1:48">
      <c r="A16" s="194" t="s">
        <v>45</v>
      </c>
      <c r="B16" s="278" t="str">
        <f>Begriffe!F22</f>
        <v>Lehrerzimmer</v>
      </c>
      <c r="C16" s="305">
        <v>6.04</v>
      </c>
      <c r="D16" s="306">
        <v>0</v>
      </c>
      <c r="E16" s="307">
        <v>6.7433333333333341</v>
      </c>
      <c r="F16" s="305">
        <v>2.9580000000000006</v>
      </c>
      <c r="G16" s="992">
        <f>Qhc_Klimastat!E16</f>
        <v>4.5705353286407115</v>
      </c>
      <c r="H16" s="992">
        <f>Qhc_Klimastat!G16</f>
        <v>27.008858712198027</v>
      </c>
      <c r="I16" s="305">
        <v>0</v>
      </c>
      <c r="J16" s="177"/>
      <c r="K16" s="305">
        <v>3.02</v>
      </c>
      <c r="L16" s="306">
        <v>0</v>
      </c>
      <c r="M16" s="307">
        <v>0.68055555555555558</v>
      </c>
      <c r="N16" s="305">
        <v>1.9401000000000002</v>
      </c>
      <c r="O16" s="992">
        <f>Qhc_Klimastat!I16</f>
        <v>3.0089743575012369</v>
      </c>
      <c r="P16" s="992">
        <f>Qhc_Klimastat!K16</f>
        <v>17.354539749863328</v>
      </c>
      <c r="Q16" s="305">
        <v>0</v>
      </c>
      <c r="R16" s="177"/>
      <c r="S16" s="305">
        <v>9.06</v>
      </c>
      <c r="T16" s="306">
        <v>0</v>
      </c>
      <c r="U16" s="307">
        <v>8.6700000000000017</v>
      </c>
      <c r="V16" s="305">
        <v>0</v>
      </c>
      <c r="W16" s="992">
        <f>Qhc_Klimastat!M16</f>
        <v>0</v>
      </c>
      <c r="X16" s="992">
        <f>Qhc_Klimastat!O16</f>
        <v>165.1980871892124</v>
      </c>
      <c r="Y16" s="305">
        <v>0</v>
      </c>
      <c r="AA16" s="194">
        <v>4.0199999999999996</v>
      </c>
      <c r="AB16" s="191" t="s">
        <v>12</v>
      </c>
      <c r="AC16" s="195">
        <v>4</v>
      </c>
      <c r="AD16" s="195">
        <v>0</v>
      </c>
      <c r="AE16" s="195">
        <v>5.8333333333333339</v>
      </c>
      <c r="AF16" s="195">
        <v>2.4650000000000003</v>
      </c>
      <c r="AG16" s="993">
        <f>Qhc_Klimastat!D16</f>
        <v>43.890511372549021</v>
      </c>
      <c r="AH16" s="993">
        <f>Qhc_Klimastat!F16</f>
        <v>23.264850980392154</v>
      </c>
      <c r="AI16" s="186"/>
      <c r="AJ16" s="195">
        <v>2</v>
      </c>
      <c r="AK16" s="195">
        <v>0</v>
      </c>
      <c r="AL16" s="195">
        <v>3.7393162393162394</v>
      </c>
      <c r="AM16" s="195">
        <v>1.6167500000000001</v>
      </c>
      <c r="AN16" s="993">
        <f>Qhc_Klimastat!H16</f>
        <v>34.215742745098041</v>
      </c>
      <c r="AO16" s="993">
        <f>Qhc_Klimastat!J16</f>
        <v>17.141301960784315</v>
      </c>
      <c r="AP16" s="186"/>
      <c r="AQ16" s="195">
        <v>6</v>
      </c>
      <c r="AR16" s="195">
        <v>0</v>
      </c>
      <c r="AS16" s="195">
        <v>7.5000000000000018</v>
      </c>
      <c r="AT16" s="195">
        <v>0</v>
      </c>
      <c r="AU16" s="993">
        <f>Qhc_Klimastat!L16</f>
        <v>0</v>
      </c>
      <c r="AV16" s="993">
        <f>Qhc_Klimastat!N16</f>
        <v>72.737372549019611</v>
      </c>
    </row>
    <row r="17" spans="1:48">
      <c r="A17" s="194" t="s">
        <v>46</v>
      </c>
      <c r="B17" s="278" t="str">
        <f>Begriffe!F23</f>
        <v>Bibliothek</v>
      </c>
      <c r="C17" s="305">
        <v>3.02</v>
      </c>
      <c r="D17" s="306">
        <v>0</v>
      </c>
      <c r="E17" s="307">
        <v>6.8841666666666654</v>
      </c>
      <c r="F17" s="305">
        <v>2.8593999999999999</v>
      </c>
      <c r="G17" s="992">
        <f>Qhc_Klimastat!E17</f>
        <v>3.1150122065978558</v>
      </c>
      <c r="H17" s="992">
        <f>Qhc_Klimastat!G17</f>
        <v>16.302303608778768</v>
      </c>
      <c r="I17" s="305">
        <v>0</v>
      </c>
      <c r="J17" s="177"/>
      <c r="K17" s="305">
        <v>1.51</v>
      </c>
      <c r="L17" s="306">
        <v>0</v>
      </c>
      <c r="M17" s="307">
        <v>1.516025641025641</v>
      </c>
      <c r="N17" s="305">
        <v>1.5520800000000001</v>
      </c>
      <c r="O17" s="992">
        <f>Qhc_Klimastat!I17</f>
        <v>2.6413290890029235</v>
      </c>
      <c r="P17" s="992">
        <f>Qhc_Klimastat!K17</f>
        <v>8.9350103846598863</v>
      </c>
      <c r="Q17" s="305">
        <v>0</v>
      </c>
      <c r="R17" s="177"/>
      <c r="S17" s="305">
        <v>4.53</v>
      </c>
      <c r="T17" s="306">
        <v>0</v>
      </c>
      <c r="U17" s="307">
        <v>8.8510714285714283</v>
      </c>
      <c r="V17" s="305">
        <v>0</v>
      </c>
      <c r="W17" s="992">
        <f>Qhc_Klimastat!M17</f>
        <v>0</v>
      </c>
      <c r="X17" s="992">
        <f>Qhc_Klimastat!O17</f>
        <v>92.326270471455388</v>
      </c>
      <c r="Y17" s="305">
        <v>0</v>
      </c>
      <c r="AA17" s="194">
        <v>4.03</v>
      </c>
      <c r="AB17" s="191" t="s">
        <v>13</v>
      </c>
      <c r="AC17" s="195">
        <v>2</v>
      </c>
      <c r="AD17" s="195">
        <v>0</v>
      </c>
      <c r="AE17" s="195">
        <v>4.5833333333333321</v>
      </c>
      <c r="AF17" s="195">
        <v>1.972</v>
      </c>
      <c r="AG17" s="993">
        <f>Qhc_Klimastat!D17</f>
        <v>26.962655529411769</v>
      </c>
      <c r="AH17" s="993">
        <f>Qhc_Klimastat!F17</f>
        <v>12.556125490196077</v>
      </c>
      <c r="AI17" s="186"/>
      <c r="AJ17" s="195">
        <v>1</v>
      </c>
      <c r="AK17" s="195">
        <v>0</v>
      </c>
      <c r="AL17" s="195">
        <v>2.9380341880341878</v>
      </c>
      <c r="AM17" s="195">
        <v>1.2934000000000001</v>
      </c>
      <c r="AN17" s="993">
        <f>Qhc_Klimastat!H17</f>
        <v>23.869516705882358</v>
      </c>
      <c r="AO17" s="993">
        <f>Qhc_Klimastat!J17</f>
        <v>9.8051176470588253</v>
      </c>
      <c r="AP17" s="186"/>
      <c r="AQ17" s="195">
        <v>3</v>
      </c>
      <c r="AR17" s="195">
        <v>0</v>
      </c>
      <c r="AS17" s="195">
        <v>5.8928571428571423</v>
      </c>
      <c r="AT17" s="195">
        <v>0</v>
      </c>
      <c r="AU17" s="993">
        <f>Qhc_Klimastat!L17</f>
        <v>0</v>
      </c>
      <c r="AV17" s="993">
        <f>Qhc_Klimastat!N17</f>
        <v>43.41718627450981</v>
      </c>
    </row>
    <row r="18" spans="1:48">
      <c r="A18" s="194" t="s">
        <v>101</v>
      </c>
      <c r="B18" s="278" t="str">
        <f>Begriffe!F24</f>
        <v>Hörsaal</v>
      </c>
      <c r="C18" s="305">
        <v>43.6</v>
      </c>
      <c r="D18" s="306">
        <v>0</v>
      </c>
      <c r="E18" s="307">
        <v>12.886805555555554</v>
      </c>
      <c r="F18" s="305">
        <v>9.1446666666666658</v>
      </c>
      <c r="G18" s="992">
        <f>Qhc_Klimastat!E18</f>
        <v>31.632011877622929</v>
      </c>
      <c r="H18" s="992">
        <f>Qhc_Klimastat!G18</f>
        <v>1.5668089762001363</v>
      </c>
      <c r="I18" s="305">
        <v>5.290005205479452</v>
      </c>
      <c r="J18" s="177"/>
      <c r="K18" s="305">
        <v>21.8</v>
      </c>
      <c r="L18" s="306">
        <v>0</v>
      </c>
      <c r="M18" s="307">
        <v>3.4032229344729337</v>
      </c>
      <c r="N18" s="305">
        <v>5.6530666666666667</v>
      </c>
      <c r="O18" s="992">
        <f>Qhc_Klimastat!I18</f>
        <v>17.670848559665853</v>
      </c>
      <c r="P18" s="992">
        <f>Qhc_Klimastat!K18</f>
        <v>2.1461301141673812</v>
      </c>
      <c r="Q18" s="305">
        <v>5.290005205479452</v>
      </c>
      <c r="R18" s="177"/>
      <c r="S18" s="305">
        <v>65.400000000000006</v>
      </c>
      <c r="T18" s="306">
        <v>0</v>
      </c>
      <c r="U18" s="307">
        <v>16.568750000000001</v>
      </c>
      <c r="V18" s="305">
        <v>22.167600000000004</v>
      </c>
      <c r="W18" s="992">
        <f>Qhc_Klimastat!M18</f>
        <v>9.101661112835032</v>
      </c>
      <c r="X18" s="992">
        <f>Qhc_Klimastat!O18</f>
        <v>57.373023070717565</v>
      </c>
      <c r="Y18" s="305">
        <v>5.290005205479452</v>
      </c>
      <c r="AA18" s="194">
        <v>4.04</v>
      </c>
      <c r="AB18" s="191" t="s">
        <v>14</v>
      </c>
      <c r="AC18" s="195">
        <v>20</v>
      </c>
      <c r="AD18" s="195">
        <v>0</v>
      </c>
      <c r="AE18" s="195">
        <v>7.6388888888888875</v>
      </c>
      <c r="AF18" s="195">
        <v>5.3166666666666664</v>
      </c>
      <c r="AG18" s="993">
        <f>Qhc_Klimastat!D18</f>
        <v>65.781691764705883</v>
      </c>
      <c r="AH18" s="993">
        <f>Qhc_Klimastat!F18</f>
        <v>12.556125490196077</v>
      </c>
      <c r="AI18" s="186"/>
      <c r="AJ18" s="195">
        <v>10</v>
      </c>
      <c r="AK18" s="195">
        <v>0</v>
      </c>
      <c r="AL18" s="195">
        <v>4.8967236467236459</v>
      </c>
      <c r="AM18" s="195">
        <v>3.2866666666666666</v>
      </c>
      <c r="AN18" s="993">
        <f>Qhc_Klimastat!H18</f>
        <v>51.241138823529404</v>
      </c>
      <c r="AO18" s="993">
        <f>Qhc_Klimastat!J18</f>
        <v>9.8051176470588253</v>
      </c>
      <c r="AP18" s="186"/>
      <c r="AQ18" s="195">
        <v>30</v>
      </c>
      <c r="AR18" s="195">
        <v>0</v>
      </c>
      <c r="AS18" s="195">
        <v>9.8214285714285712</v>
      </c>
      <c r="AT18" s="195">
        <v>8.7966666666666669</v>
      </c>
      <c r="AU18" s="993">
        <f>Qhc_Klimastat!L18</f>
        <v>87.813929411764704</v>
      </c>
      <c r="AV18" s="993">
        <f>Qhc_Klimastat!N18</f>
        <v>37.292386274509802</v>
      </c>
    </row>
    <row r="19" spans="1:48">
      <c r="A19" s="194" t="s">
        <v>47</v>
      </c>
      <c r="B19" s="278" t="str">
        <f>Begriffe!F25</f>
        <v>Schulfachraum (Spezialraum)</v>
      </c>
      <c r="C19" s="305">
        <v>7.08</v>
      </c>
      <c r="D19" s="306">
        <v>0</v>
      </c>
      <c r="E19" s="307">
        <v>11.254563492063493</v>
      </c>
      <c r="F19" s="305">
        <v>4.9694399999999996</v>
      </c>
      <c r="G19" s="992">
        <f>Qhc_Klimastat!E19</f>
        <v>5.8079551317610028</v>
      </c>
      <c r="H19" s="992">
        <f>Qhc_Klimastat!G19</f>
        <v>22.144183297781986</v>
      </c>
      <c r="I19" s="305">
        <v>3.1740031232876711</v>
      </c>
      <c r="J19" s="177"/>
      <c r="K19" s="305">
        <v>3.54</v>
      </c>
      <c r="L19" s="306">
        <v>0</v>
      </c>
      <c r="M19" s="307">
        <v>1.8228912291412294</v>
      </c>
      <c r="N19" s="305">
        <v>2.2246480000000002</v>
      </c>
      <c r="O19" s="992">
        <f>Qhc_Klimastat!I19</f>
        <v>3.9710379855684197</v>
      </c>
      <c r="P19" s="992">
        <f>Qhc_Klimastat!K19</f>
        <v>12.954753106709633</v>
      </c>
      <c r="Q19" s="305">
        <v>3.1740031232876711</v>
      </c>
      <c r="R19" s="177"/>
      <c r="S19" s="305">
        <v>17.7</v>
      </c>
      <c r="T19" s="306">
        <v>0</v>
      </c>
      <c r="U19" s="307">
        <v>14.47015306122449</v>
      </c>
      <c r="V19" s="305">
        <v>8.0388000000000002</v>
      </c>
      <c r="W19" s="992">
        <f>Qhc_Klimastat!M19</f>
        <v>0</v>
      </c>
      <c r="X19" s="992">
        <f>Qhc_Klimastat!O19</f>
        <v>113.14245678791383</v>
      </c>
      <c r="Y19" s="305">
        <v>3.1740031232876711</v>
      </c>
      <c r="AA19" s="194">
        <v>4.05</v>
      </c>
      <c r="AB19" s="191" t="s">
        <v>291</v>
      </c>
      <c r="AC19" s="195">
        <v>4</v>
      </c>
      <c r="AD19" s="195">
        <v>0</v>
      </c>
      <c r="AE19" s="195">
        <v>8.5912698412698418</v>
      </c>
      <c r="AF19" s="195">
        <v>1.972</v>
      </c>
      <c r="AG19" s="993">
        <f>Qhc_Klimastat!D19</f>
        <v>45.919496739495791</v>
      </c>
      <c r="AH19" s="993">
        <f>Qhc_Klimastat!F19</f>
        <v>19.377043697478996</v>
      </c>
      <c r="AI19" s="186"/>
      <c r="AJ19" s="195">
        <v>2</v>
      </c>
      <c r="AK19" s="195">
        <v>0</v>
      </c>
      <c r="AL19" s="195">
        <v>5.5072242572242578</v>
      </c>
      <c r="AM19" s="195">
        <v>1.2934000000000001</v>
      </c>
      <c r="AN19" s="993">
        <f>Qhc_Klimastat!H19</f>
        <v>37.129237243697474</v>
      </c>
      <c r="AO19" s="993">
        <f>Qhc_Klimastat!J19</f>
        <v>14.499828571428573</v>
      </c>
      <c r="AP19" s="186"/>
      <c r="AQ19" s="195">
        <v>10</v>
      </c>
      <c r="AR19" s="195">
        <v>0</v>
      </c>
      <c r="AS19" s="195">
        <v>11.045918367346939</v>
      </c>
      <c r="AT19" s="195">
        <v>3.19</v>
      </c>
      <c r="AU19" s="993">
        <f>Qhc_Klimastat!L19</f>
        <v>0</v>
      </c>
      <c r="AV19" s="993">
        <f>Qhc_Klimastat!N19</f>
        <v>54.063334453781522</v>
      </c>
    </row>
    <row r="20" spans="1:48">
      <c r="A20" s="194" t="s">
        <v>48</v>
      </c>
      <c r="B20" s="278" t="str">
        <f>Begriffe!F26</f>
        <v>Lebensmittelverkauf</v>
      </c>
      <c r="C20" s="305">
        <v>8.02</v>
      </c>
      <c r="D20" s="306">
        <v>401</v>
      </c>
      <c r="E20" s="307">
        <v>46.569749999999999</v>
      </c>
      <c r="F20" s="305">
        <v>7.3170625000000005</v>
      </c>
      <c r="G20" s="992">
        <f>Qhc_Klimastat!E20</f>
        <v>23.643795487460274</v>
      </c>
      <c r="H20" s="992">
        <f>Qhc_Klimastat!G20</f>
        <v>0.5825805913929244</v>
      </c>
      <c r="I20" s="305">
        <v>2.7231000000000005</v>
      </c>
      <c r="J20" s="177"/>
      <c r="K20" s="305">
        <v>4.01</v>
      </c>
      <c r="L20" s="306">
        <v>320.8</v>
      </c>
      <c r="M20" s="307">
        <v>29.852403846153841</v>
      </c>
      <c r="N20" s="305">
        <v>3.0073000000000003</v>
      </c>
      <c r="O20" s="992">
        <f>Qhc_Klimastat!I20</f>
        <v>22.9733566588522</v>
      </c>
      <c r="P20" s="992">
        <f>Qhc_Klimastat!K20</f>
        <v>4.4989952065780998E-2</v>
      </c>
      <c r="Q20" s="305">
        <v>2.7231000000000005</v>
      </c>
      <c r="R20" s="177"/>
      <c r="S20" s="305">
        <v>12.03</v>
      </c>
      <c r="T20" s="306">
        <v>481.2</v>
      </c>
      <c r="U20" s="307">
        <v>59.875392857142856</v>
      </c>
      <c r="V20" s="305">
        <v>12.106412500000001</v>
      </c>
      <c r="W20" s="992">
        <f>Qhc_Klimastat!M20</f>
        <v>0</v>
      </c>
      <c r="X20" s="992">
        <f>Qhc_Klimastat!O20</f>
        <v>86.712530981456084</v>
      </c>
      <c r="Y20" s="305">
        <v>2.7231000000000005</v>
      </c>
      <c r="AA20" s="194">
        <v>5.01</v>
      </c>
      <c r="AB20" s="191" t="s">
        <v>15</v>
      </c>
      <c r="AC20" s="195">
        <v>2</v>
      </c>
      <c r="AD20" s="195">
        <v>100</v>
      </c>
      <c r="AE20" s="195">
        <v>11.625</v>
      </c>
      <c r="AF20" s="195">
        <v>1.9937500000000001</v>
      </c>
      <c r="AG20" s="993">
        <f>Qhc_Klimastat!D20</f>
        <v>26.596120000000003</v>
      </c>
      <c r="AH20" s="993">
        <f>Qhc_Klimastat!F20</f>
        <v>8.3600000000000012</v>
      </c>
      <c r="AI20" s="186"/>
      <c r="AJ20" s="195">
        <v>1</v>
      </c>
      <c r="AK20" s="195">
        <v>80</v>
      </c>
      <c r="AL20" s="195">
        <v>7.4519230769230758</v>
      </c>
      <c r="AM20" s="195">
        <v>1.2325000000000002</v>
      </c>
      <c r="AN20" s="993">
        <f>Qhc_Klimastat!H20</f>
        <v>20.822878371040723</v>
      </c>
      <c r="AO20" s="993">
        <f>Qhc_Klimastat!J20</f>
        <v>6.3670588235294119</v>
      </c>
      <c r="AP20" s="186"/>
      <c r="AQ20" s="195">
        <v>3</v>
      </c>
      <c r="AR20" s="195">
        <v>481.2</v>
      </c>
      <c r="AS20" s="195">
        <v>14.946428571428571</v>
      </c>
      <c r="AT20" s="195">
        <v>3.2987500000000001</v>
      </c>
      <c r="AU20" s="993">
        <f>Qhc_Klimastat!L20</f>
        <v>0</v>
      </c>
      <c r="AV20" s="993">
        <f>Qhc_Klimastat!N20</f>
        <v>35.958070588235294</v>
      </c>
    </row>
    <row r="21" spans="1:48">
      <c r="A21" s="194" t="s">
        <v>49</v>
      </c>
      <c r="B21" s="278" t="str">
        <f>Begriffe!F27</f>
        <v>Fachgeschäft</v>
      </c>
      <c r="C21" s="305">
        <v>7.26</v>
      </c>
      <c r="D21" s="306">
        <v>0</v>
      </c>
      <c r="E21" s="307">
        <v>46.569749999999999</v>
      </c>
      <c r="F21" s="305">
        <v>7.3170625000000005</v>
      </c>
      <c r="G21" s="992">
        <f>Qhc_Klimastat!E21</f>
        <v>23.071192747734237</v>
      </c>
      <c r="H21" s="992">
        <f>Qhc_Klimastat!G21</f>
        <v>0.64363818642413462</v>
      </c>
      <c r="I21" s="305">
        <v>2.7231000000000005</v>
      </c>
      <c r="J21" s="177"/>
      <c r="K21" s="305">
        <v>3.63</v>
      </c>
      <c r="L21" s="306">
        <v>0</v>
      </c>
      <c r="M21" s="307">
        <v>29.852403846153841</v>
      </c>
      <c r="N21" s="305">
        <v>3.0073000000000003</v>
      </c>
      <c r="O21" s="992">
        <f>Qhc_Klimastat!I21</f>
        <v>22.593356658852201</v>
      </c>
      <c r="P21" s="992">
        <f>Qhc_Klimastat!K21</f>
        <v>4.957922207061384E-2</v>
      </c>
      <c r="Q21" s="305">
        <v>2.7231000000000005</v>
      </c>
      <c r="R21" s="177"/>
      <c r="S21" s="305">
        <v>10.89</v>
      </c>
      <c r="T21" s="306">
        <v>0</v>
      </c>
      <c r="U21" s="307">
        <v>59.875392857142856</v>
      </c>
      <c r="V21" s="305">
        <v>12.106412500000001</v>
      </c>
      <c r="W21" s="992">
        <f>Qhc_Klimastat!M21</f>
        <v>0</v>
      </c>
      <c r="X21" s="992">
        <f>Qhc_Klimastat!O21</f>
        <v>87.674473937548285</v>
      </c>
      <c r="Y21" s="305">
        <v>2.7231000000000005</v>
      </c>
      <c r="AA21" s="194">
        <v>5.0199999999999996</v>
      </c>
      <c r="AB21" s="191" t="s">
        <v>92</v>
      </c>
      <c r="AC21" s="195">
        <v>2</v>
      </c>
      <c r="AD21" s="195">
        <v>0</v>
      </c>
      <c r="AE21" s="195">
        <v>11.625</v>
      </c>
      <c r="AF21" s="195">
        <v>1.9937500000000001</v>
      </c>
      <c r="AG21" s="993">
        <f>Qhc_Klimastat!D21</f>
        <v>26.596120000000003</v>
      </c>
      <c r="AH21" s="993">
        <f>Qhc_Klimastat!F21</f>
        <v>8.3600000000000012</v>
      </c>
      <c r="AI21" s="186"/>
      <c r="AJ21" s="195">
        <v>1</v>
      </c>
      <c r="AK21" s="195">
        <v>0</v>
      </c>
      <c r="AL21" s="195">
        <v>7.4519230769230758</v>
      </c>
      <c r="AM21" s="195">
        <v>1.2325000000000002</v>
      </c>
      <c r="AN21" s="993">
        <f>Qhc_Klimastat!H21</f>
        <v>20.822878371040723</v>
      </c>
      <c r="AO21" s="993">
        <f>Qhc_Klimastat!J21</f>
        <v>6.3670588235294119</v>
      </c>
      <c r="AP21" s="186"/>
      <c r="AQ21" s="195">
        <v>3</v>
      </c>
      <c r="AR21" s="195">
        <v>0</v>
      </c>
      <c r="AS21" s="195">
        <v>14.946428571428571</v>
      </c>
      <c r="AT21" s="195">
        <v>3.2987500000000001</v>
      </c>
      <c r="AU21" s="993">
        <f>Qhc_Klimastat!L21</f>
        <v>0</v>
      </c>
      <c r="AV21" s="993">
        <f>Qhc_Klimastat!N21</f>
        <v>35.958070588235294</v>
      </c>
    </row>
    <row r="22" spans="1:48">
      <c r="A22" s="194" t="s">
        <v>50</v>
      </c>
      <c r="B22" s="278" t="str">
        <f>Begriffe!F28</f>
        <v>Verkauf Möbel, Bau, Garten</v>
      </c>
      <c r="C22" s="305">
        <v>6.82</v>
      </c>
      <c r="D22" s="306">
        <v>0</v>
      </c>
      <c r="E22" s="307">
        <v>37.255800000000001</v>
      </c>
      <c r="F22" s="305">
        <v>6.6564666666666668</v>
      </c>
      <c r="G22" s="992">
        <f>Qhc_Klimastat!E22</f>
        <v>13.799540998208217</v>
      </c>
      <c r="H22" s="992">
        <f>Qhc_Klimastat!G22</f>
        <v>1.7244472232910455</v>
      </c>
      <c r="I22" s="305">
        <v>1.4523200000000003</v>
      </c>
      <c r="J22" s="177"/>
      <c r="K22" s="305">
        <v>3.41</v>
      </c>
      <c r="L22" s="306">
        <v>0</v>
      </c>
      <c r="M22" s="307">
        <v>23.881923076923073</v>
      </c>
      <c r="N22" s="305">
        <v>2.4124133333333337</v>
      </c>
      <c r="O22" s="992">
        <f>Qhc_Klimastat!I22</f>
        <v>10.381431342261552</v>
      </c>
      <c r="P22" s="992">
        <f>Qhc_Klimastat!K22</f>
        <v>1.0143891674095527</v>
      </c>
      <c r="Q22" s="305">
        <v>1.4523200000000003</v>
      </c>
      <c r="R22" s="177"/>
      <c r="S22" s="305">
        <v>10.23</v>
      </c>
      <c r="T22" s="306">
        <v>0</v>
      </c>
      <c r="U22" s="307">
        <v>47.900314285714288</v>
      </c>
      <c r="V22" s="305">
        <v>11.013426666666666</v>
      </c>
      <c r="W22" s="992">
        <f>Qhc_Klimastat!M22</f>
        <v>0</v>
      </c>
      <c r="X22" s="992">
        <f>Qhc_Klimastat!O22</f>
        <v>92.225568513684308</v>
      </c>
      <c r="Y22" s="305">
        <v>1.4523200000000003</v>
      </c>
      <c r="AA22" s="194">
        <v>5.03</v>
      </c>
      <c r="AB22" s="191" t="s">
        <v>201</v>
      </c>
      <c r="AC22" s="195">
        <v>2</v>
      </c>
      <c r="AD22" s="195">
        <v>0</v>
      </c>
      <c r="AE22" s="195">
        <v>9.3000000000000007</v>
      </c>
      <c r="AF22" s="195">
        <v>1.0633333333333335</v>
      </c>
      <c r="AG22" s="993">
        <f>Qhc_Klimastat!D22</f>
        <v>18.698784</v>
      </c>
      <c r="AH22" s="993">
        <f>Qhc_Klimastat!F22</f>
        <v>8.3600000000000012</v>
      </c>
      <c r="AI22" s="186"/>
      <c r="AJ22" s="195">
        <v>1</v>
      </c>
      <c r="AK22" s="195">
        <v>0</v>
      </c>
      <c r="AL22" s="195">
        <v>5.9615384615384608</v>
      </c>
      <c r="AM22" s="195">
        <v>0.65733333333333344</v>
      </c>
      <c r="AN22" s="993">
        <f>Qhc_Klimastat!H22</f>
        <v>13.884664422322775</v>
      </c>
      <c r="AO22" s="993">
        <f>Qhc_Klimastat!J22</f>
        <v>6.3670588235294119</v>
      </c>
      <c r="AP22" s="186"/>
      <c r="AQ22" s="195">
        <v>3</v>
      </c>
      <c r="AR22" s="195">
        <v>0</v>
      </c>
      <c r="AS22" s="195">
        <v>11.957142857142857</v>
      </c>
      <c r="AT22" s="195">
        <v>1.7593333333333334</v>
      </c>
      <c r="AU22" s="993">
        <f>Qhc_Klimastat!L22</f>
        <v>0</v>
      </c>
      <c r="AV22" s="993">
        <f>Qhc_Klimastat!N22</f>
        <v>35.958070588235294</v>
      </c>
    </row>
    <row r="23" spans="1:48">
      <c r="A23" s="194" t="s">
        <v>51</v>
      </c>
      <c r="B23" s="278" t="str">
        <f>Begriffe!F29</f>
        <v>Restaurant</v>
      </c>
      <c r="C23" s="305">
        <v>4.5</v>
      </c>
      <c r="D23" s="306">
        <v>0</v>
      </c>
      <c r="E23" s="307">
        <v>12.040416666666664</v>
      </c>
      <c r="F23" s="305">
        <v>13.15875</v>
      </c>
      <c r="G23" s="992">
        <f>Qhc_Klimastat!E23</f>
        <v>10.57499040333151</v>
      </c>
      <c r="H23" s="992">
        <f>Qhc_Klimastat!G23</f>
        <v>17.607994832464932</v>
      </c>
      <c r="I23" s="305">
        <v>108.92400000000002</v>
      </c>
      <c r="J23" s="177"/>
      <c r="K23" s="305">
        <v>2.25</v>
      </c>
      <c r="L23" s="306">
        <v>0</v>
      </c>
      <c r="M23" s="307">
        <v>3.3434829059829059</v>
      </c>
      <c r="N23" s="305">
        <v>8.134500000000001</v>
      </c>
      <c r="O23" s="992">
        <f>Qhc_Klimastat!I23</f>
        <v>9.769152420313981</v>
      </c>
      <c r="P23" s="992">
        <f>Qhc_Klimastat!K23</f>
        <v>10.918893514834393</v>
      </c>
      <c r="Q23" s="305">
        <v>108.92400000000002</v>
      </c>
      <c r="R23" s="177"/>
      <c r="S23" s="305">
        <v>6.75</v>
      </c>
      <c r="T23" s="306">
        <v>0</v>
      </c>
      <c r="U23" s="307">
        <v>15.480535714285713</v>
      </c>
      <c r="V23" s="305">
        <v>43.147649999999999</v>
      </c>
      <c r="W23" s="992">
        <f>Qhc_Klimastat!M23</f>
        <v>0</v>
      </c>
      <c r="X23" s="992">
        <f>Qhc_Klimastat!O23</f>
        <v>175.95861732252044</v>
      </c>
      <c r="Y23" s="305">
        <v>108.92400000000002</v>
      </c>
      <c r="AA23" s="194">
        <v>6.01</v>
      </c>
      <c r="AB23" s="191" t="s">
        <v>16</v>
      </c>
      <c r="AC23" s="195">
        <v>2</v>
      </c>
      <c r="AD23" s="195">
        <v>0</v>
      </c>
      <c r="AE23" s="195">
        <v>4.5833333333333321</v>
      </c>
      <c r="AF23" s="195">
        <v>7.9750000000000005</v>
      </c>
      <c r="AG23" s="993">
        <f>Qhc_Klimastat!D23</f>
        <v>55.066703529411768</v>
      </c>
      <c r="AH23" s="993">
        <f>Qhc_Klimastat!F23</f>
        <v>14.276125490196081</v>
      </c>
      <c r="AI23" s="186"/>
      <c r="AJ23" s="195">
        <v>1</v>
      </c>
      <c r="AK23" s="195">
        <v>0</v>
      </c>
      <c r="AL23" s="195">
        <v>2.9380341880341878</v>
      </c>
      <c r="AM23" s="195">
        <v>4.9300000000000006</v>
      </c>
      <c r="AN23" s="993">
        <f>Qhc_Klimastat!H23</f>
        <v>51.390915294117654</v>
      </c>
      <c r="AO23" s="993">
        <f>Qhc_Klimastat!J23</f>
        <v>10.727176470588237</v>
      </c>
      <c r="AP23" s="186"/>
      <c r="AQ23" s="195">
        <v>3</v>
      </c>
      <c r="AR23" s="195">
        <v>0</v>
      </c>
      <c r="AS23" s="195">
        <v>5.8928571428571423</v>
      </c>
      <c r="AT23" s="195">
        <v>13.195</v>
      </c>
      <c r="AU23" s="993">
        <f>Qhc_Klimastat!L23</f>
        <v>0</v>
      </c>
      <c r="AV23" s="993">
        <f>Qhc_Klimastat!N23</f>
        <v>45.514356862745103</v>
      </c>
    </row>
    <row r="24" spans="1:48">
      <c r="A24" s="194" t="s">
        <v>52</v>
      </c>
      <c r="B24" s="278" t="str">
        <f>Begriffe!F30</f>
        <v>Selbstbedienungsrestaurant</v>
      </c>
      <c r="C24" s="305">
        <v>3.5</v>
      </c>
      <c r="D24" s="306">
        <v>0</v>
      </c>
      <c r="E24" s="307">
        <v>6.386333333333333</v>
      </c>
      <c r="F24" s="305">
        <v>6.8585000000000012</v>
      </c>
      <c r="G24" s="992">
        <f>Qhc_Klimastat!E24</f>
        <v>5.871023497556167</v>
      </c>
      <c r="H24" s="992">
        <f>Qhc_Klimastat!G24</f>
        <v>10.528582397238287</v>
      </c>
      <c r="I24" s="305">
        <v>108.92400000000002</v>
      </c>
      <c r="J24" s="177"/>
      <c r="K24" s="305">
        <v>1.75</v>
      </c>
      <c r="L24" s="306">
        <v>0</v>
      </c>
      <c r="M24" s="307">
        <v>1.8191773504273501</v>
      </c>
      <c r="N24" s="305">
        <v>4.2397999999999998</v>
      </c>
      <c r="O24" s="992">
        <f>Qhc_Klimastat!I24</f>
        <v>5.3771450649102706</v>
      </c>
      <c r="P24" s="992">
        <f>Qhc_Klimastat!K24</f>
        <v>6.652144964056447</v>
      </c>
      <c r="Q24" s="305">
        <v>108.92400000000002</v>
      </c>
      <c r="R24" s="177"/>
      <c r="S24" s="305">
        <v>5.25</v>
      </c>
      <c r="T24" s="306">
        <v>0</v>
      </c>
      <c r="U24" s="307">
        <v>8.2110000000000003</v>
      </c>
      <c r="V24" s="305">
        <v>19.132750000000001</v>
      </c>
      <c r="W24" s="992">
        <f>Qhc_Klimastat!M24</f>
        <v>0</v>
      </c>
      <c r="X24" s="992">
        <f>Qhc_Klimastat!O24</f>
        <v>98.754495234891166</v>
      </c>
      <c r="Y24" s="305">
        <v>108.92400000000002</v>
      </c>
      <c r="AA24" s="194">
        <v>6.02</v>
      </c>
      <c r="AB24" s="191" t="s">
        <v>102</v>
      </c>
      <c r="AC24" s="195">
        <v>2</v>
      </c>
      <c r="AD24" s="195">
        <v>0</v>
      </c>
      <c r="AE24" s="195">
        <v>4.083333333333333</v>
      </c>
      <c r="AF24" s="195">
        <v>7.9750000000000005</v>
      </c>
      <c r="AG24" s="993">
        <f>Qhc_Klimastat!D24</f>
        <v>52.47081882352942</v>
      </c>
      <c r="AH24" s="993">
        <f>Qhc_Klimastat!F24</f>
        <v>9.5592352941176486</v>
      </c>
      <c r="AI24" s="186"/>
      <c r="AJ24" s="195">
        <v>1</v>
      </c>
      <c r="AK24" s="195">
        <v>0</v>
      </c>
      <c r="AL24" s="195">
        <v>2.6175213675213671</v>
      </c>
      <c r="AM24" s="195">
        <v>4.9300000000000006</v>
      </c>
      <c r="AN24" s="993">
        <f>Qhc_Klimastat!H24</f>
        <v>50.803830588235293</v>
      </c>
      <c r="AO24" s="993">
        <f>Qhc_Klimastat!J24</f>
        <v>7.530705882352942</v>
      </c>
      <c r="AP24" s="186"/>
      <c r="AQ24" s="195">
        <v>3</v>
      </c>
      <c r="AR24" s="195">
        <v>0</v>
      </c>
      <c r="AS24" s="195">
        <v>5.25</v>
      </c>
      <c r="AT24" s="195">
        <v>13.195</v>
      </c>
      <c r="AU24" s="993">
        <f>Qhc_Klimastat!L24</f>
        <v>0</v>
      </c>
      <c r="AV24" s="993">
        <f>Qhc_Klimastat!N24</f>
        <v>30.497494117647065</v>
      </c>
    </row>
    <row r="25" spans="1:48">
      <c r="A25" s="194" t="s">
        <v>53</v>
      </c>
      <c r="B25" s="278" t="str">
        <f>Begriffe!F31</f>
        <v>Küche zu Restaurant</v>
      </c>
      <c r="C25" s="305">
        <v>25.3</v>
      </c>
      <c r="D25" s="306">
        <v>480.7</v>
      </c>
      <c r="E25" s="307">
        <v>23.897222222222222</v>
      </c>
      <c r="F25" s="305">
        <v>13.717000000000002</v>
      </c>
      <c r="G25" s="992">
        <f>Qhc_Klimastat!E25</f>
        <v>10.260824133875831</v>
      </c>
      <c r="H25" s="992">
        <f>Qhc_Klimastat!G25</f>
        <v>26.489435322074975</v>
      </c>
      <c r="I25" s="305">
        <v>0</v>
      </c>
      <c r="J25" s="177"/>
      <c r="K25" s="305">
        <v>25.3</v>
      </c>
      <c r="L25" s="306">
        <v>354.2</v>
      </c>
      <c r="M25" s="307">
        <v>10.706908831908832</v>
      </c>
      <c r="N25" s="305">
        <v>8.4796000000000014</v>
      </c>
      <c r="O25" s="992">
        <f>Qhc_Klimastat!I25</f>
        <v>8.2024631770451908</v>
      </c>
      <c r="P25" s="992">
        <f>Qhc_Klimastat!K25</f>
        <v>16.613126114158732</v>
      </c>
      <c r="Q25" s="305">
        <v>0</v>
      </c>
      <c r="R25" s="177"/>
      <c r="S25" s="305">
        <v>50.6</v>
      </c>
      <c r="T25" s="306">
        <v>581.9</v>
      </c>
      <c r="U25" s="307">
        <v>30.725000000000005</v>
      </c>
      <c r="V25" s="305">
        <v>32.987500000000004</v>
      </c>
      <c r="W25" s="992">
        <f>Qhc_Klimastat!M25</f>
        <v>0</v>
      </c>
      <c r="X25" s="992">
        <f>Qhc_Klimastat!O25</f>
        <v>167.56970588239261</v>
      </c>
      <c r="Y25" s="305">
        <v>0</v>
      </c>
      <c r="AA25" s="194">
        <v>6.03</v>
      </c>
      <c r="AB25" s="191" t="s">
        <v>17</v>
      </c>
      <c r="AC25" s="195">
        <v>10</v>
      </c>
      <c r="AD25" s="195">
        <v>190</v>
      </c>
      <c r="AE25" s="195">
        <v>9.7222222222222232</v>
      </c>
      <c r="AF25" s="195">
        <v>5.3166666666666673</v>
      </c>
      <c r="AG25" s="993">
        <f>Qhc_Klimastat!D25</f>
        <v>37.90705098039215</v>
      </c>
      <c r="AH25" s="993">
        <f>Qhc_Klimastat!F25</f>
        <v>22.48081176470588</v>
      </c>
      <c r="AI25" s="186"/>
      <c r="AJ25" s="195">
        <v>10</v>
      </c>
      <c r="AK25" s="195">
        <v>140</v>
      </c>
      <c r="AL25" s="195">
        <v>6.232193732193732</v>
      </c>
      <c r="AM25" s="195">
        <v>3.2866666666666675</v>
      </c>
      <c r="AN25" s="993">
        <f>Qhc_Klimastat!H25</f>
        <v>37.868658823529408</v>
      </c>
      <c r="AO25" s="993">
        <f>Qhc_Klimastat!J25</f>
        <v>16.549223529411766</v>
      </c>
      <c r="AP25" s="186"/>
      <c r="AQ25" s="195">
        <v>20</v>
      </c>
      <c r="AR25" s="195">
        <v>581.9</v>
      </c>
      <c r="AS25" s="195">
        <v>12.500000000000002</v>
      </c>
      <c r="AT25" s="195">
        <v>8.7966666666666686</v>
      </c>
      <c r="AU25" s="993">
        <f>Qhc_Klimastat!L25</f>
        <v>0</v>
      </c>
      <c r="AV25" s="993">
        <f>Qhc_Klimastat!N25</f>
        <v>64.469670588235303</v>
      </c>
    </row>
    <row r="26" spans="1:48">
      <c r="A26" s="194" t="s">
        <v>54</v>
      </c>
      <c r="B26" s="278" t="str">
        <f>Begriffe!F32</f>
        <v>Küche zu Selbstbedienungsrest.</v>
      </c>
      <c r="C26" s="305">
        <v>17.3</v>
      </c>
      <c r="D26" s="306">
        <v>328.7</v>
      </c>
      <c r="E26" s="307">
        <v>14.475694444444443</v>
      </c>
      <c r="F26" s="305">
        <v>7.815500000000001</v>
      </c>
      <c r="G26" s="992">
        <f>Qhc_Klimastat!E26</f>
        <v>6.7650230800620994</v>
      </c>
      <c r="H26" s="992">
        <f>Qhc_Klimastat!G26</f>
        <v>12.944734690411709</v>
      </c>
      <c r="I26" s="305">
        <v>0</v>
      </c>
      <c r="J26" s="177"/>
      <c r="K26" s="305">
        <v>17.3</v>
      </c>
      <c r="L26" s="306">
        <v>242.2</v>
      </c>
      <c r="M26" s="307">
        <v>7.643785612535611</v>
      </c>
      <c r="N26" s="305">
        <v>4.8314000000000012</v>
      </c>
      <c r="O26" s="992">
        <f>Qhc_Klimastat!I26</f>
        <v>6.0141392957914954</v>
      </c>
      <c r="P26" s="992">
        <f>Qhc_Klimastat!K26</f>
        <v>7.9352710051231403</v>
      </c>
      <c r="Q26" s="305">
        <v>0</v>
      </c>
      <c r="R26" s="177"/>
      <c r="S26" s="305">
        <v>34.6</v>
      </c>
      <c r="T26" s="306">
        <v>397.9</v>
      </c>
      <c r="U26" s="307">
        <v>18.611607142857142</v>
      </c>
      <c r="V26" s="305">
        <v>20.056400000000004</v>
      </c>
      <c r="W26" s="992">
        <f>Qhc_Klimastat!M26</f>
        <v>0</v>
      </c>
      <c r="X26" s="992">
        <f>Qhc_Klimastat!O26</f>
        <v>89.655548788541566</v>
      </c>
      <c r="Y26" s="305">
        <v>0</v>
      </c>
      <c r="AA26" s="194">
        <v>6.04</v>
      </c>
      <c r="AB26" s="191" t="s">
        <v>18</v>
      </c>
      <c r="AC26" s="195">
        <v>10</v>
      </c>
      <c r="AD26" s="195">
        <v>190</v>
      </c>
      <c r="AE26" s="195">
        <v>7.6388888888888875</v>
      </c>
      <c r="AF26" s="195">
        <v>5.3166666666666673</v>
      </c>
      <c r="AG26" s="993">
        <f>Qhc_Klimastat!D26</f>
        <v>29.36765882352941</v>
      </c>
      <c r="AH26" s="993">
        <f>Qhc_Klimastat!F26</f>
        <v>12.11610588235294</v>
      </c>
      <c r="AI26" s="186"/>
      <c r="AJ26" s="195">
        <v>10</v>
      </c>
      <c r="AK26" s="195">
        <v>140</v>
      </c>
      <c r="AL26" s="195">
        <v>4.8967236467236459</v>
      </c>
      <c r="AM26" s="195">
        <v>3.2866666666666675</v>
      </c>
      <c r="AN26" s="993">
        <f>Qhc_Klimastat!H26</f>
        <v>29.34846274509804</v>
      </c>
      <c r="AO26" s="993">
        <f>Qhc_Klimastat!J26</f>
        <v>9.4610784313725489</v>
      </c>
      <c r="AP26" s="186"/>
      <c r="AQ26" s="195">
        <v>20</v>
      </c>
      <c r="AR26" s="195">
        <v>397.9</v>
      </c>
      <c r="AS26" s="195">
        <v>9.8214285714285712</v>
      </c>
      <c r="AT26" s="195">
        <v>8.7966666666666686</v>
      </c>
      <c r="AU26" s="993">
        <f>Qhc_Klimastat!L26</f>
        <v>0</v>
      </c>
      <c r="AV26" s="993">
        <f>Qhc_Klimastat!N26</f>
        <v>36.076935294117646</v>
      </c>
    </row>
    <row r="27" spans="1:48">
      <c r="A27" s="194" t="s">
        <v>55</v>
      </c>
      <c r="B27" s="278" t="str">
        <f>Begriffe!F33</f>
        <v>Vorstellungsraum</v>
      </c>
      <c r="C27" s="305">
        <v>4.5999999999999996</v>
      </c>
      <c r="D27" s="306">
        <v>0</v>
      </c>
      <c r="E27" s="307">
        <v>16.27708333333333</v>
      </c>
      <c r="F27" s="305">
        <v>11.6435</v>
      </c>
      <c r="G27" s="992">
        <f>Qhc_Klimastat!E27</f>
        <v>12.785532108354348</v>
      </c>
      <c r="H27" s="992">
        <f>Qhc_Klimastat!G27</f>
        <v>8.016789706577752</v>
      </c>
      <c r="I27" s="305">
        <v>7.2616000000000014</v>
      </c>
      <c r="J27" s="177"/>
      <c r="K27" s="305">
        <v>2.2999999999999998</v>
      </c>
      <c r="L27" s="306">
        <v>0</v>
      </c>
      <c r="M27" s="307">
        <v>10.434027777777777</v>
      </c>
      <c r="N27" s="305">
        <v>7.1978</v>
      </c>
      <c r="O27" s="992">
        <f>Qhc_Klimastat!I27</f>
        <v>15.352038757184358</v>
      </c>
      <c r="P27" s="992">
        <f>Qhc_Klimastat!K27</f>
        <v>3.1866436452362614</v>
      </c>
      <c r="Q27" s="305">
        <v>7.2616000000000014</v>
      </c>
      <c r="R27" s="177"/>
      <c r="S27" s="305">
        <v>6.9</v>
      </c>
      <c r="T27" s="306">
        <v>0</v>
      </c>
      <c r="U27" s="307">
        <v>20.927678571428569</v>
      </c>
      <c r="V27" s="305">
        <v>33.515300000000003</v>
      </c>
      <c r="W27" s="992">
        <f>Qhc_Klimastat!M27</f>
        <v>0</v>
      </c>
      <c r="X27" s="992">
        <f>Qhc_Klimastat!O27</f>
        <v>160.19391156959381</v>
      </c>
      <c r="Y27" s="305">
        <v>7.2616000000000014</v>
      </c>
      <c r="AA27" s="194">
        <v>7.01</v>
      </c>
      <c r="AB27" s="191" t="s">
        <v>19</v>
      </c>
      <c r="AC27" s="195">
        <v>2</v>
      </c>
      <c r="AD27" s="195">
        <v>0</v>
      </c>
      <c r="AE27" s="195">
        <v>5.4166666666666661</v>
      </c>
      <c r="AF27" s="195">
        <v>5.3166666666666664</v>
      </c>
      <c r="AG27" s="993">
        <f>Qhc_Klimastat!D27</f>
        <v>38.451766666666664</v>
      </c>
      <c r="AH27" s="993">
        <f>Qhc_Klimastat!F27</f>
        <v>12.967500000000001</v>
      </c>
      <c r="AI27" s="186"/>
      <c r="AJ27" s="195">
        <v>1</v>
      </c>
      <c r="AK27" s="195">
        <v>0</v>
      </c>
      <c r="AL27" s="195">
        <v>3.4722222222222219</v>
      </c>
      <c r="AM27" s="195">
        <v>3.2866666666666666</v>
      </c>
      <c r="AN27" s="993">
        <f>Qhc_Klimastat!H27</f>
        <v>35.421716339869278</v>
      </c>
      <c r="AO27" s="993">
        <f>Qhc_Klimastat!J27</f>
        <v>10.256647058823532</v>
      </c>
      <c r="AP27" s="186"/>
      <c r="AQ27" s="195">
        <v>3</v>
      </c>
      <c r="AR27" s="195">
        <v>0</v>
      </c>
      <c r="AS27" s="195">
        <v>6.9642857142857135</v>
      </c>
      <c r="AT27" s="195">
        <v>8.7966666666666669</v>
      </c>
      <c r="AU27" s="993">
        <f>Qhc_Klimastat!L27</f>
        <v>0</v>
      </c>
      <c r="AV27" s="993">
        <f>Qhc_Klimastat!N27</f>
        <v>54.442976470588242</v>
      </c>
    </row>
    <row r="28" spans="1:48">
      <c r="A28" s="194" t="s">
        <v>56</v>
      </c>
      <c r="B28" s="278" t="str">
        <f>Begriffe!F34</f>
        <v>Mehrzweckhalle</v>
      </c>
      <c r="C28" s="305">
        <v>11.6</v>
      </c>
      <c r="D28" s="306">
        <v>0</v>
      </c>
      <c r="E28" s="307">
        <v>16.076666666666664</v>
      </c>
      <c r="F28" s="305">
        <v>16.268999999999998</v>
      </c>
      <c r="G28" s="992">
        <f>Qhc_Klimastat!E28</f>
        <v>22.885080033282183</v>
      </c>
      <c r="H28" s="992">
        <f>Qhc_Klimastat!G28</f>
        <v>11.119383032634344</v>
      </c>
      <c r="I28" s="305">
        <v>7.2616000000000014</v>
      </c>
      <c r="J28" s="177"/>
      <c r="K28" s="305">
        <v>5.8</v>
      </c>
      <c r="L28" s="306">
        <v>0</v>
      </c>
      <c r="M28" s="307">
        <v>6.9548611111111107</v>
      </c>
      <c r="N28" s="305">
        <v>10.0572</v>
      </c>
      <c r="O28" s="992">
        <f>Qhc_Klimastat!I28</f>
        <v>20.184343785977124</v>
      </c>
      <c r="P28" s="992">
        <f>Qhc_Klimastat!K28</f>
        <v>6.0441365560673175</v>
      </c>
      <c r="Q28" s="305">
        <v>7.2616000000000014</v>
      </c>
      <c r="R28" s="177"/>
      <c r="S28" s="305">
        <v>17.399999999999999</v>
      </c>
      <c r="T28" s="306">
        <v>0</v>
      </c>
      <c r="U28" s="307">
        <v>20.669999999999998</v>
      </c>
      <c r="V28" s="305">
        <v>41.080433333333332</v>
      </c>
      <c r="W28" s="992">
        <f>Qhc_Klimastat!M28</f>
        <v>0.26174782042474276</v>
      </c>
      <c r="X28" s="992">
        <f>Qhc_Klimastat!O28</f>
        <v>125.77974561637893</v>
      </c>
      <c r="Y28" s="305">
        <v>7.2616000000000014</v>
      </c>
      <c r="AA28" s="194">
        <v>7.02</v>
      </c>
      <c r="AB28" s="191" t="s">
        <v>20</v>
      </c>
      <c r="AC28" s="195">
        <v>4</v>
      </c>
      <c r="AD28" s="195">
        <v>0</v>
      </c>
      <c r="AE28" s="195">
        <v>5.4166666666666661</v>
      </c>
      <c r="AF28" s="195">
        <v>5.3166666666666664</v>
      </c>
      <c r="AG28" s="993">
        <f>Qhc_Klimastat!D28</f>
        <v>54.986656470588237</v>
      </c>
      <c r="AH28" s="993">
        <f>Qhc_Klimastat!F28</f>
        <v>20.922515686274515</v>
      </c>
      <c r="AI28" s="186"/>
      <c r="AJ28" s="195">
        <v>2</v>
      </c>
      <c r="AK28" s="195">
        <v>0</v>
      </c>
      <c r="AL28" s="195">
        <v>3.4722222222222219</v>
      </c>
      <c r="AM28" s="195">
        <v>3.2866666666666666</v>
      </c>
      <c r="AN28" s="993">
        <f>Qhc_Klimastat!H28</f>
        <v>46.963962352941174</v>
      </c>
      <c r="AO28" s="993">
        <f>Qhc_Klimastat!J28</f>
        <v>16.636031372549024</v>
      </c>
      <c r="AP28" s="186"/>
      <c r="AQ28" s="195">
        <v>6</v>
      </c>
      <c r="AR28" s="195">
        <v>0</v>
      </c>
      <c r="AS28" s="195">
        <v>6.9642857142857135</v>
      </c>
      <c r="AT28" s="195">
        <v>8.7966666666666669</v>
      </c>
      <c r="AU28" s="993">
        <f>Qhc_Klimastat!L28</f>
        <v>72.191341176470601</v>
      </c>
      <c r="AV28" s="993">
        <f>Qhc_Klimastat!N28</f>
        <v>61.269760784313746</v>
      </c>
    </row>
    <row r="29" spans="1:48">
      <c r="A29" s="194" t="s">
        <v>57</v>
      </c>
      <c r="B29" s="278" t="str">
        <f>Begriffe!F35</f>
        <v>Ausstellungshalle</v>
      </c>
      <c r="C29" s="305">
        <v>20.3</v>
      </c>
      <c r="D29" s="306">
        <v>0</v>
      </c>
      <c r="E29" s="307">
        <v>36.627499999999998</v>
      </c>
      <c r="F29" s="305">
        <v>16.268999999999998</v>
      </c>
      <c r="G29" s="992">
        <f>Qhc_Klimastat!E29</f>
        <v>38.560539438369531</v>
      </c>
      <c r="H29" s="992">
        <f>Qhc_Klimastat!G29</f>
        <v>5.1494107675259686</v>
      </c>
      <c r="I29" s="305">
        <v>7.2616000000000014</v>
      </c>
      <c r="J29" s="177"/>
      <c r="K29" s="305">
        <v>8.6999999999999993</v>
      </c>
      <c r="L29" s="306">
        <v>0</v>
      </c>
      <c r="M29" s="307">
        <v>19.444444444444443</v>
      </c>
      <c r="N29" s="305">
        <v>10.0572</v>
      </c>
      <c r="O29" s="992">
        <f>Qhc_Klimastat!I29</f>
        <v>28.98008476437894</v>
      </c>
      <c r="P29" s="992">
        <f>Qhc_Klimastat!K29</f>
        <v>3.4907321701253546</v>
      </c>
      <c r="Q29" s="305">
        <v>7.2616000000000014</v>
      </c>
      <c r="R29" s="177"/>
      <c r="S29" s="305">
        <v>43.5</v>
      </c>
      <c r="T29" s="306">
        <v>0</v>
      </c>
      <c r="U29" s="307">
        <v>47.092499999999994</v>
      </c>
      <c r="V29" s="305">
        <v>41.080433333333332</v>
      </c>
      <c r="W29" s="992">
        <f>Qhc_Klimastat!M29</f>
        <v>6.749026798518031</v>
      </c>
      <c r="X29" s="992">
        <f>Qhc_Klimastat!O29</f>
        <v>102.75881415268503</v>
      </c>
      <c r="Y29" s="305">
        <v>7.2616000000000014</v>
      </c>
      <c r="AA29" s="194">
        <v>7.03</v>
      </c>
      <c r="AB29" s="191" t="s">
        <v>21</v>
      </c>
      <c r="AC29" s="195">
        <v>7</v>
      </c>
      <c r="AD29" s="195">
        <v>0</v>
      </c>
      <c r="AE29" s="195">
        <v>10.833333333333332</v>
      </c>
      <c r="AF29" s="195">
        <v>5.3166666666666664</v>
      </c>
      <c r="AG29" s="993">
        <f>Qhc_Klimastat!D29</f>
        <v>57.986656470588237</v>
      </c>
      <c r="AH29" s="993">
        <f>Qhc_Klimastat!F29</f>
        <v>20.922515686274515</v>
      </c>
      <c r="AI29" s="186"/>
      <c r="AJ29" s="195">
        <v>3</v>
      </c>
      <c r="AK29" s="195">
        <v>0</v>
      </c>
      <c r="AL29" s="195">
        <v>6.9444444444444438</v>
      </c>
      <c r="AM29" s="195">
        <v>3.2866666666666666</v>
      </c>
      <c r="AN29" s="993">
        <f>Qhc_Klimastat!H29</f>
        <v>47.963962352941174</v>
      </c>
      <c r="AO29" s="993">
        <f>Qhc_Klimastat!J29</f>
        <v>16.636031372549024</v>
      </c>
      <c r="AP29" s="186"/>
      <c r="AQ29" s="195">
        <v>15</v>
      </c>
      <c r="AR29" s="195">
        <v>0</v>
      </c>
      <c r="AS29" s="195">
        <v>13.928571428571427</v>
      </c>
      <c r="AT29" s="195">
        <v>8.7966666666666669</v>
      </c>
      <c r="AU29" s="993">
        <f>Qhc_Klimastat!L29</f>
        <v>81.191341176470601</v>
      </c>
      <c r="AV29" s="993">
        <f>Qhc_Klimastat!N29</f>
        <v>61.269760784313746</v>
      </c>
    </row>
    <row r="30" spans="1:48">
      <c r="A30" s="194" t="s">
        <v>58</v>
      </c>
      <c r="B30" s="278" t="str">
        <f>Begriffe!F36</f>
        <v xml:space="preserve">Bettenzimmer </v>
      </c>
      <c r="C30" s="305">
        <v>10.5</v>
      </c>
      <c r="D30" s="306">
        <v>0</v>
      </c>
      <c r="E30" s="307">
        <v>8.2016666666666662</v>
      </c>
      <c r="F30" s="305">
        <v>9.3148000000000017</v>
      </c>
      <c r="G30" s="992">
        <f>Qhc_Klimastat!E30</f>
        <v>13.693829307923286</v>
      </c>
      <c r="H30" s="992">
        <f>Qhc_Klimastat!G30</f>
        <v>10.843158550297417</v>
      </c>
      <c r="I30" s="305">
        <v>67.744000000000014</v>
      </c>
      <c r="J30" s="177"/>
      <c r="K30" s="305">
        <v>7</v>
      </c>
      <c r="L30" s="306">
        <v>0</v>
      </c>
      <c r="M30" s="307">
        <v>2.7133190883190883</v>
      </c>
      <c r="N30" s="305">
        <v>5.7582400000000007</v>
      </c>
      <c r="O30" s="992">
        <f>Qhc_Klimastat!I30</f>
        <v>11.344029682374098</v>
      </c>
      <c r="P30" s="992">
        <f>Qhc_Klimastat!K30</f>
        <v>5.980942292102406</v>
      </c>
      <c r="Q30" s="305">
        <v>67.744000000000014</v>
      </c>
      <c r="R30" s="177"/>
      <c r="S30" s="305">
        <v>14</v>
      </c>
      <c r="T30" s="306">
        <v>0</v>
      </c>
      <c r="U30" s="307">
        <v>10.545</v>
      </c>
      <c r="V30" s="305">
        <v>0</v>
      </c>
      <c r="W30" s="992">
        <f>Qhc_Klimastat!M30</f>
        <v>0.27596119297729971</v>
      </c>
      <c r="X30" s="992">
        <f>Qhc_Klimastat!O30</f>
        <v>88.999439770117746</v>
      </c>
      <c r="Y30" s="305">
        <v>67.744000000000014</v>
      </c>
      <c r="AA30" s="194">
        <v>8.01</v>
      </c>
      <c r="AB30" s="191" t="s">
        <v>22</v>
      </c>
      <c r="AC30" s="195">
        <v>6</v>
      </c>
      <c r="AD30" s="195">
        <v>0</v>
      </c>
      <c r="AE30" s="195">
        <v>5.2777777777777777</v>
      </c>
      <c r="AF30" s="195">
        <v>1.0633333333333335</v>
      </c>
      <c r="AG30" s="993">
        <f>Qhc_Klimastat!D30</f>
        <v>31.910762143790855</v>
      </c>
      <c r="AH30" s="993">
        <f>Qhc_Klimastat!F30</f>
        <v>16.879408496732026</v>
      </c>
      <c r="AI30" s="186"/>
      <c r="AJ30" s="195">
        <v>4</v>
      </c>
      <c r="AK30" s="195">
        <v>0</v>
      </c>
      <c r="AL30" s="195">
        <v>3.383190883190883</v>
      </c>
      <c r="AM30" s="195">
        <v>0.65733333333333344</v>
      </c>
      <c r="AN30" s="993">
        <f>Qhc_Klimastat!H30</f>
        <v>24.607144366013074</v>
      </c>
      <c r="AO30" s="993">
        <f>Qhc_Klimastat!J30</f>
        <v>12.964575163398694</v>
      </c>
      <c r="AP30" s="186"/>
      <c r="AQ30" s="195">
        <v>8</v>
      </c>
      <c r="AR30" s="195">
        <v>0</v>
      </c>
      <c r="AS30" s="195">
        <v>6.7857142857142856</v>
      </c>
      <c r="AT30" s="195">
        <v>0</v>
      </c>
      <c r="AU30" s="993">
        <f>Qhc_Klimastat!L30</f>
        <v>47.991369934640524</v>
      </c>
      <c r="AV30" s="993">
        <f>Qhc_Klimastat!N30</f>
        <v>48.222571895424842</v>
      </c>
    </row>
    <row r="31" spans="1:48">
      <c r="A31" s="194" t="s">
        <v>59</v>
      </c>
      <c r="B31" s="278" t="str">
        <f>Begriffe!F37</f>
        <v xml:space="preserve">Stationszimmer </v>
      </c>
      <c r="C31" s="305">
        <v>31.5</v>
      </c>
      <c r="D31" s="306">
        <v>0</v>
      </c>
      <c r="E31" s="307">
        <v>55.708333333333336</v>
      </c>
      <c r="F31" s="305">
        <v>16.694333333333333</v>
      </c>
      <c r="G31" s="992">
        <f>Qhc_Klimastat!E31</f>
        <v>73.031712842168758</v>
      </c>
      <c r="H31" s="992">
        <f>Qhc_Klimastat!G31</f>
        <v>1.1928599041939563</v>
      </c>
      <c r="I31" s="305">
        <v>0</v>
      </c>
      <c r="J31" s="177"/>
      <c r="K31" s="305">
        <v>15.75</v>
      </c>
      <c r="L31" s="306">
        <v>0</v>
      </c>
      <c r="M31" s="307">
        <v>28.312856125356127</v>
      </c>
      <c r="N31" s="305">
        <v>10.320133333333333</v>
      </c>
      <c r="O31" s="992">
        <f>Qhc_Klimastat!I31</f>
        <v>49.281036093192292</v>
      </c>
      <c r="P31" s="992">
        <f>Qhc_Klimastat!K31</f>
        <v>1.1676841081240208</v>
      </c>
      <c r="Q31" s="305">
        <v>0</v>
      </c>
      <c r="R31" s="177"/>
      <c r="S31" s="305">
        <v>47.25</v>
      </c>
      <c r="T31" s="306">
        <v>0</v>
      </c>
      <c r="U31" s="307">
        <v>71.625000000000014</v>
      </c>
      <c r="V31" s="305">
        <v>0</v>
      </c>
      <c r="W31" s="992">
        <f>Qhc_Klimastat!M31</f>
        <v>17.434127401163078</v>
      </c>
      <c r="X31" s="992">
        <f>Qhc_Klimastat!O31</f>
        <v>68.162783189850344</v>
      </c>
      <c r="Y31" s="305">
        <v>0</v>
      </c>
      <c r="AA31" s="194">
        <v>8.02</v>
      </c>
      <c r="AB31" s="191" t="s">
        <v>23</v>
      </c>
      <c r="AC31" s="195">
        <v>10</v>
      </c>
      <c r="AD31" s="195">
        <v>0</v>
      </c>
      <c r="AE31" s="195">
        <v>9.7222222222222232</v>
      </c>
      <c r="AF31" s="195">
        <v>5.3166666666666664</v>
      </c>
      <c r="AG31" s="993">
        <f>Qhc_Klimastat!D31</f>
        <v>64.635112156862746</v>
      </c>
      <c r="AH31" s="993">
        <f>Qhc_Klimastat!F31</f>
        <v>16.381850980392155</v>
      </c>
      <c r="AI31" s="186"/>
      <c r="AJ31" s="195">
        <v>5</v>
      </c>
      <c r="AK31" s="195">
        <v>0</v>
      </c>
      <c r="AL31" s="195">
        <v>6.232193732193732</v>
      </c>
      <c r="AM31" s="195">
        <v>3.2866666666666666</v>
      </c>
      <c r="AN31" s="993">
        <f>Qhc_Klimastat!H31</f>
        <v>52.623214117647059</v>
      </c>
      <c r="AO31" s="993">
        <f>Qhc_Klimastat!J31</f>
        <v>13.186000000000002</v>
      </c>
      <c r="AP31" s="186"/>
      <c r="AQ31" s="195">
        <v>15</v>
      </c>
      <c r="AR31" s="195">
        <v>0</v>
      </c>
      <c r="AS31" s="195">
        <v>12.500000000000002</v>
      </c>
      <c r="AT31" s="195">
        <v>0</v>
      </c>
      <c r="AU31" s="993">
        <f>Qhc_Klimastat!L31</f>
        <v>90.611717647058825</v>
      </c>
      <c r="AV31" s="993">
        <f>Qhc_Klimastat!N31</f>
        <v>39.846490196078435</v>
      </c>
    </row>
    <row r="32" spans="1:48">
      <c r="A32" s="194" t="s">
        <v>60</v>
      </c>
      <c r="B32" s="278" t="str">
        <f>Begriffe!F38</f>
        <v>Behandlungsraum</v>
      </c>
      <c r="C32" s="305">
        <v>32.700000000000003</v>
      </c>
      <c r="D32" s="306">
        <v>32.700000000000003</v>
      </c>
      <c r="E32" s="307">
        <v>28.029166666666669</v>
      </c>
      <c r="F32" s="305">
        <v>10.526999999999999</v>
      </c>
      <c r="G32" s="992">
        <f>Qhc_Klimastat!E32</f>
        <v>24.439366838652052</v>
      </c>
      <c r="H32" s="992">
        <f>Qhc_Klimastat!G32</f>
        <v>9.0281909308479538</v>
      </c>
      <c r="I32" s="305">
        <v>0</v>
      </c>
      <c r="J32" s="177"/>
      <c r="K32" s="305">
        <v>21.8</v>
      </c>
      <c r="L32" s="306">
        <v>10.9</v>
      </c>
      <c r="M32" s="307">
        <v>10.731837606837606</v>
      </c>
      <c r="N32" s="305">
        <v>4.2200800000000003</v>
      </c>
      <c r="O32" s="992">
        <f>Qhc_Klimastat!I32</f>
        <v>16.83167887407112</v>
      </c>
      <c r="P32" s="992">
        <f>Qhc_Klimastat!K32</f>
        <v>4.7562271971402836</v>
      </c>
      <c r="Q32" s="305">
        <v>0</v>
      </c>
      <c r="R32" s="177"/>
      <c r="S32" s="305">
        <v>43.6</v>
      </c>
      <c r="T32" s="306">
        <v>43.6</v>
      </c>
      <c r="U32" s="307">
        <v>36.037500000000009</v>
      </c>
      <c r="V32" s="305">
        <v>0</v>
      </c>
      <c r="W32" s="992">
        <f>Qhc_Klimastat!M32</f>
        <v>4.3669331071856234</v>
      </c>
      <c r="X32" s="992">
        <f>Qhc_Klimastat!O32</f>
        <v>87.203888871344631</v>
      </c>
      <c r="Y32" s="305">
        <v>0</v>
      </c>
      <c r="AA32" s="194">
        <v>8.0299999999999994</v>
      </c>
      <c r="AB32" s="191" t="s">
        <v>202</v>
      </c>
      <c r="AC32" s="195">
        <v>15</v>
      </c>
      <c r="AD32" s="195">
        <v>15</v>
      </c>
      <c r="AE32" s="195">
        <v>14.583333333333334</v>
      </c>
      <c r="AF32" s="195">
        <v>3.19</v>
      </c>
      <c r="AG32" s="993">
        <f>Qhc_Klimastat!D32</f>
        <v>60.196071529411768</v>
      </c>
      <c r="AH32" s="993">
        <f>Qhc_Klimastat!F32</f>
        <v>20.497390196078435</v>
      </c>
      <c r="AI32" s="186"/>
      <c r="AJ32" s="195">
        <v>10</v>
      </c>
      <c r="AK32" s="195">
        <v>5</v>
      </c>
      <c r="AL32" s="195">
        <v>9.3482905982905979</v>
      </c>
      <c r="AM32" s="195">
        <v>1.972</v>
      </c>
      <c r="AN32" s="993">
        <f>Qhc_Klimastat!H32</f>
        <v>47.528833882352934</v>
      </c>
      <c r="AO32" s="993">
        <f>Qhc_Klimastat!J32</f>
        <v>15.672056862745102</v>
      </c>
      <c r="AP32" s="186"/>
      <c r="AQ32" s="195">
        <v>20</v>
      </c>
      <c r="AR32" s="195">
        <v>43.6</v>
      </c>
      <c r="AS32" s="195">
        <v>18.750000000000004</v>
      </c>
      <c r="AT32" s="195">
        <v>0</v>
      </c>
      <c r="AU32" s="993">
        <f>Qhc_Klimastat!L32</f>
        <v>86.432564705882356</v>
      </c>
      <c r="AV32" s="993">
        <f>Qhc_Klimastat!N32</f>
        <v>58.10918627450981</v>
      </c>
    </row>
    <row r="33" spans="1:48">
      <c r="A33" s="194" t="s">
        <v>61</v>
      </c>
      <c r="B33" s="278" t="str">
        <f>Begriffe!F39</f>
        <v>Produktion (grobe Arbeit)</v>
      </c>
      <c r="C33" s="305">
        <v>16.8</v>
      </c>
      <c r="D33" s="306">
        <v>50.4</v>
      </c>
      <c r="E33" s="307">
        <v>15.543749999999999</v>
      </c>
      <c r="F33" s="305">
        <v>7.2483888888888899</v>
      </c>
      <c r="G33" s="992">
        <f>Qhc_Klimastat!E33</f>
        <v>4.956276018563738</v>
      </c>
      <c r="H33" s="992">
        <f>Qhc_Klimastat!G33</f>
        <v>15.094722786649299</v>
      </c>
      <c r="I33" s="305">
        <v>2.4220800000000007</v>
      </c>
      <c r="J33" s="177"/>
      <c r="K33" s="305">
        <v>16.8</v>
      </c>
      <c r="L33" s="306">
        <v>33.6</v>
      </c>
      <c r="M33" s="307">
        <v>4.7113715277777777</v>
      </c>
      <c r="N33" s="305">
        <v>3.5057777777777779</v>
      </c>
      <c r="O33" s="992">
        <f>Qhc_Klimastat!I33</f>
        <v>3.5496163321360896</v>
      </c>
      <c r="P33" s="992">
        <f>Qhc_Klimastat!K33</f>
        <v>8.7736270676034351</v>
      </c>
      <c r="Q33" s="305">
        <v>2.4220800000000007</v>
      </c>
      <c r="R33" s="177"/>
      <c r="S33" s="305">
        <v>33.6</v>
      </c>
      <c r="T33" s="306">
        <v>100.8</v>
      </c>
      <c r="U33" s="307">
        <v>28.866964285714282</v>
      </c>
      <c r="V33" s="305">
        <v>11.992788888888889</v>
      </c>
      <c r="W33" s="992">
        <f>Qhc_Klimastat!M33</f>
        <v>0</v>
      </c>
      <c r="X33" s="992">
        <f>Qhc_Klimastat!O33</f>
        <v>83.958276475684798</v>
      </c>
      <c r="Y33" s="305">
        <v>2.4220800000000007</v>
      </c>
      <c r="AA33" s="194">
        <v>9.01</v>
      </c>
      <c r="AB33" s="191" t="s">
        <v>24</v>
      </c>
      <c r="AC33" s="195">
        <v>5</v>
      </c>
      <c r="AD33" s="195">
        <v>15</v>
      </c>
      <c r="AE33" s="195">
        <v>3.75</v>
      </c>
      <c r="AF33" s="195">
        <v>1.7722222222222224</v>
      </c>
      <c r="AG33" s="993">
        <f>Qhc_Klimastat!D33</f>
        <v>26.152069934640526</v>
      </c>
      <c r="AH33" s="993">
        <f>Qhc_Klimastat!F33</f>
        <v>18.805633333333336</v>
      </c>
      <c r="AI33" s="186"/>
      <c r="AJ33" s="195">
        <v>5</v>
      </c>
      <c r="AK33" s="195">
        <v>10</v>
      </c>
      <c r="AL33" s="195">
        <v>2.8211805555555554</v>
      </c>
      <c r="AM33" s="195">
        <v>1.0955555555555556</v>
      </c>
      <c r="AN33" s="993">
        <f>Qhc_Klimastat!H33</f>
        <v>20.464939869281043</v>
      </c>
      <c r="AO33" s="993">
        <f>Qhc_Klimastat!J33</f>
        <v>14.922266666666669</v>
      </c>
      <c r="AP33" s="186"/>
      <c r="AQ33" s="195">
        <v>10</v>
      </c>
      <c r="AR33" s="195">
        <v>100.8</v>
      </c>
      <c r="AS33" s="195">
        <v>6.9642857142857135</v>
      </c>
      <c r="AT33" s="195">
        <v>2.9322222222222223</v>
      </c>
      <c r="AU33" s="993">
        <f>Qhc_Klimastat!L33</f>
        <v>0</v>
      </c>
      <c r="AV33" s="993">
        <f>Qhc_Klimastat!N33</f>
        <v>55.358466666666686</v>
      </c>
    </row>
    <row r="34" spans="1:48">
      <c r="A34" s="194" t="s">
        <v>62</v>
      </c>
      <c r="B34" s="278" t="str">
        <f>Begriffe!F40</f>
        <v>Produktion (feine Arbeit)</v>
      </c>
      <c r="C34" s="305">
        <v>12.2</v>
      </c>
      <c r="D34" s="306">
        <v>24.4</v>
      </c>
      <c r="E34" s="307">
        <v>10.481250000000001</v>
      </c>
      <c r="F34" s="305">
        <v>4.1470000000000011</v>
      </c>
      <c r="G34" s="992">
        <f>Qhc_Klimastat!E34</f>
        <v>4.732962097128123</v>
      </c>
      <c r="H34" s="992">
        <f>Qhc_Klimastat!G34</f>
        <v>12.552226055744933</v>
      </c>
      <c r="I34" s="305">
        <v>2.4220800000000007</v>
      </c>
      <c r="J34" s="177"/>
      <c r="K34" s="305">
        <v>12.2</v>
      </c>
      <c r="L34" s="306">
        <v>12.2</v>
      </c>
      <c r="M34" s="307">
        <v>2.586082175925926</v>
      </c>
      <c r="N34" s="305">
        <v>1.8010933333333337</v>
      </c>
      <c r="O34" s="992">
        <f>Qhc_Klimastat!I34</f>
        <v>3.3721952400254853</v>
      </c>
      <c r="P34" s="992">
        <f>Qhc_Klimastat!K34</f>
        <v>7.5203829961795101</v>
      </c>
      <c r="Q34" s="305">
        <v>2.4220800000000007</v>
      </c>
      <c r="R34" s="177"/>
      <c r="S34" s="305">
        <v>24.4</v>
      </c>
      <c r="T34" s="306">
        <v>48.8</v>
      </c>
      <c r="U34" s="307">
        <v>19.46517857142857</v>
      </c>
      <c r="V34" s="305">
        <v>6.8614000000000006</v>
      </c>
      <c r="W34" s="992">
        <f>Qhc_Klimastat!M34</f>
        <v>0</v>
      </c>
      <c r="X34" s="992">
        <f>Qhc_Klimastat!O34</f>
        <v>77.428060286991681</v>
      </c>
      <c r="Y34" s="305">
        <v>2.4220800000000007</v>
      </c>
      <c r="AA34" s="194">
        <v>9.02</v>
      </c>
      <c r="AB34" s="191" t="s">
        <v>25</v>
      </c>
      <c r="AC34" s="195">
        <v>5</v>
      </c>
      <c r="AD34" s="195">
        <v>10</v>
      </c>
      <c r="AE34" s="195">
        <v>6.25</v>
      </c>
      <c r="AF34" s="195">
        <v>1.0633333333333335</v>
      </c>
      <c r="AG34" s="993">
        <f>Qhc_Klimastat!D34</f>
        <v>30.230337960784318</v>
      </c>
      <c r="AH34" s="993">
        <f>Qhc_Klimastat!F34</f>
        <v>20.922515686274515</v>
      </c>
      <c r="AI34" s="186"/>
      <c r="AJ34" s="195">
        <v>5</v>
      </c>
      <c r="AK34" s="195">
        <v>5</v>
      </c>
      <c r="AL34" s="195">
        <v>4.7019675925925926</v>
      </c>
      <c r="AM34" s="195">
        <v>0.65733333333333344</v>
      </c>
      <c r="AN34" s="993">
        <f>Qhc_Klimastat!H34</f>
        <v>24.62405835294118</v>
      </c>
      <c r="AO34" s="993">
        <f>Qhc_Klimastat!J34</f>
        <v>16.636031372549024</v>
      </c>
      <c r="AP34" s="186"/>
      <c r="AQ34" s="195">
        <v>10</v>
      </c>
      <c r="AR34" s="195">
        <v>48.8</v>
      </c>
      <c r="AS34" s="195">
        <v>11.607142857142856</v>
      </c>
      <c r="AT34" s="195">
        <v>1.7593333333333334</v>
      </c>
      <c r="AU34" s="993">
        <f>Qhc_Klimastat!L34</f>
        <v>0</v>
      </c>
      <c r="AV34" s="993">
        <f>Qhc_Klimastat!N34</f>
        <v>61.269760784313746</v>
      </c>
    </row>
    <row r="35" spans="1:48">
      <c r="A35" s="194" t="s">
        <v>103</v>
      </c>
      <c r="B35" s="278" t="str">
        <f>Begriffe!F41</f>
        <v>Laborraum</v>
      </c>
      <c r="C35" s="305">
        <v>12.2</v>
      </c>
      <c r="D35" s="306">
        <v>36.6</v>
      </c>
      <c r="E35" s="307">
        <v>13.191011904761904</v>
      </c>
      <c r="F35" s="305">
        <v>4.1470000000000011</v>
      </c>
      <c r="G35" s="992">
        <f>Qhc_Klimastat!E35</f>
        <v>5.3191977705098026</v>
      </c>
      <c r="H35" s="992">
        <f>Qhc_Klimastat!G35</f>
        <v>20.439720165467186</v>
      </c>
      <c r="I35" s="305">
        <v>2.4220800000000007</v>
      </c>
      <c r="J35" s="177"/>
      <c r="K35" s="305">
        <v>12.2</v>
      </c>
      <c r="L35" s="306">
        <v>24.4</v>
      </c>
      <c r="M35" s="307">
        <v>2.7081425518925517</v>
      </c>
      <c r="N35" s="305">
        <v>1.8010933333333337</v>
      </c>
      <c r="O35" s="992">
        <f>Qhc_Klimastat!I35</f>
        <v>3.2239598320844824</v>
      </c>
      <c r="P35" s="992">
        <f>Qhc_Klimastat!K35</f>
        <v>12.730999335260602</v>
      </c>
      <c r="Q35" s="305">
        <v>2.4220800000000007</v>
      </c>
      <c r="R35" s="177"/>
      <c r="S35" s="305">
        <v>24.4</v>
      </c>
      <c r="T35" s="306">
        <v>73.2</v>
      </c>
      <c r="U35" s="307">
        <v>16.959872448979592</v>
      </c>
      <c r="V35" s="305">
        <v>6.8614000000000006</v>
      </c>
      <c r="W35" s="992">
        <f>Qhc_Klimastat!M35</f>
        <v>0</v>
      </c>
      <c r="X35" s="992">
        <f>Qhc_Klimastat!O35</f>
        <v>113.61783360263072</v>
      </c>
      <c r="Y35" s="305">
        <v>2.4220800000000007</v>
      </c>
      <c r="AA35" s="194">
        <v>9.0299999999999994</v>
      </c>
      <c r="AB35" s="191" t="s">
        <v>104</v>
      </c>
      <c r="AC35" s="195">
        <v>5</v>
      </c>
      <c r="AD35" s="195">
        <v>15</v>
      </c>
      <c r="AE35" s="195">
        <v>9.9404761904761898</v>
      </c>
      <c r="AF35" s="195">
        <v>1.0633333333333335</v>
      </c>
      <c r="AG35" s="993">
        <f>Qhc_Klimastat!D35</f>
        <v>42.965571854341732</v>
      </c>
      <c r="AH35" s="993">
        <f>Qhc_Klimastat!F35</f>
        <v>26.242058263305324</v>
      </c>
      <c r="AI35" s="186"/>
      <c r="AJ35" s="195">
        <v>5</v>
      </c>
      <c r="AK35" s="195">
        <v>10</v>
      </c>
      <c r="AL35" s="195">
        <v>6.3721001221001217</v>
      </c>
      <c r="AM35" s="195">
        <v>0.65733333333333344</v>
      </c>
      <c r="AN35" s="993">
        <f>Qhc_Klimastat!H35</f>
        <v>33.351753142857142</v>
      </c>
      <c r="AO35" s="993">
        <f>Qhc_Klimastat!J35</f>
        <v>19.739104761904766</v>
      </c>
      <c r="AP35" s="186"/>
      <c r="AQ35" s="195">
        <v>10</v>
      </c>
      <c r="AR35" s="195">
        <v>73.2</v>
      </c>
      <c r="AS35" s="195">
        <v>12.780612244897959</v>
      </c>
      <c r="AT35" s="195">
        <v>1.7593333333333334</v>
      </c>
      <c r="AU35" s="993">
        <f>Qhc_Klimastat!L35</f>
        <v>0</v>
      </c>
      <c r="AV35" s="993">
        <f>Qhc_Klimastat!N35</f>
        <v>72.490445938375359</v>
      </c>
    </row>
    <row r="36" spans="1:48">
      <c r="A36" s="194" t="s">
        <v>63</v>
      </c>
      <c r="B36" s="278" t="str">
        <f>Begriffe!F42</f>
        <v>Lagerhalle</v>
      </c>
      <c r="C36" s="305">
        <v>6.32</v>
      </c>
      <c r="D36" s="306">
        <v>0</v>
      </c>
      <c r="E36" s="307">
        <v>16.213326923076924</v>
      </c>
      <c r="F36" s="305">
        <v>2.563600000000001</v>
      </c>
      <c r="G36" s="992">
        <f>Qhc_Klimastat!E36</f>
        <v>0</v>
      </c>
      <c r="H36" s="992">
        <f>Qhc_Klimastat!G36</f>
        <v>9.6329444067037233</v>
      </c>
      <c r="I36" s="305">
        <v>0.9082800000000002</v>
      </c>
      <c r="J36" s="177"/>
      <c r="K36" s="305">
        <v>3.16</v>
      </c>
      <c r="L36" s="306">
        <v>0</v>
      </c>
      <c r="M36" s="307">
        <v>4.9143229166666673</v>
      </c>
      <c r="N36" s="305">
        <v>1.1020845833333337</v>
      </c>
      <c r="O36" s="992">
        <f>Qhc_Klimastat!I36</f>
        <v>0</v>
      </c>
      <c r="P36" s="992">
        <f>Qhc_Klimastat!K36</f>
        <v>7.9670791010373421</v>
      </c>
      <c r="Q36" s="305">
        <v>0.9082800000000002</v>
      </c>
      <c r="R36" s="177"/>
      <c r="S36" s="305">
        <v>9.48</v>
      </c>
      <c r="T36" s="306">
        <v>0</v>
      </c>
      <c r="U36" s="307">
        <v>30.110464285714286</v>
      </c>
      <c r="V36" s="305">
        <v>0</v>
      </c>
      <c r="W36" s="992">
        <f>Qhc_Klimastat!M36</f>
        <v>0</v>
      </c>
      <c r="X36" s="992">
        <f>Qhc_Klimastat!O36</f>
        <v>71.863972588285904</v>
      </c>
      <c r="Y36" s="305">
        <v>0.9082800000000002</v>
      </c>
      <c r="AA36" s="194">
        <v>10.01</v>
      </c>
      <c r="AB36" s="191" t="s">
        <v>26</v>
      </c>
      <c r="AC36" s="195">
        <v>2</v>
      </c>
      <c r="AD36" s="195">
        <v>0</v>
      </c>
      <c r="AE36" s="195">
        <v>3.9115384615384619</v>
      </c>
      <c r="AF36" s="195">
        <v>0.41083333333333344</v>
      </c>
      <c r="AG36" s="993">
        <f>Qhc_Klimastat!D36</f>
        <v>0</v>
      </c>
      <c r="AH36" s="993">
        <f>Qhc_Klimastat!F36</f>
        <v>18.805633333333336</v>
      </c>
      <c r="AI36" s="186"/>
      <c r="AJ36" s="195">
        <v>1</v>
      </c>
      <c r="AK36" s="195">
        <v>0</v>
      </c>
      <c r="AL36" s="195">
        <v>2.9427083333333335</v>
      </c>
      <c r="AM36" s="195">
        <v>0.26945833333333341</v>
      </c>
      <c r="AN36" s="993">
        <f>Qhc_Klimastat!H36</f>
        <v>0</v>
      </c>
      <c r="AO36" s="993">
        <f>Qhc_Klimastat!J36</f>
        <v>14.922266666666669</v>
      </c>
      <c r="AP36" s="186"/>
      <c r="AQ36" s="195">
        <v>3</v>
      </c>
      <c r="AR36" s="195">
        <v>0</v>
      </c>
      <c r="AS36" s="195">
        <v>7.2642857142857142</v>
      </c>
      <c r="AT36" s="195">
        <v>0</v>
      </c>
      <c r="AU36" s="993">
        <f>Qhc_Klimastat!L36</f>
        <v>0</v>
      </c>
      <c r="AV36" s="993">
        <f>Qhc_Klimastat!N36</f>
        <v>68.305666666666681</v>
      </c>
    </row>
    <row r="37" spans="1:48">
      <c r="A37" s="194" t="s">
        <v>64</v>
      </c>
      <c r="B37" s="278" t="str">
        <f>Begriffe!F43</f>
        <v>Turnhalle</v>
      </c>
      <c r="C37" s="305">
        <v>2.59</v>
      </c>
      <c r="D37" s="306">
        <v>0</v>
      </c>
      <c r="E37" s="307">
        <v>19.686944444444439</v>
      </c>
      <c r="F37" s="305">
        <v>4.2028250000000007</v>
      </c>
      <c r="G37" s="992">
        <f>Qhc_Klimastat!E37</f>
        <v>0</v>
      </c>
      <c r="H37" s="992">
        <f>Qhc_Klimastat!G37</f>
        <v>29.411197237886949</v>
      </c>
      <c r="I37" s="305">
        <v>63.48006246575342</v>
      </c>
      <c r="J37" s="177"/>
      <c r="K37" s="305">
        <v>0</v>
      </c>
      <c r="L37" s="306">
        <v>0</v>
      </c>
      <c r="M37" s="307">
        <v>5.0220649335232652</v>
      </c>
      <c r="N37" s="305">
        <v>2.1341100000000002</v>
      </c>
      <c r="O37" s="992">
        <f>Qhc_Klimastat!I37</f>
        <v>0</v>
      </c>
      <c r="P37" s="992">
        <f>Qhc_Klimastat!K37</f>
        <v>24.031142924194953</v>
      </c>
      <c r="Q37" s="305">
        <v>63.48006246575342</v>
      </c>
      <c r="R37" s="177"/>
      <c r="S37" s="305">
        <v>5.18</v>
      </c>
      <c r="T37" s="306">
        <v>0</v>
      </c>
      <c r="U37" s="307">
        <v>25.311785714285712</v>
      </c>
      <c r="V37" s="305">
        <v>0</v>
      </c>
      <c r="W37" s="992">
        <f>Qhc_Klimastat!M37</f>
        <v>0</v>
      </c>
      <c r="X37" s="992">
        <f>Qhc_Klimastat!O37</f>
        <v>79.66891557091931</v>
      </c>
      <c r="Y37" s="305">
        <v>63.48006246575342</v>
      </c>
      <c r="AA37" s="194">
        <v>11.01</v>
      </c>
      <c r="AB37" s="191" t="s">
        <v>27</v>
      </c>
      <c r="AC37" s="195">
        <v>1</v>
      </c>
      <c r="AD37" s="195">
        <v>0</v>
      </c>
      <c r="AE37" s="195">
        <v>8.773148148148147</v>
      </c>
      <c r="AF37" s="195">
        <v>1.2325000000000002</v>
      </c>
      <c r="AG37" s="993">
        <f>Qhc_Klimastat!D37</f>
        <v>0</v>
      </c>
      <c r="AH37" s="993">
        <f>Qhc_Klimastat!F37</f>
        <v>18.132866666666665</v>
      </c>
      <c r="AI37" s="186"/>
      <c r="AJ37" s="195">
        <v>0</v>
      </c>
      <c r="AK37" s="195">
        <v>0</v>
      </c>
      <c r="AL37" s="195">
        <v>5.6238129154795811</v>
      </c>
      <c r="AM37" s="195">
        <v>0.80837500000000007</v>
      </c>
      <c r="AN37" s="993">
        <f>Qhc_Klimastat!H37</f>
        <v>0</v>
      </c>
      <c r="AO37" s="993">
        <f>Qhc_Klimastat!J37</f>
        <v>14.554933333333334</v>
      </c>
      <c r="AP37" s="186"/>
      <c r="AQ37" s="195">
        <v>2</v>
      </c>
      <c r="AR37" s="195">
        <v>0</v>
      </c>
      <c r="AS37" s="195">
        <v>11.279761904761903</v>
      </c>
      <c r="AT37" s="195">
        <v>0</v>
      </c>
      <c r="AU37" s="993">
        <f>Qhc_Klimastat!L37</f>
        <v>0</v>
      </c>
      <c r="AV37" s="993">
        <f>Qhc_Klimastat!N37</f>
        <v>64.884000000000015</v>
      </c>
    </row>
    <row r="38" spans="1:48">
      <c r="A38" s="194" t="s">
        <v>65</v>
      </c>
      <c r="B38" s="278" t="str">
        <f>Begriffe!F44</f>
        <v>Fitnessraum</v>
      </c>
      <c r="C38" s="305">
        <v>6.82</v>
      </c>
      <c r="D38" s="306">
        <v>0</v>
      </c>
      <c r="E38" s="307">
        <v>15.543166666666668</v>
      </c>
      <c r="F38" s="305">
        <v>13.796750000000001</v>
      </c>
      <c r="G38" s="992">
        <f>Qhc_Klimastat!E38</f>
        <v>3.7457334694669875</v>
      </c>
      <c r="H38" s="992">
        <f>Qhc_Klimastat!G38</f>
        <v>11.86218645716934</v>
      </c>
      <c r="I38" s="305">
        <v>87.139200000000017</v>
      </c>
      <c r="J38" s="177"/>
      <c r="K38" s="305">
        <v>3.41</v>
      </c>
      <c r="L38" s="306">
        <v>0</v>
      </c>
      <c r="M38" s="307">
        <v>4.0478988603988597</v>
      </c>
      <c r="N38" s="305">
        <v>8.5289000000000019</v>
      </c>
      <c r="O38" s="992">
        <f>Qhc_Klimastat!I38</f>
        <v>1.2699722726479281</v>
      </c>
      <c r="P38" s="992">
        <f>Qhc_Klimastat!K38</f>
        <v>10.668333904630339</v>
      </c>
      <c r="Q38" s="305">
        <v>87.139200000000017</v>
      </c>
      <c r="R38" s="177"/>
      <c r="S38" s="305">
        <v>10.23</v>
      </c>
      <c r="T38" s="306">
        <v>0</v>
      </c>
      <c r="U38" s="307">
        <v>19.984071428571433</v>
      </c>
      <c r="V38" s="305">
        <v>29.490825000000001</v>
      </c>
      <c r="W38" s="992">
        <f>Qhc_Klimastat!M38</f>
        <v>0</v>
      </c>
      <c r="X38" s="992">
        <f>Qhc_Klimastat!O38</f>
        <v>79.46091601919322</v>
      </c>
      <c r="Y38" s="305">
        <v>87.139200000000017</v>
      </c>
      <c r="AA38" s="194">
        <v>11.02</v>
      </c>
      <c r="AB38" s="191" t="s">
        <v>28</v>
      </c>
      <c r="AC38" s="195">
        <v>2</v>
      </c>
      <c r="AD38" s="195">
        <v>0</v>
      </c>
      <c r="AE38" s="195">
        <v>4.9722222222222223</v>
      </c>
      <c r="AF38" s="195">
        <v>3.9875000000000003</v>
      </c>
      <c r="AG38" s="993">
        <f>Qhc_Klimastat!D38</f>
        <v>27.008675686274511</v>
      </c>
      <c r="AH38" s="993">
        <f>Qhc_Klimastat!F38</f>
        <v>11.236066666666666</v>
      </c>
      <c r="AI38" s="186"/>
      <c r="AJ38" s="195">
        <v>1</v>
      </c>
      <c r="AK38" s="195">
        <v>0</v>
      </c>
      <c r="AL38" s="195">
        <v>3.1873219373219368</v>
      </c>
      <c r="AM38" s="195">
        <v>2.4650000000000003</v>
      </c>
      <c r="AN38" s="993">
        <f>Qhc_Klimastat!H38</f>
        <v>21.157991372549017</v>
      </c>
      <c r="AO38" s="993">
        <f>Qhc_Klimastat!J38</f>
        <v>8.7729999999999997</v>
      </c>
      <c r="AP38" s="186"/>
      <c r="AQ38" s="195">
        <v>3</v>
      </c>
      <c r="AR38" s="195">
        <v>0</v>
      </c>
      <c r="AS38" s="195">
        <v>6.3928571428571441</v>
      </c>
      <c r="AT38" s="195">
        <v>6.5975000000000001</v>
      </c>
      <c r="AU38" s="993">
        <f>Qhc_Klimastat!L38</f>
        <v>0</v>
      </c>
      <c r="AV38" s="993">
        <f>Qhc_Klimastat!N38</f>
        <v>33.646033333333335</v>
      </c>
    </row>
    <row r="39" spans="1:48">
      <c r="A39" s="194" t="s">
        <v>66</v>
      </c>
      <c r="B39" s="278" t="str">
        <f>Begriffe!F45</f>
        <v>Schwimmhalle</v>
      </c>
      <c r="C39" s="305">
        <v>10.23</v>
      </c>
      <c r="D39" s="306">
        <v>341</v>
      </c>
      <c r="E39" s="307">
        <v>15.887800000000002</v>
      </c>
      <c r="F39" s="305">
        <v>11.882750000000001</v>
      </c>
      <c r="G39" s="992">
        <f>Qhc_Klimastat!E39</f>
        <v>0</v>
      </c>
      <c r="H39" s="992">
        <f>Qhc_Klimastat!G39</f>
        <v>43.74080469575118</v>
      </c>
      <c r="I39" s="305">
        <v>145.23200000000006</v>
      </c>
      <c r="J39" s="177"/>
      <c r="K39" s="305">
        <v>6.82</v>
      </c>
      <c r="L39" s="306">
        <v>170.5</v>
      </c>
      <c r="M39" s="307">
        <v>3.502275641025641</v>
      </c>
      <c r="N39" s="305">
        <v>5.6859333333333355</v>
      </c>
      <c r="O39" s="992">
        <f>Qhc_Klimastat!I39</f>
        <v>0</v>
      </c>
      <c r="P39" s="992">
        <f>Qhc_Klimastat!K39</f>
        <v>27.214400829162148</v>
      </c>
      <c r="Q39" s="305">
        <v>145.23200000000006</v>
      </c>
      <c r="R39" s="177"/>
      <c r="S39" s="305">
        <v>13.64</v>
      </c>
      <c r="T39" s="306">
        <v>511.5</v>
      </c>
      <c r="U39" s="307">
        <v>20.42717142857143</v>
      </c>
      <c r="V39" s="305">
        <v>19.660550000000004</v>
      </c>
      <c r="W39" s="992">
        <f>Qhc_Klimastat!M39</f>
        <v>0</v>
      </c>
      <c r="X39" s="992">
        <f>Qhc_Klimastat!O39</f>
        <v>197.4876605048342</v>
      </c>
      <c r="Y39" s="305">
        <v>145.23200000000006</v>
      </c>
      <c r="AA39" s="194">
        <v>11.03</v>
      </c>
      <c r="AB39" s="191" t="s">
        <v>29</v>
      </c>
      <c r="AC39" s="195">
        <v>3</v>
      </c>
      <c r="AD39" s="195">
        <v>100</v>
      </c>
      <c r="AE39" s="195">
        <v>5.65</v>
      </c>
      <c r="AF39" s="195">
        <v>2.6583333333333337</v>
      </c>
      <c r="AG39" s="993">
        <f>Qhc_Klimastat!D39</f>
        <v>0</v>
      </c>
      <c r="AH39" s="993">
        <f>Qhc_Klimastat!F39</f>
        <v>23.039398039215691</v>
      </c>
      <c r="AI39" s="186"/>
      <c r="AJ39" s="195">
        <v>2</v>
      </c>
      <c r="AK39" s="195">
        <v>50</v>
      </c>
      <c r="AL39" s="195">
        <v>3.6217948717948718</v>
      </c>
      <c r="AM39" s="195">
        <v>1.6433333333333338</v>
      </c>
      <c r="AN39" s="993">
        <f>Qhc_Klimastat!H39</f>
        <v>0</v>
      </c>
      <c r="AO39" s="993">
        <f>Qhc_Klimastat!J39</f>
        <v>18.349796078431375</v>
      </c>
      <c r="AP39" s="186"/>
      <c r="AQ39" s="195">
        <v>4</v>
      </c>
      <c r="AR39" s="195">
        <v>511.5</v>
      </c>
      <c r="AS39" s="195">
        <v>7.2642857142857142</v>
      </c>
      <c r="AT39" s="195">
        <v>4.3983333333333343</v>
      </c>
      <c r="AU39" s="993">
        <f>Qhc_Klimastat!L39</f>
        <v>0</v>
      </c>
      <c r="AV39" s="993">
        <f>Qhc_Klimastat!N39</f>
        <v>67.181054901960806</v>
      </c>
    </row>
    <row r="40" spans="1:48">
      <c r="A40" s="194" t="s">
        <v>67</v>
      </c>
      <c r="B40" s="278" t="str">
        <f>Begriffe!F46</f>
        <v>Verkehrsfläche</v>
      </c>
      <c r="C40" s="305">
        <v>0</v>
      </c>
      <c r="D40" s="306">
        <v>0</v>
      </c>
      <c r="E40" s="307">
        <v>3.8477111111111122</v>
      </c>
      <c r="F40" s="305">
        <v>1.2155</v>
      </c>
      <c r="G40" s="992">
        <f>Qhc_Klimastat!E40</f>
        <v>0</v>
      </c>
      <c r="H40" s="992">
        <f>Qhc_Klimastat!G40</f>
        <v>17.681625271928997</v>
      </c>
      <c r="I40" s="305">
        <v>0</v>
      </c>
      <c r="J40" s="177"/>
      <c r="K40" s="305">
        <v>0</v>
      </c>
      <c r="L40" s="306">
        <v>0</v>
      </c>
      <c r="M40" s="307">
        <v>0.4521296296296296</v>
      </c>
      <c r="N40" s="305">
        <v>0.27370000000000005</v>
      </c>
      <c r="O40" s="992">
        <f>Qhc_Klimastat!I40</f>
        <v>0</v>
      </c>
      <c r="P40" s="992">
        <f>Qhc_Klimastat!K40</f>
        <v>12.279819926368052</v>
      </c>
      <c r="Q40" s="305">
        <v>0</v>
      </c>
      <c r="R40" s="177"/>
      <c r="S40" s="305">
        <v>0</v>
      </c>
      <c r="T40" s="306">
        <v>0</v>
      </c>
      <c r="U40" s="307">
        <v>4.9470571428571439</v>
      </c>
      <c r="V40" s="305">
        <v>0</v>
      </c>
      <c r="W40" s="992">
        <f>Qhc_Klimastat!M40</f>
        <v>0</v>
      </c>
      <c r="X40" s="992">
        <f>Qhc_Klimastat!O40</f>
        <v>20.66006602052056</v>
      </c>
      <c r="Y40" s="305">
        <v>0</v>
      </c>
      <c r="AA40" s="194">
        <v>12.01</v>
      </c>
      <c r="AB40" s="191" t="s">
        <v>30</v>
      </c>
      <c r="AC40" s="195">
        <v>0</v>
      </c>
      <c r="AD40" s="195">
        <v>0</v>
      </c>
      <c r="AE40" s="195">
        <v>2.7444444444444454</v>
      </c>
      <c r="AF40" s="195">
        <v>0.27500000000000002</v>
      </c>
      <c r="AG40" s="993">
        <f>Qhc_Klimastat!D40</f>
        <v>0</v>
      </c>
      <c r="AH40" s="993">
        <f>Qhc_Klimastat!F40</f>
        <v>19.551676470588237</v>
      </c>
      <c r="AI40" s="186"/>
      <c r="AJ40" s="195">
        <v>0</v>
      </c>
      <c r="AK40" s="195">
        <v>0</v>
      </c>
      <c r="AL40" s="195">
        <v>1.7592592592592593</v>
      </c>
      <c r="AM40" s="195">
        <v>0.17</v>
      </c>
      <c r="AN40" s="993">
        <f>Qhc_Klimastat!H40</f>
        <v>0</v>
      </c>
      <c r="AO40" s="993">
        <f>Qhc_Klimastat!J40</f>
        <v>16.145882352941179</v>
      </c>
      <c r="AP40" s="186"/>
      <c r="AQ40" s="195">
        <v>0</v>
      </c>
      <c r="AR40" s="195">
        <v>0</v>
      </c>
      <c r="AS40" s="195">
        <v>3.5285714285714294</v>
      </c>
      <c r="AT40" s="195">
        <v>0</v>
      </c>
      <c r="AU40" s="993">
        <f>Qhc_Klimastat!L40</f>
        <v>0</v>
      </c>
      <c r="AV40" s="993">
        <f>Qhc_Klimastat!N40</f>
        <v>33.578294117647062</v>
      </c>
    </row>
    <row r="41" spans="1:48">
      <c r="A41" s="194" t="s">
        <v>68</v>
      </c>
      <c r="B41" s="278" t="str">
        <f>Begriffe!F47</f>
        <v>Verkehrsfläche 24 h</v>
      </c>
      <c r="C41" s="305">
        <v>0</v>
      </c>
      <c r="D41" s="306">
        <v>0</v>
      </c>
      <c r="E41" s="307">
        <v>16.510577777777783</v>
      </c>
      <c r="F41" s="305">
        <v>1.7160000000000002</v>
      </c>
      <c r="G41" s="992">
        <f>Qhc_Klimastat!E41</f>
        <v>7.8931048002870812</v>
      </c>
      <c r="H41" s="992">
        <f>Qhc_Klimastat!G41</f>
        <v>14.006695748053533</v>
      </c>
      <c r="I41" s="305">
        <v>0</v>
      </c>
      <c r="J41" s="177"/>
      <c r="K41" s="305">
        <v>0</v>
      </c>
      <c r="L41" s="306">
        <v>0</v>
      </c>
      <c r="M41" s="307">
        <v>3.163148148148148</v>
      </c>
      <c r="N41" s="305">
        <v>0.38590000000000002</v>
      </c>
      <c r="O41" s="992">
        <f>Qhc_Klimastat!I41</f>
        <v>2.2200684682971303</v>
      </c>
      <c r="P41" s="992">
        <f>Qhc_Klimastat!K41</f>
        <v>11.647262414573472</v>
      </c>
      <c r="Q41" s="305">
        <v>0</v>
      </c>
      <c r="R41" s="177"/>
      <c r="S41" s="305">
        <v>0</v>
      </c>
      <c r="T41" s="306">
        <v>0</v>
      </c>
      <c r="U41" s="307">
        <v>21.227885714285719</v>
      </c>
      <c r="V41" s="305">
        <v>0</v>
      </c>
      <c r="W41" s="992">
        <f>Qhc_Klimastat!M41</f>
        <v>7.9744367502117166</v>
      </c>
      <c r="X41" s="992">
        <f>Qhc_Klimastat!O41</f>
        <v>19.958937658470898</v>
      </c>
      <c r="Y41" s="305">
        <v>0</v>
      </c>
      <c r="AA41" s="194">
        <v>12.02</v>
      </c>
      <c r="AB41" s="191" t="s">
        <v>105</v>
      </c>
      <c r="AC41" s="195">
        <v>0</v>
      </c>
      <c r="AD41" s="195">
        <v>0</v>
      </c>
      <c r="AE41" s="195">
        <v>5.4888888888888907</v>
      </c>
      <c r="AF41" s="195">
        <v>0.27500000000000002</v>
      </c>
      <c r="AG41" s="993">
        <f>Qhc_Klimastat!D41</f>
        <v>41.831227058823536</v>
      </c>
      <c r="AH41" s="993">
        <f>Qhc_Klimastat!F41</f>
        <v>19.551676470588237</v>
      </c>
      <c r="AI41" s="186"/>
      <c r="AJ41" s="195">
        <v>0</v>
      </c>
      <c r="AK41" s="195">
        <v>0</v>
      </c>
      <c r="AL41" s="195">
        <v>3.5185185185185186</v>
      </c>
      <c r="AM41" s="195">
        <v>0.17</v>
      </c>
      <c r="AN41" s="993">
        <f>Qhc_Klimastat!H41</f>
        <v>30.28495785411765</v>
      </c>
      <c r="AO41" s="993">
        <f>Qhc_Klimastat!J41</f>
        <v>16.145882352941179</v>
      </c>
      <c r="AP41" s="186"/>
      <c r="AQ41" s="195">
        <v>0</v>
      </c>
      <c r="AR41" s="195">
        <v>0</v>
      </c>
      <c r="AS41" s="195">
        <v>7.0571428571428587</v>
      </c>
      <c r="AT41" s="195">
        <v>0</v>
      </c>
      <c r="AU41" s="993">
        <f>Qhc_Klimastat!L41</f>
        <v>59.143411764705888</v>
      </c>
      <c r="AV41" s="993">
        <f>Qhc_Klimastat!N41</f>
        <v>33.578294117647062</v>
      </c>
    </row>
    <row r="42" spans="1:48">
      <c r="A42" s="194" t="s">
        <v>69</v>
      </c>
      <c r="B42" s="278" t="str">
        <f>Begriffe!F48</f>
        <v>Treppenhaus</v>
      </c>
      <c r="C42" s="305">
        <v>0</v>
      </c>
      <c r="D42" s="306">
        <v>0</v>
      </c>
      <c r="E42" s="307">
        <v>3.8477111111111122</v>
      </c>
      <c r="F42" s="305">
        <v>0</v>
      </c>
      <c r="G42" s="992">
        <f>Qhc_Klimastat!E42</f>
        <v>0</v>
      </c>
      <c r="H42" s="992">
        <f>Qhc_Klimastat!G42</f>
        <v>13.479092103971391</v>
      </c>
      <c r="I42" s="305">
        <v>0</v>
      </c>
      <c r="J42" s="177"/>
      <c r="K42" s="305">
        <v>0</v>
      </c>
      <c r="L42" s="306">
        <v>0</v>
      </c>
      <c r="M42" s="307">
        <v>0.4521296296296296</v>
      </c>
      <c r="N42" s="305">
        <v>0</v>
      </c>
      <c r="O42" s="992">
        <f>Qhc_Klimastat!I42</f>
        <v>0</v>
      </c>
      <c r="P42" s="992">
        <f>Qhc_Klimastat!K42</f>
        <v>9.2854062177560515</v>
      </c>
      <c r="Q42" s="305">
        <v>0</v>
      </c>
      <c r="R42" s="177"/>
      <c r="S42" s="305">
        <v>0</v>
      </c>
      <c r="T42" s="306">
        <v>0</v>
      </c>
      <c r="U42" s="307">
        <v>4.9470571428571439</v>
      </c>
      <c r="V42" s="305">
        <v>0</v>
      </c>
      <c r="W42" s="992">
        <f>Qhc_Klimastat!M42</f>
        <v>0</v>
      </c>
      <c r="X42" s="992">
        <f>Qhc_Klimastat!O42</f>
        <v>16.156690436544931</v>
      </c>
      <c r="Y42" s="305">
        <v>0</v>
      </c>
      <c r="AA42" s="194">
        <v>12.03</v>
      </c>
      <c r="AB42" s="191" t="s">
        <v>98</v>
      </c>
      <c r="AC42" s="195">
        <v>0</v>
      </c>
      <c r="AD42" s="195">
        <v>0</v>
      </c>
      <c r="AE42" s="195">
        <v>2.7444444444444454</v>
      </c>
      <c r="AF42" s="195">
        <v>0</v>
      </c>
      <c r="AG42" s="993">
        <f>Qhc_Klimastat!D42</f>
        <v>0</v>
      </c>
      <c r="AH42" s="993">
        <f>Qhc_Klimastat!F42</f>
        <v>17.535500000000003</v>
      </c>
      <c r="AI42" s="186"/>
      <c r="AJ42" s="195">
        <v>0</v>
      </c>
      <c r="AK42" s="195">
        <v>0</v>
      </c>
      <c r="AL42" s="195">
        <v>1.7592592592592593</v>
      </c>
      <c r="AM42" s="195">
        <v>0</v>
      </c>
      <c r="AN42" s="993">
        <f>Qhc_Klimastat!H42</f>
        <v>0</v>
      </c>
      <c r="AO42" s="993">
        <f>Qhc_Klimastat!J42</f>
        <v>14.450000000000003</v>
      </c>
      <c r="AP42" s="186"/>
      <c r="AQ42" s="195">
        <v>0</v>
      </c>
      <c r="AR42" s="195">
        <v>0</v>
      </c>
      <c r="AS42" s="195">
        <v>3.5285714285714294</v>
      </c>
      <c r="AT42" s="195">
        <v>0</v>
      </c>
      <c r="AU42" s="993">
        <f>Qhc_Klimastat!L42</f>
        <v>0</v>
      </c>
      <c r="AV42" s="993">
        <f>Qhc_Klimastat!N42</f>
        <v>30.243000000000002</v>
      </c>
    </row>
    <row r="43" spans="1:48">
      <c r="A43" s="194" t="s">
        <v>70</v>
      </c>
      <c r="B43" s="278" t="str">
        <f>Begriffe!F49</f>
        <v>Nebenraum</v>
      </c>
      <c r="C43" s="305">
        <v>0</v>
      </c>
      <c r="D43" s="306">
        <v>0</v>
      </c>
      <c r="E43" s="307">
        <v>3.2752277777777787</v>
      </c>
      <c r="F43" s="305">
        <v>0.61880000000000002</v>
      </c>
      <c r="G43" s="992">
        <f>Qhc_Klimastat!E43</f>
        <v>0</v>
      </c>
      <c r="H43" s="992">
        <f>Qhc_Klimastat!G43</f>
        <v>13.694354688484475</v>
      </c>
      <c r="I43" s="305">
        <v>0</v>
      </c>
      <c r="J43" s="177"/>
      <c r="K43" s="305">
        <v>0</v>
      </c>
      <c r="L43" s="306">
        <v>0</v>
      </c>
      <c r="M43" s="307">
        <v>0.38485933048433052</v>
      </c>
      <c r="N43" s="305">
        <v>0.13363</v>
      </c>
      <c r="O43" s="992">
        <f>Qhc_Klimastat!I43</f>
        <v>0</v>
      </c>
      <c r="P43" s="992">
        <f>Qhc_Klimastat!K43</f>
        <v>9.5852246990149297</v>
      </c>
      <c r="Q43" s="305">
        <v>0</v>
      </c>
      <c r="R43" s="177"/>
      <c r="S43" s="305">
        <v>0</v>
      </c>
      <c r="T43" s="306">
        <v>0</v>
      </c>
      <c r="U43" s="307">
        <v>4.2110071428571434</v>
      </c>
      <c r="V43" s="305">
        <v>0</v>
      </c>
      <c r="W43" s="992">
        <f>Qhc_Klimastat!M43</f>
        <v>0</v>
      </c>
      <c r="X43" s="992">
        <f>Qhc_Klimastat!O43</f>
        <v>40.443824115718328</v>
      </c>
      <c r="Y43" s="305">
        <v>0</v>
      </c>
      <c r="AA43" s="194">
        <v>12.04</v>
      </c>
      <c r="AB43" s="191" t="s">
        <v>200</v>
      </c>
      <c r="AC43" s="195">
        <v>0</v>
      </c>
      <c r="AD43" s="195">
        <v>0</v>
      </c>
      <c r="AE43" s="195">
        <v>2.3361111111111117</v>
      </c>
      <c r="AF43" s="195">
        <v>0.14000000000000001</v>
      </c>
      <c r="AG43" s="993">
        <f>Qhc_Klimastat!D43</f>
        <v>0</v>
      </c>
      <c r="AH43" s="993">
        <f>Qhc_Klimastat!F43</f>
        <v>10.323</v>
      </c>
      <c r="AI43" s="186"/>
      <c r="AJ43" s="195">
        <v>0</v>
      </c>
      <c r="AK43" s="195">
        <v>0</v>
      </c>
      <c r="AL43" s="195">
        <v>1.4975071225071226</v>
      </c>
      <c r="AM43" s="195">
        <v>8.3000000000000004E-2</v>
      </c>
      <c r="AN43" s="993">
        <f>Qhc_Klimastat!H43</f>
        <v>0</v>
      </c>
      <c r="AO43" s="993">
        <f>Qhc_Klimastat!J43</f>
        <v>8.31</v>
      </c>
      <c r="AP43" s="186"/>
      <c r="AQ43" s="195">
        <v>0</v>
      </c>
      <c r="AR43" s="195">
        <v>0</v>
      </c>
      <c r="AS43" s="195">
        <v>3.003571428571429</v>
      </c>
      <c r="AT43" s="195">
        <v>0</v>
      </c>
      <c r="AU43" s="993">
        <f>Qhc_Klimastat!L43</f>
        <v>0</v>
      </c>
      <c r="AV43" s="993">
        <f>Qhc_Klimastat!N43</f>
        <v>30.040000000000003</v>
      </c>
    </row>
    <row r="44" spans="1:48">
      <c r="A44" s="194" t="s">
        <v>71</v>
      </c>
      <c r="B44" s="278" t="str">
        <f>Begriffe!F50</f>
        <v>Küche, Teeküche</v>
      </c>
      <c r="C44" s="305">
        <v>57.2</v>
      </c>
      <c r="D44" s="306">
        <v>0</v>
      </c>
      <c r="E44" s="307">
        <v>3.2810555555555565</v>
      </c>
      <c r="F44" s="305">
        <v>8.6927500000000002</v>
      </c>
      <c r="G44" s="992">
        <f>Qhc_Klimastat!E44</f>
        <v>0</v>
      </c>
      <c r="H44" s="992">
        <f>Qhc_Klimastat!G44</f>
        <v>0.70277247260989306</v>
      </c>
      <c r="I44" s="305">
        <v>0</v>
      </c>
      <c r="J44" s="177"/>
      <c r="K44" s="305">
        <v>42.9</v>
      </c>
      <c r="L44" s="306">
        <v>0</v>
      </c>
      <c r="M44" s="307">
        <v>0.33611111111111108</v>
      </c>
      <c r="N44" s="305">
        <v>5.3737000000000004</v>
      </c>
      <c r="O44" s="992">
        <f>Qhc_Klimastat!I44</f>
        <v>0</v>
      </c>
      <c r="P44" s="992">
        <f>Qhc_Klimastat!K44</f>
        <v>0.3184492339927722</v>
      </c>
      <c r="Q44" s="305">
        <v>0</v>
      </c>
      <c r="R44" s="177"/>
      <c r="S44" s="305">
        <v>71.5</v>
      </c>
      <c r="T44" s="306">
        <v>0</v>
      </c>
      <c r="U44" s="307">
        <v>4.2185000000000015</v>
      </c>
      <c r="V44" s="305">
        <v>25.202450000000002</v>
      </c>
      <c r="W44" s="992">
        <f>Qhc_Klimastat!M44</f>
        <v>0</v>
      </c>
      <c r="X44" s="992">
        <f>Qhc_Klimastat!O44</f>
        <v>105.51346048969558</v>
      </c>
      <c r="Y44" s="305">
        <v>0</v>
      </c>
      <c r="AA44" s="194">
        <v>12.05</v>
      </c>
      <c r="AB44" s="191" t="s">
        <v>106</v>
      </c>
      <c r="AC44" s="195">
        <v>40</v>
      </c>
      <c r="AD44" s="195">
        <v>0</v>
      </c>
      <c r="AE44" s="195">
        <v>3.9722222222222232</v>
      </c>
      <c r="AF44" s="195">
        <v>7.9750000000000005</v>
      </c>
      <c r="AG44" s="993">
        <f>Qhc_Klimastat!D44</f>
        <v>0</v>
      </c>
      <c r="AH44" s="993">
        <f>Qhc_Klimastat!F44</f>
        <v>11.537470588235294</v>
      </c>
      <c r="AI44" s="186"/>
      <c r="AJ44" s="195">
        <v>30</v>
      </c>
      <c r="AK44" s="195">
        <v>0</v>
      </c>
      <c r="AL44" s="195">
        <v>2.5462962962962963</v>
      </c>
      <c r="AM44" s="195">
        <v>4.9300000000000006</v>
      </c>
      <c r="AN44" s="993">
        <f>Qhc_Klimastat!H44</f>
        <v>0</v>
      </c>
      <c r="AO44" s="993">
        <f>Qhc_Klimastat!J44</f>
        <v>9.2876470588235307</v>
      </c>
      <c r="AP44" s="186"/>
      <c r="AQ44" s="195">
        <v>50</v>
      </c>
      <c r="AR44" s="195">
        <v>0</v>
      </c>
      <c r="AS44" s="195">
        <v>5.1071428571428585</v>
      </c>
      <c r="AT44" s="195">
        <v>13.195</v>
      </c>
      <c r="AU44" s="993">
        <f>Qhc_Klimastat!L44</f>
        <v>0</v>
      </c>
      <c r="AV44" s="993">
        <f>Qhc_Klimastat!N44</f>
        <v>33.336470588235301</v>
      </c>
    </row>
    <row r="45" spans="1:48">
      <c r="A45" s="194" t="s">
        <v>72</v>
      </c>
      <c r="B45" s="278" t="str">
        <f>Begriffe!F51</f>
        <v xml:space="preserve">WC, Bad, Dusche </v>
      </c>
      <c r="C45" s="305">
        <v>0</v>
      </c>
      <c r="D45" s="306">
        <v>0</v>
      </c>
      <c r="E45" s="307">
        <v>3.8592555555555568</v>
      </c>
      <c r="F45" s="305">
        <v>3.0912000000000002</v>
      </c>
      <c r="G45" s="992">
        <f>Qhc_Klimastat!E45</f>
        <v>0</v>
      </c>
      <c r="H45" s="992">
        <f>Qhc_Klimastat!G45</f>
        <v>54.916232691300749</v>
      </c>
      <c r="I45" s="305">
        <v>0</v>
      </c>
      <c r="J45" s="177"/>
      <c r="K45" s="305">
        <v>0</v>
      </c>
      <c r="L45" s="306">
        <v>0</v>
      </c>
      <c r="M45" s="307">
        <v>0.39534188034188039</v>
      </c>
      <c r="N45" s="305">
        <v>1.83264</v>
      </c>
      <c r="O45" s="992">
        <f>Qhc_Klimastat!I45</f>
        <v>0</v>
      </c>
      <c r="P45" s="992">
        <f>Qhc_Klimastat!K45</f>
        <v>50.184980295071675</v>
      </c>
      <c r="Q45" s="305">
        <v>0</v>
      </c>
      <c r="R45" s="177"/>
      <c r="S45" s="305">
        <v>0</v>
      </c>
      <c r="T45" s="306">
        <v>0</v>
      </c>
      <c r="U45" s="307">
        <v>4.9619</v>
      </c>
      <c r="V45" s="305">
        <v>7.7119999999999997</v>
      </c>
      <c r="W45" s="992">
        <f>Qhc_Klimastat!M45</f>
        <v>0</v>
      </c>
      <c r="X45" s="992">
        <f>Qhc_Klimastat!O45</f>
        <v>126.4398304884695</v>
      </c>
      <c r="Y45" s="305">
        <v>0</v>
      </c>
      <c r="AA45" s="194">
        <v>12.06</v>
      </c>
      <c r="AB45" s="191" t="s">
        <v>31</v>
      </c>
      <c r="AC45" s="195">
        <v>0</v>
      </c>
      <c r="AD45" s="195">
        <v>0</v>
      </c>
      <c r="AE45" s="195">
        <v>4.6722222222222234</v>
      </c>
      <c r="AF45" s="195">
        <v>2.2400000000000002</v>
      </c>
      <c r="AG45" s="993">
        <f>Qhc_Klimastat!D45</f>
        <v>0</v>
      </c>
      <c r="AH45" s="993">
        <f>Qhc_Klimastat!F45</f>
        <v>11.537470588235294</v>
      </c>
      <c r="AI45" s="186"/>
      <c r="AJ45" s="195">
        <v>0</v>
      </c>
      <c r="AK45" s="195">
        <v>0</v>
      </c>
      <c r="AL45" s="195">
        <v>2.9950142450142452</v>
      </c>
      <c r="AM45" s="195">
        <v>1.3280000000000001</v>
      </c>
      <c r="AN45" s="993">
        <f>Qhc_Klimastat!H45</f>
        <v>0</v>
      </c>
      <c r="AO45" s="993">
        <f>Qhc_Klimastat!J45</f>
        <v>9.2876470588235307</v>
      </c>
      <c r="AP45" s="186"/>
      <c r="AQ45" s="195">
        <v>0</v>
      </c>
      <c r="AR45" s="195">
        <v>0</v>
      </c>
      <c r="AS45" s="195">
        <v>6.007142857142858</v>
      </c>
      <c r="AT45" s="195">
        <v>3.2</v>
      </c>
      <c r="AU45" s="993">
        <f>Qhc_Klimastat!L45</f>
        <v>0</v>
      </c>
      <c r="AV45" s="993">
        <f>Qhc_Klimastat!N45</f>
        <v>33.336470588235301</v>
      </c>
    </row>
    <row r="46" spans="1:48">
      <c r="A46" s="194" t="s">
        <v>73</v>
      </c>
      <c r="B46" s="278" t="str">
        <f>Begriffe!F52</f>
        <v>WC</v>
      </c>
      <c r="C46" s="305">
        <v>0</v>
      </c>
      <c r="D46" s="306">
        <v>0</v>
      </c>
      <c r="E46" s="307">
        <v>6.0873333333333344</v>
      </c>
      <c r="F46" s="305">
        <v>3.0912000000000002</v>
      </c>
      <c r="G46" s="992">
        <f>Qhc_Klimastat!E46</f>
        <v>0</v>
      </c>
      <c r="H46" s="992">
        <f>Qhc_Klimastat!G46</f>
        <v>40.156865561864294</v>
      </c>
      <c r="I46" s="305">
        <v>0</v>
      </c>
      <c r="J46" s="177"/>
      <c r="K46" s="305">
        <v>0</v>
      </c>
      <c r="L46" s="306">
        <v>0</v>
      </c>
      <c r="M46" s="307">
        <v>0.49145299145299143</v>
      </c>
      <c r="N46" s="305">
        <v>1.83264</v>
      </c>
      <c r="O46" s="992">
        <f>Qhc_Klimastat!I46</f>
        <v>0</v>
      </c>
      <c r="P46" s="992">
        <f>Qhc_Klimastat!K46</f>
        <v>27.699408848823808</v>
      </c>
      <c r="Q46" s="305">
        <v>0</v>
      </c>
      <c r="R46" s="177"/>
      <c r="S46" s="305">
        <v>0</v>
      </c>
      <c r="T46" s="306">
        <v>0</v>
      </c>
      <c r="U46" s="307">
        <v>7.8265714285714294</v>
      </c>
      <c r="V46" s="305">
        <v>7.7119999999999997</v>
      </c>
      <c r="W46" s="992">
        <f>Qhc_Klimastat!M46</f>
        <v>0</v>
      </c>
      <c r="X46" s="992">
        <f>Qhc_Klimastat!O46</f>
        <v>182.23432242856265</v>
      </c>
      <c r="Y46" s="305">
        <v>0</v>
      </c>
      <c r="AA46" s="194">
        <v>12.07</v>
      </c>
      <c r="AB46" s="191" t="s">
        <v>32</v>
      </c>
      <c r="AC46" s="195">
        <v>0</v>
      </c>
      <c r="AD46" s="195">
        <v>0</v>
      </c>
      <c r="AE46" s="195">
        <v>7.6666666666666679</v>
      </c>
      <c r="AF46" s="195">
        <v>2.2400000000000002</v>
      </c>
      <c r="AG46" s="993">
        <f>Qhc_Klimastat!D46</f>
        <v>0</v>
      </c>
      <c r="AH46" s="993">
        <f>Qhc_Klimastat!F46</f>
        <v>26.136176470588236</v>
      </c>
      <c r="AI46" s="186"/>
      <c r="AJ46" s="195">
        <v>0</v>
      </c>
      <c r="AK46" s="195">
        <v>0</v>
      </c>
      <c r="AL46" s="195">
        <v>4.9145299145299148</v>
      </c>
      <c r="AM46" s="195">
        <v>1.3280000000000001</v>
      </c>
      <c r="AN46" s="993">
        <f>Qhc_Klimastat!H46</f>
        <v>0</v>
      </c>
      <c r="AO46" s="993">
        <f>Qhc_Klimastat!J46</f>
        <v>19.840617647058824</v>
      </c>
      <c r="AP46" s="186"/>
      <c r="AQ46" s="195">
        <v>0</v>
      </c>
      <c r="AR46" s="195">
        <v>0</v>
      </c>
      <c r="AS46" s="195">
        <v>9.8571428571428577</v>
      </c>
      <c r="AT46" s="195">
        <v>3.2</v>
      </c>
      <c r="AU46" s="993">
        <f>Qhc_Klimastat!L46</f>
        <v>0</v>
      </c>
      <c r="AV46" s="993">
        <f>Qhc_Klimastat!N46</f>
        <v>66.170676470588248</v>
      </c>
    </row>
    <row r="47" spans="1:48">
      <c r="A47" s="194" t="s">
        <v>74</v>
      </c>
      <c r="B47" s="278" t="str">
        <f>Begriffe!F53</f>
        <v>Garderobe, Dusche</v>
      </c>
      <c r="C47" s="305">
        <v>0</v>
      </c>
      <c r="D47" s="306">
        <v>0</v>
      </c>
      <c r="E47" s="307">
        <v>3.7286666666666668</v>
      </c>
      <c r="F47" s="305">
        <v>7.7280000000000006</v>
      </c>
      <c r="G47" s="992">
        <f>Qhc_Klimastat!E47</f>
        <v>0</v>
      </c>
      <c r="H47" s="992">
        <f>Qhc_Klimastat!G47</f>
        <v>24.290614197971614</v>
      </c>
      <c r="I47" s="305">
        <v>0</v>
      </c>
      <c r="J47" s="177"/>
      <c r="K47" s="305">
        <v>0</v>
      </c>
      <c r="L47" s="306">
        <v>0</v>
      </c>
      <c r="M47" s="307">
        <v>0.3983618233618233</v>
      </c>
      <c r="N47" s="305">
        <v>4.5816000000000008</v>
      </c>
      <c r="O47" s="992">
        <f>Qhc_Klimastat!I47</f>
        <v>0</v>
      </c>
      <c r="P47" s="992">
        <f>Qhc_Klimastat!K47</f>
        <v>18.003642287087548</v>
      </c>
      <c r="Q47" s="305">
        <v>0</v>
      </c>
      <c r="R47" s="177"/>
      <c r="S47" s="305">
        <v>0</v>
      </c>
      <c r="T47" s="306">
        <v>0</v>
      </c>
      <c r="U47" s="307">
        <v>4.7939999999999996</v>
      </c>
      <c r="V47" s="305">
        <v>19.28</v>
      </c>
      <c r="W47" s="992">
        <f>Qhc_Klimastat!M47</f>
        <v>0</v>
      </c>
      <c r="X47" s="992">
        <f>Qhc_Klimastat!O47</f>
        <v>126.13033654046282</v>
      </c>
      <c r="Y47" s="305">
        <v>0</v>
      </c>
      <c r="AA47" s="194">
        <v>12.08</v>
      </c>
      <c r="AB47" s="191" t="s">
        <v>203</v>
      </c>
      <c r="AC47" s="195">
        <v>0</v>
      </c>
      <c r="AD47" s="195">
        <v>0</v>
      </c>
      <c r="AE47" s="195">
        <v>4.4074074074074074</v>
      </c>
      <c r="AF47" s="195">
        <v>5.6000000000000005</v>
      </c>
      <c r="AG47" s="993">
        <f>Qhc_Klimastat!D47</f>
        <v>0</v>
      </c>
      <c r="AH47" s="993">
        <f>Qhc_Klimastat!F47</f>
        <v>11.993470588235295</v>
      </c>
      <c r="AI47" s="186"/>
      <c r="AJ47" s="195">
        <v>0</v>
      </c>
      <c r="AK47" s="195">
        <v>0</v>
      </c>
      <c r="AL47" s="195">
        <v>2.8252611585944916</v>
      </c>
      <c r="AM47" s="195">
        <v>3.3200000000000003</v>
      </c>
      <c r="AN47" s="993">
        <f>Qhc_Klimastat!H47</f>
        <v>0</v>
      </c>
      <c r="AO47" s="993">
        <f>Qhc_Klimastat!J47</f>
        <v>9.7436470588235302</v>
      </c>
      <c r="AP47" s="186"/>
      <c r="AQ47" s="195">
        <v>0</v>
      </c>
      <c r="AR47" s="195">
        <v>0</v>
      </c>
      <c r="AS47" s="195">
        <v>5.6666666666666661</v>
      </c>
      <c r="AT47" s="195">
        <v>8</v>
      </c>
      <c r="AU47" s="993">
        <f>Qhc_Klimastat!L47</f>
        <v>0</v>
      </c>
      <c r="AV47" s="993">
        <f>Qhc_Klimastat!N47</f>
        <v>35.943970588235295</v>
      </c>
    </row>
    <row r="48" spans="1:48">
      <c r="A48" s="194" t="s">
        <v>75</v>
      </c>
      <c r="B48" s="278" t="str">
        <f>Begriffe!F54</f>
        <v>Parkhaus</v>
      </c>
      <c r="C48" s="305">
        <v>2.13</v>
      </c>
      <c r="D48" s="306">
        <v>0</v>
      </c>
      <c r="E48" s="307">
        <v>1.1998673076923074</v>
      </c>
      <c r="F48" s="305">
        <v>0</v>
      </c>
      <c r="G48" s="992">
        <f>Qhc_Klimastat!E48</f>
        <v>0</v>
      </c>
      <c r="H48" s="992">
        <f>Qhc_Klimastat!G48</f>
        <v>0</v>
      </c>
      <c r="I48" s="305">
        <v>0</v>
      </c>
      <c r="J48" s="177"/>
      <c r="K48" s="305">
        <v>0</v>
      </c>
      <c r="L48" s="306">
        <v>0</v>
      </c>
      <c r="M48" s="307">
        <v>0.36084635416666655</v>
      </c>
      <c r="N48" s="305">
        <v>0</v>
      </c>
      <c r="O48" s="992">
        <f>Qhc_Klimastat!I48</f>
        <v>0</v>
      </c>
      <c r="P48" s="992">
        <f>Qhc_Klimastat!K48</f>
        <v>0</v>
      </c>
      <c r="Q48" s="305">
        <v>0</v>
      </c>
      <c r="R48" s="177"/>
      <c r="S48" s="305">
        <v>4.26</v>
      </c>
      <c r="T48" s="306">
        <v>0</v>
      </c>
      <c r="U48" s="307">
        <v>2.2283249999999999</v>
      </c>
      <c r="V48" s="305">
        <v>0</v>
      </c>
      <c r="W48" s="992">
        <f>Qhc_Klimastat!M48</f>
        <v>0</v>
      </c>
      <c r="X48" s="992">
        <f>Qhc_Klimastat!O48</f>
        <v>0</v>
      </c>
      <c r="Y48" s="305">
        <v>0</v>
      </c>
      <c r="AA48" s="194">
        <v>12.09</v>
      </c>
      <c r="AB48" s="191" t="s">
        <v>33</v>
      </c>
      <c r="AC48" s="195">
        <v>1</v>
      </c>
      <c r="AD48" s="195">
        <v>0</v>
      </c>
      <c r="AE48" s="195">
        <v>0.74711538461538451</v>
      </c>
      <c r="AF48" s="195">
        <v>0</v>
      </c>
      <c r="AG48" s="993">
        <f>Qhc_Klimastat!D48</f>
        <v>0</v>
      </c>
      <c r="AH48" s="993">
        <f>Qhc_Klimastat!F48</f>
        <v>0</v>
      </c>
      <c r="AI48" s="186"/>
      <c r="AJ48" s="195">
        <v>0</v>
      </c>
      <c r="AK48" s="195">
        <v>0</v>
      </c>
      <c r="AL48" s="195">
        <v>0.5620659722222221</v>
      </c>
      <c r="AM48" s="195">
        <v>0</v>
      </c>
      <c r="AN48" s="993">
        <f>Qhc_Klimastat!H48</f>
        <v>0</v>
      </c>
      <c r="AO48" s="993">
        <f>Qhc_Klimastat!J48</f>
        <v>0</v>
      </c>
      <c r="AP48" s="186"/>
      <c r="AQ48" s="195">
        <v>2</v>
      </c>
      <c r="AR48" s="195">
        <v>0</v>
      </c>
      <c r="AS48" s="195">
        <v>1.3875</v>
      </c>
      <c r="AT48" s="195">
        <v>0</v>
      </c>
      <c r="AU48" s="993">
        <f>Qhc_Klimastat!L48</f>
        <v>0</v>
      </c>
      <c r="AV48" s="993">
        <f>Qhc_Klimastat!N48</f>
        <v>0</v>
      </c>
    </row>
    <row r="49" spans="1:48">
      <c r="A49" s="194" t="s">
        <v>107</v>
      </c>
      <c r="B49" s="278" t="str">
        <f>Begriffe!F55</f>
        <v>Wasch- und Trockenraum</v>
      </c>
      <c r="C49" s="305">
        <v>34.4</v>
      </c>
      <c r="D49" s="306">
        <v>0</v>
      </c>
      <c r="E49" s="307">
        <v>7.2061111111111122</v>
      </c>
      <c r="F49" s="305">
        <v>2.6992000000000003</v>
      </c>
      <c r="G49" s="992">
        <f>Qhc_Klimastat!E49</f>
        <v>0</v>
      </c>
      <c r="H49" s="992">
        <f>Qhc_Klimastat!G49</f>
        <v>6.115773410874275</v>
      </c>
      <c r="I49" s="305">
        <v>0</v>
      </c>
      <c r="J49" s="177"/>
      <c r="K49" s="305">
        <v>25.8</v>
      </c>
      <c r="L49" s="306">
        <v>0</v>
      </c>
      <c r="M49" s="307">
        <v>1.0340455840455838</v>
      </c>
      <c r="N49" s="305">
        <v>0.91632000000000002</v>
      </c>
      <c r="O49" s="992">
        <f>Qhc_Klimastat!I49</f>
        <v>0</v>
      </c>
      <c r="P49" s="992">
        <f>Qhc_Klimastat!K49</f>
        <v>3.6183261973137975</v>
      </c>
      <c r="Q49" s="305">
        <v>0</v>
      </c>
      <c r="R49" s="177"/>
      <c r="S49" s="305">
        <v>43</v>
      </c>
      <c r="T49" s="306">
        <v>0</v>
      </c>
      <c r="U49" s="307">
        <v>9.2650000000000006</v>
      </c>
      <c r="V49" s="305">
        <v>0</v>
      </c>
      <c r="W49" s="992">
        <f>Qhc_Klimastat!M49</f>
        <v>0</v>
      </c>
      <c r="X49" s="992">
        <f>Qhc_Klimastat!O49</f>
        <v>38.533936555581924</v>
      </c>
      <c r="Y49" s="305">
        <v>0</v>
      </c>
      <c r="AA49" s="194">
        <v>12.1</v>
      </c>
      <c r="AB49" s="191" t="s">
        <v>34</v>
      </c>
      <c r="AC49" s="195">
        <v>20</v>
      </c>
      <c r="AD49" s="195">
        <v>0</v>
      </c>
      <c r="AE49" s="195">
        <v>6.6111111111111116</v>
      </c>
      <c r="AF49" s="195">
        <v>1.1200000000000001</v>
      </c>
      <c r="AG49" s="993">
        <f>Qhc_Klimastat!D49</f>
        <v>0</v>
      </c>
      <c r="AH49" s="993">
        <f>Qhc_Klimastat!F49</f>
        <v>3.1561764705882358</v>
      </c>
      <c r="AI49" s="186"/>
      <c r="AJ49" s="195">
        <v>15</v>
      </c>
      <c r="AK49" s="195">
        <v>0</v>
      </c>
      <c r="AL49" s="195">
        <v>4.2378917378917373</v>
      </c>
      <c r="AM49" s="195">
        <v>0.66400000000000003</v>
      </c>
      <c r="AN49" s="993">
        <f>Qhc_Klimastat!H49</f>
        <v>0</v>
      </c>
      <c r="AO49" s="993">
        <f>Qhc_Klimastat!J49</f>
        <v>2.5641176470588234</v>
      </c>
      <c r="AP49" s="186"/>
      <c r="AQ49" s="195">
        <v>25</v>
      </c>
      <c r="AR49" s="195">
        <v>0</v>
      </c>
      <c r="AS49" s="195">
        <v>8.5</v>
      </c>
      <c r="AT49" s="195">
        <v>0</v>
      </c>
      <c r="AU49" s="993">
        <f>Qhc_Klimastat!L49</f>
        <v>0</v>
      </c>
      <c r="AV49" s="993">
        <f>Qhc_Klimastat!N49</f>
        <v>11.188676470588234</v>
      </c>
    </row>
    <row r="50" spans="1:48">
      <c r="A50" s="194" t="s">
        <v>108</v>
      </c>
      <c r="B50" s="278" t="str">
        <f>Begriffe!F56</f>
        <v>Kühlraum</v>
      </c>
      <c r="C50" s="305">
        <v>0</v>
      </c>
      <c r="D50" s="306">
        <v>318</v>
      </c>
      <c r="E50" s="307">
        <v>0.11459259259259259</v>
      </c>
      <c r="F50" s="305">
        <v>0</v>
      </c>
      <c r="G50" s="992">
        <f>Qhc_Klimastat!E50</f>
        <v>0</v>
      </c>
      <c r="H50" s="992">
        <f>Qhc_Klimastat!G50</f>
        <v>0</v>
      </c>
      <c r="I50" s="305">
        <v>0</v>
      </c>
      <c r="J50" s="177"/>
      <c r="K50" s="305">
        <v>0</v>
      </c>
      <c r="L50" s="306">
        <v>254.4</v>
      </c>
      <c r="M50" s="307">
        <v>2.9665242165242162E-2</v>
      </c>
      <c r="N50" s="305">
        <v>0</v>
      </c>
      <c r="O50" s="992">
        <f>Qhc_Klimastat!I50</f>
        <v>0</v>
      </c>
      <c r="P50" s="992">
        <f>Qhc_Klimastat!K50</f>
        <v>0</v>
      </c>
      <c r="Q50" s="305">
        <v>0</v>
      </c>
      <c r="R50" s="177"/>
      <c r="S50" s="305">
        <v>0</v>
      </c>
      <c r="T50" s="306">
        <v>381.6</v>
      </c>
      <c r="U50" s="307">
        <v>0.14733333333333332</v>
      </c>
      <c r="V50" s="305">
        <v>0</v>
      </c>
      <c r="W50" s="992">
        <f>Qhc_Klimastat!M50</f>
        <v>0</v>
      </c>
      <c r="X50" s="992">
        <f>Qhc_Klimastat!O50</f>
        <v>0</v>
      </c>
      <c r="Y50" s="305">
        <v>0</v>
      </c>
      <c r="AA50" s="194">
        <v>12.11</v>
      </c>
      <c r="AB50" s="191" t="s">
        <v>35</v>
      </c>
      <c r="AC50" s="195">
        <v>0</v>
      </c>
      <c r="AD50" s="195">
        <v>100</v>
      </c>
      <c r="AE50" s="195">
        <v>2.2037037037037037</v>
      </c>
      <c r="AF50" s="195">
        <v>0</v>
      </c>
      <c r="AG50" s="993">
        <f>Qhc_Klimastat!D50</f>
        <v>0</v>
      </c>
      <c r="AH50" s="993">
        <f>Qhc_Klimastat!F50</f>
        <v>0.82500000000000007</v>
      </c>
      <c r="AI50" s="186"/>
      <c r="AJ50" s="195">
        <v>0</v>
      </c>
      <c r="AK50" s="195">
        <v>80</v>
      </c>
      <c r="AL50" s="195">
        <v>1.4126305792972458</v>
      </c>
      <c r="AM50" s="195">
        <v>0</v>
      </c>
      <c r="AN50" s="993">
        <f>Qhc_Klimastat!H50</f>
        <v>0</v>
      </c>
      <c r="AO50" s="993">
        <f>Qhc_Klimastat!J50</f>
        <v>0.48529411764705888</v>
      </c>
      <c r="AP50" s="186"/>
      <c r="AQ50" s="195">
        <v>0</v>
      </c>
      <c r="AR50" s="195">
        <v>381.6</v>
      </c>
      <c r="AS50" s="195">
        <v>2.833333333333333</v>
      </c>
      <c r="AT50" s="195">
        <v>0</v>
      </c>
      <c r="AU50" s="993">
        <f>Qhc_Klimastat!L50</f>
        <v>0</v>
      </c>
      <c r="AV50" s="993">
        <f>Qhc_Klimastat!N50</f>
        <v>3.9773529411764712</v>
      </c>
    </row>
    <row r="51" spans="1:48">
      <c r="A51" s="194" t="s">
        <v>109</v>
      </c>
      <c r="B51" s="278" t="str">
        <f>Begriffe!F57</f>
        <v>Serverraum</v>
      </c>
      <c r="C51" s="305">
        <v>0</v>
      </c>
      <c r="D51" s="306">
        <v>1051.5</v>
      </c>
      <c r="E51" s="307">
        <v>0.37757222222222214</v>
      </c>
      <c r="F51" s="305">
        <v>1.5070000000000001</v>
      </c>
      <c r="G51" s="992">
        <f>Qhc_Klimastat!E51</f>
        <v>0</v>
      </c>
      <c r="H51" s="992">
        <f>Qhc_Klimastat!G51</f>
        <v>0</v>
      </c>
      <c r="I51" s="305">
        <v>0</v>
      </c>
      <c r="J51" s="196"/>
      <c r="K51" s="305">
        <v>0</v>
      </c>
      <c r="L51" s="306">
        <v>701</v>
      </c>
      <c r="M51" s="307">
        <v>0.24203347578347581</v>
      </c>
      <c r="N51" s="305">
        <v>0.5746</v>
      </c>
      <c r="O51" s="992">
        <f>Qhc_Klimastat!I51</f>
        <v>0</v>
      </c>
      <c r="P51" s="992">
        <f>Qhc_Klimastat!K51</f>
        <v>0</v>
      </c>
      <c r="Q51" s="305">
        <v>0</v>
      </c>
      <c r="R51" s="177"/>
      <c r="S51" s="305">
        <v>0</v>
      </c>
      <c r="T51" s="306">
        <v>1402</v>
      </c>
      <c r="U51" s="307">
        <v>0.48545000000000005</v>
      </c>
      <c r="V51" s="305">
        <v>2.4934000000000003</v>
      </c>
      <c r="W51" s="992">
        <f>Qhc_Klimastat!M51</f>
        <v>0</v>
      </c>
      <c r="X51" s="992">
        <f>Qhc_Klimastat!O51</f>
        <v>0</v>
      </c>
      <c r="Y51" s="305">
        <v>0</v>
      </c>
      <c r="AA51" s="194">
        <v>12.12</v>
      </c>
      <c r="AB51" s="191" t="s">
        <v>36</v>
      </c>
      <c r="AC51" s="195">
        <v>0</v>
      </c>
      <c r="AD51" s="195">
        <v>150</v>
      </c>
      <c r="AE51" s="195">
        <v>5.1722222222222216</v>
      </c>
      <c r="AF51" s="195">
        <v>0.27500000000000002</v>
      </c>
      <c r="AG51" s="993">
        <f>Qhc_Klimastat!D51</f>
        <v>6.5114222222222216</v>
      </c>
      <c r="AH51" s="993">
        <f>Qhc_Klimastat!F51</f>
        <v>1.71</v>
      </c>
      <c r="AI51" s="186"/>
      <c r="AJ51" s="195">
        <v>0</v>
      </c>
      <c r="AK51" s="195">
        <v>100</v>
      </c>
      <c r="AL51" s="195">
        <v>3.3155270655270659</v>
      </c>
      <c r="AM51" s="195">
        <v>0.17</v>
      </c>
      <c r="AN51" s="993">
        <f>Qhc_Klimastat!H51</f>
        <v>4.2645247125858887</v>
      </c>
      <c r="AO51" s="993">
        <f>Qhc_Klimastat!J51</f>
        <v>1.3023529411764709</v>
      </c>
      <c r="AP51" s="186"/>
      <c r="AQ51" s="195">
        <v>0</v>
      </c>
      <c r="AR51" s="195">
        <v>1402</v>
      </c>
      <c r="AS51" s="195">
        <v>6.65</v>
      </c>
      <c r="AT51" s="195">
        <v>0.45500000000000002</v>
      </c>
      <c r="AU51" s="993">
        <f>Qhc_Klimastat!L51</f>
        <v>0</v>
      </c>
      <c r="AV51" s="993">
        <f>Qhc_Klimastat!N51</f>
        <v>8.0905235294117652</v>
      </c>
    </row>
    <row r="86" spans="22:22">
      <c r="V86" s="289"/>
    </row>
    <row r="101" spans="3:48">
      <c r="C101" s="224"/>
      <c r="D101" s="224"/>
      <c r="E101" s="224"/>
      <c r="F101" s="224"/>
      <c r="G101" s="224"/>
      <c r="H101" s="224"/>
      <c r="I101" s="224"/>
      <c r="J101" s="224"/>
      <c r="K101" s="224"/>
      <c r="L101" s="224"/>
      <c r="M101" s="224"/>
      <c r="N101" s="224"/>
      <c r="O101" s="224"/>
      <c r="P101" s="224"/>
      <c r="Q101" s="224"/>
      <c r="R101" s="224"/>
      <c r="S101" s="224"/>
      <c r="T101" s="224"/>
      <c r="U101" s="224"/>
      <c r="V101" s="224"/>
      <c r="W101" s="224"/>
      <c r="X101" s="224"/>
      <c r="Y101" s="224"/>
      <c r="AC101" s="224"/>
      <c r="AD101" s="224"/>
      <c r="AE101" s="224"/>
      <c r="AF101" s="224"/>
      <c r="AG101" s="224"/>
      <c r="AH101" s="224"/>
      <c r="AJ101" s="224"/>
      <c r="AK101" s="224"/>
      <c r="AL101" s="224"/>
      <c r="AM101" s="224"/>
      <c r="AN101" s="224"/>
      <c r="AO101" s="224"/>
      <c r="AQ101" s="224"/>
      <c r="AR101" s="224"/>
      <c r="AS101" s="224"/>
      <c r="AT101" s="224"/>
      <c r="AU101" s="224"/>
      <c r="AV101" s="224"/>
    </row>
    <row r="102" spans="3:48">
      <c r="C102" s="224"/>
      <c r="D102" s="224"/>
      <c r="E102" s="224"/>
      <c r="F102" s="224"/>
      <c r="G102" s="224"/>
      <c r="H102" s="224"/>
      <c r="I102" s="224"/>
      <c r="J102" s="224"/>
      <c r="K102" s="224"/>
      <c r="L102" s="224"/>
      <c r="M102" s="224"/>
      <c r="N102" s="224"/>
      <c r="O102" s="224"/>
      <c r="P102" s="224"/>
      <c r="Q102" s="224"/>
      <c r="R102" s="224"/>
      <c r="S102" s="224"/>
      <c r="T102" s="224"/>
      <c r="U102" s="224"/>
      <c r="V102" s="224"/>
      <c r="W102" s="224"/>
      <c r="X102" s="224"/>
      <c r="Y102" s="224"/>
      <c r="AC102" s="224"/>
      <c r="AD102" s="224"/>
      <c r="AE102" s="224"/>
      <c r="AF102" s="224"/>
      <c r="AG102" s="224"/>
      <c r="AH102" s="224"/>
      <c r="AJ102" s="224"/>
      <c r="AK102" s="224"/>
      <c r="AL102" s="224"/>
      <c r="AM102" s="224"/>
      <c r="AN102" s="224"/>
      <c r="AO102" s="224"/>
      <c r="AQ102" s="224"/>
      <c r="AR102" s="224"/>
      <c r="AS102" s="224"/>
      <c r="AT102" s="224"/>
      <c r="AU102" s="224"/>
      <c r="AV102" s="224"/>
    </row>
    <row r="103" spans="3:48">
      <c r="C103" s="224"/>
      <c r="D103" s="224"/>
      <c r="E103" s="224"/>
      <c r="F103" s="224"/>
      <c r="G103" s="224"/>
      <c r="H103" s="224"/>
      <c r="I103" s="224"/>
      <c r="J103" s="224"/>
      <c r="K103" s="224"/>
      <c r="L103" s="224"/>
      <c r="M103" s="224"/>
      <c r="N103" s="224"/>
      <c r="O103" s="224"/>
      <c r="P103" s="224"/>
      <c r="Q103" s="224"/>
      <c r="R103" s="224"/>
      <c r="S103" s="224"/>
      <c r="T103" s="224"/>
      <c r="U103" s="224"/>
      <c r="V103" s="224"/>
      <c r="W103" s="224"/>
      <c r="X103" s="224"/>
      <c r="Y103" s="224"/>
      <c r="AC103" s="224"/>
      <c r="AD103" s="224"/>
      <c r="AE103" s="224"/>
      <c r="AF103" s="224"/>
      <c r="AG103" s="224"/>
      <c r="AH103" s="224"/>
      <c r="AJ103" s="224"/>
      <c r="AK103" s="224"/>
      <c r="AL103" s="224"/>
      <c r="AM103" s="224"/>
      <c r="AN103" s="224"/>
      <c r="AO103" s="224"/>
      <c r="AQ103" s="224"/>
      <c r="AR103" s="224"/>
      <c r="AS103" s="224"/>
      <c r="AT103" s="224"/>
      <c r="AU103" s="224"/>
      <c r="AV103" s="224"/>
    </row>
    <row r="104" spans="3:48">
      <c r="C104" s="224"/>
      <c r="D104" s="224"/>
      <c r="E104" s="224"/>
      <c r="F104" s="224"/>
      <c r="G104" s="224"/>
      <c r="H104" s="224"/>
      <c r="I104" s="224"/>
      <c r="J104" s="224"/>
      <c r="K104" s="224"/>
      <c r="L104" s="224"/>
      <c r="M104" s="224"/>
      <c r="N104" s="224"/>
      <c r="O104" s="224"/>
      <c r="P104" s="224"/>
      <c r="Q104" s="224"/>
      <c r="R104" s="224"/>
      <c r="S104" s="224"/>
      <c r="T104" s="224"/>
      <c r="U104" s="224"/>
      <c r="V104" s="224"/>
      <c r="W104" s="224"/>
      <c r="X104" s="224"/>
      <c r="Y104" s="224"/>
      <c r="AC104" s="224"/>
      <c r="AD104" s="224"/>
      <c r="AE104" s="224"/>
      <c r="AF104" s="224"/>
      <c r="AG104" s="224"/>
      <c r="AH104" s="224"/>
      <c r="AJ104" s="224"/>
      <c r="AK104" s="224"/>
      <c r="AL104" s="224"/>
      <c r="AM104" s="224"/>
      <c r="AN104" s="224"/>
      <c r="AO104" s="224"/>
      <c r="AQ104" s="224"/>
      <c r="AR104" s="224"/>
      <c r="AS104" s="224"/>
      <c r="AT104" s="224"/>
      <c r="AU104" s="224"/>
      <c r="AV104" s="224"/>
    </row>
    <row r="105" spans="3:48">
      <c r="C105" s="224"/>
      <c r="D105" s="224"/>
      <c r="E105" s="224"/>
      <c r="F105" s="224"/>
      <c r="G105" s="224"/>
      <c r="H105" s="224"/>
      <c r="I105" s="224"/>
      <c r="J105" s="224"/>
      <c r="K105" s="224"/>
      <c r="L105" s="224"/>
      <c r="M105" s="224"/>
      <c r="N105" s="224"/>
      <c r="O105" s="224"/>
      <c r="P105" s="224"/>
      <c r="Q105" s="224"/>
      <c r="R105" s="224"/>
      <c r="S105" s="224"/>
      <c r="T105" s="224"/>
      <c r="U105" s="224"/>
      <c r="V105" s="224"/>
      <c r="W105" s="224"/>
      <c r="X105" s="224"/>
      <c r="Y105" s="224"/>
      <c r="AC105" s="224"/>
      <c r="AD105" s="224"/>
      <c r="AE105" s="224"/>
      <c r="AF105" s="224"/>
      <c r="AG105" s="224"/>
      <c r="AH105" s="224"/>
      <c r="AJ105" s="224"/>
      <c r="AK105" s="224"/>
      <c r="AL105" s="224"/>
      <c r="AM105" s="224"/>
      <c r="AN105" s="224"/>
      <c r="AO105" s="224"/>
      <c r="AQ105" s="224"/>
      <c r="AR105" s="224"/>
      <c r="AS105" s="224"/>
      <c r="AT105" s="224"/>
      <c r="AU105" s="224"/>
      <c r="AV105" s="224"/>
    </row>
    <row r="106" spans="3:48">
      <c r="C106" s="224"/>
      <c r="D106" s="224"/>
      <c r="E106" s="224"/>
      <c r="F106" s="224"/>
      <c r="G106" s="224"/>
      <c r="H106" s="224"/>
      <c r="I106" s="224"/>
      <c r="J106" s="224"/>
      <c r="K106" s="224"/>
      <c r="L106" s="224"/>
      <c r="M106" s="224"/>
      <c r="N106" s="224"/>
      <c r="O106" s="224"/>
      <c r="P106" s="224"/>
      <c r="Q106" s="224"/>
      <c r="R106" s="224"/>
      <c r="S106" s="224"/>
      <c r="T106" s="224"/>
      <c r="U106" s="224"/>
      <c r="V106" s="224"/>
      <c r="W106" s="224"/>
      <c r="X106" s="224"/>
      <c r="Y106" s="224"/>
      <c r="AC106" s="224"/>
      <c r="AD106" s="224"/>
      <c r="AE106" s="224"/>
      <c r="AF106" s="224"/>
      <c r="AG106" s="224"/>
      <c r="AH106" s="224"/>
      <c r="AJ106" s="224"/>
      <c r="AK106" s="224"/>
      <c r="AL106" s="224"/>
      <c r="AM106" s="224"/>
      <c r="AN106" s="224"/>
      <c r="AO106" s="224"/>
      <c r="AQ106" s="224"/>
      <c r="AR106" s="224"/>
      <c r="AS106" s="224"/>
      <c r="AT106" s="224"/>
      <c r="AU106" s="224"/>
      <c r="AV106" s="224"/>
    </row>
    <row r="107" spans="3:48">
      <c r="C107" s="224"/>
      <c r="D107" s="224"/>
      <c r="E107" s="224"/>
      <c r="F107" s="224"/>
      <c r="G107" s="224"/>
      <c r="H107" s="224"/>
      <c r="I107" s="224"/>
      <c r="J107" s="224"/>
      <c r="K107" s="224"/>
      <c r="L107" s="224"/>
      <c r="M107" s="224"/>
      <c r="N107" s="224"/>
      <c r="O107" s="224"/>
      <c r="P107" s="224"/>
      <c r="Q107" s="224"/>
      <c r="R107" s="224"/>
      <c r="S107" s="224"/>
      <c r="T107" s="224"/>
      <c r="U107" s="224"/>
      <c r="V107" s="224"/>
      <c r="W107" s="224"/>
      <c r="X107" s="224"/>
      <c r="Y107" s="224"/>
      <c r="AC107" s="224"/>
      <c r="AD107" s="224"/>
      <c r="AE107" s="224"/>
      <c r="AF107" s="224"/>
      <c r="AG107" s="224"/>
      <c r="AH107" s="224"/>
      <c r="AJ107" s="224"/>
      <c r="AK107" s="224"/>
      <c r="AL107" s="224"/>
      <c r="AM107" s="224"/>
      <c r="AN107" s="224"/>
      <c r="AO107" s="224"/>
      <c r="AQ107" s="224"/>
      <c r="AR107" s="224"/>
      <c r="AS107" s="224"/>
      <c r="AT107" s="224"/>
      <c r="AU107" s="224"/>
      <c r="AV107" s="224"/>
    </row>
    <row r="108" spans="3:48">
      <c r="C108" s="224"/>
      <c r="D108" s="224"/>
      <c r="E108" s="224"/>
      <c r="F108" s="224"/>
      <c r="G108" s="224"/>
      <c r="H108" s="224"/>
      <c r="I108" s="224"/>
      <c r="J108" s="224"/>
      <c r="K108" s="224"/>
      <c r="L108" s="224"/>
      <c r="M108" s="224"/>
      <c r="N108" s="224"/>
      <c r="O108" s="224"/>
      <c r="P108" s="224"/>
      <c r="Q108" s="224"/>
      <c r="R108" s="224"/>
      <c r="S108" s="224"/>
      <c r="T108" s="224"/>
      <c r="U108" s="224"/>
      <c r="V108" s="224"/>
      <c r="W108" s="224"/>
      <c r="X108" s="224"/>
      <c r="Y108" s="224"/>
      <c r="AC108" s="224"/>
      <c r="AD108" s="224"/>
      <c r="AE108" s="224"/>
      <c r="AF108" s="224"/>
      <c r="AG108" s="224"/>
      <c r="AH108" s="224"/>
      <c r="AJ108" s="224"/>
      <c r="AK108" s="224"/>
      <c r="AL108" s="224"/>
      <c r="AM108" s="224"/>
      <c r="AN108" s="224"/>
      <c r="AO108" s="224"/>
      <c r="AQ108" s="224"/>
      <c r="AR108" s="224"/>
      <c r="AS108" s="224"/>
      <c r="AT108" s="224"/>
      <c r="AU108" s="224"/>
      <c r="AV108" s="224"/>
    </row>
    <row r="109" spans="3:48">
      <c r="C109" s="224"/>
      <c r="D109" s="224"/>
      <c r="E109" s="224"/>
      <c r="F109" s="224"/>
      <c r="G109" s="224"/>
      <c r="H109" s="224"/>
      <c r="I109" s="224"/>
      <c r="J109" s="224"/>
      <c r="K109" s="224"/>
      <c r="L109" s="224"/>
      <c r="M109" s="224"/>
      <c r="N109" s="224"/>
      <c r="O109" s="224"/>
      <c r="P109" s="224"/>
      <c r="Q109" s="224"/>
      <c r="R109" s="224"/>
      <c r="S109" s="224"/>
      <c r="T109" s="224"/>
      <c r="U109" s="224"/>
      <c r="V109" s="224"/>
      <c r="W109" s="224"/>
      <c r="X109" s="224"/>
      <c r="Y109" s="224"/>
      <c r="AC109" s="224"/>
      <c r="AD109" s="224"/>
      <c r="AE109" s="224"/>
      <c r="AF109" s="224"/>
      <c r="AG109" s="224"/>
      <c r="AH109" s="224"/>
      <c r="AJ109" s="224"/>
      <c r="AK109" s="224"/>
      <c r="AL109" s="224"/>
      <c r="AM109" s="224"/>
      <c r="AN109" s="224"/>
      <c r="AO109" s="224"/>
      <c r="AQ109" s="224"/>
      <c r="AR109" s="224"/>
      <c r="AS109" s="224"/>
      <c r="AT109" s="224"/>
      <c r="AU109" s="224"/>
      <c r="AV109" s="224"/>
    </row>
    <row r="110" spans="3:48">
      <c r="C110" s="224"/>
      <c r="D110" s="224"/>
      <c r="E110" s="224"/>
      <c r="F110" s="224"/>
      <c r="G110" s="224"/>
      <c r="H110" s="224"/>
      <c r="I110" s="224"/>
      <c r="J110" s="224"/>
      <c r="K110" s="224"/>
      <c r="L110" s="224"/>
      <c r="M110" s="224"/>
      <c r="N110" s="224"/>
      <c r="O110" s="224"/>
      <c r="P110" s="224"/>
      <c r="Q110" s="224"/>
      <c r="R110" s="224"/>
      <c r="S110" s="224"/>
      <c r="T110" s="224"/>
      <c r="U110" s="224"/>
      <c r="V110" s="224"/>
      <c r="W110" s="224"/>
      <c r="X110" s="224"/>
      <c r="Y110" s="224"/>
      <c r="AC110" s="224"/>
      <c r="AD110" s="224"/>
      <c r="AE110" s="224"/>
      <c r="AF110" s="224"/>
      <c r="AG110" s="224"/>
      <c r="AH110" s="224"/>
      <c r="AJ110" s="224"/>
      <c r="AK110" s="224"/>
      <c r="AL110" s="224"/>
      <c r="AM110" s="224"/>
      <c r="AN110" s="224"/>
      <c r="AO110" s="224"/>
      <c r="AQ110" s="224"/>
      <c r="AR110" s="224"/>
      <c r="AS110" s="224"/>
      <c r="AT110" s="224"/>
      <c r="AU110" s="224"/>
      <c r="AV110" s="224"/>
    </row>
    <row r="111" spans="3:48">
      <c r="C111" s="224"/>
      <c r="D111" s="224"/>
      <c r="E111" s="224"/>
      <c r="F111" s="224"/>
      <c r="G111" s="224"/>
      <c r="H111" s="224"/>
      <c r="I111" s="224"/>
      <c r="J111" s="224"/>
      <c r="K111" s="224"/>
      <c r="L111" s="224"/>
      <c r="M111" s="224"/>
      <c r="N111" s="224"/>
      <c r="O111" s="224"/>
      <c r="P111" s="224"/>
      <c r="Q111" s="224"/>
      <c r="R111" s="224"/>
      <c r="S111" s="224"/>
      <c r="T111" s="224"/>
      <c r="U111" s="224"/>
      <c r="V111" s="224"/>
      <c r="W111" s="224"/>
      <c r="X111" s="224"/>
      <c r="Y111" s="224"/>
      <c r="AC111" s="224"/>
      <c r="AD111" s="224"/>
      <c r="AE111" s="224"/>
      <c r="AF111" s="224"/>
      <c r="AG111" s="224"/>
      <c r="AH111" s="224"/>
      <c r="AJ111" s="224"/>
      <c r="AK111" s="224"/>
      <c r="AL111" s="224"/>
      <c r="AM111" s="224"/>
      <c r="AN111" s="224"/>
      <c r="AO111" s="224"/>
      <c r="AQ111" s="224"/>
      <c r="AR111" s="224"/>
      <c r="AS111" s="224"/>
      <c r="AT111" s="224"/>
      <c r="AU111" s="224"/>
      <c r="AV111" s="224"/>
    </row>
    <row r="112" spans="3:48">
      <c r="C112" s="224"/>
      <c r="D112" s="224"/>
      <c r="E112" s="224"/>
      <c r="F112" s="224"/>
      <c r="G112" s="224"/>
      <c r="H112" s="224"/>
      <c r="I112" s="224"/>
      <c r="J112" s="224"/>
      <c r="K112" s="224"/>
      <c r="L112" s="224"/>
      <c r="M112" s="224"/>
      <c r="N112" s="224"/>
      <c r="O112" s="224"/>
      <c r="P112" s="224"/>
      <c r="Q112" s="224"/>
      <c r="R112" s="224"/>
      <c r="S112" s="224"/>
      <c r="T112" s="224"/>
      <c r="U112" s="224"/>
      <c r="V112" s="224"/>
      <c r="W112" s="224"/>
      <c r="X112" s="224"/>
      <c r="Y112" s="224"/>
      <c r="AC112" s="224"/>
      <c r="AD112" s="224"/>
      <c r="AE112" s="224"/>
      <c r="AF112" s="224"/>
      <c r="AG112" s="224"/>
      <c r="AH112" s="224"/>
      <c r="AJ112" s="224"/>
      <c r="AK112" s="224"/>
      <c r="AL112" s="224"/>
      <c r="AM112" s="224"/>
      <c r="AN112" s="224"/>
      <c r="AO112" s="224"/>
      <c r="AQ112" s="224"/>
      <c r="AR112" s="224"/>
      <c r="AS112" s="224"/>
      <c r="AT112" s="224"/>
      <c r="AU112" s="224"/>
      <c r="AV112" s="224"/>
    </row>
    <row r="113" spans="3:48">
      <c r="C113" s="224"/>
      <c r="D113" s="224"/>
      <c r="E113" s="224"/>
      <c r="F113" s="224"/>
      <c r="G113" s="224"/>
      <c r="H113" s="224"/>
      <c r="I113" s="224"/>
      <c r="J113" s="224"/>
      <c r="K113" s="224"/>
      <c r="L113" s="224"/>
      <c r="M113" s="224"/>
      <c r="N113" s="224"/>
      <c r="O113" s="224"/>
      <c r="P113" s="224"/>
      <c r="Q113" s="224"/>
      <c r="R113" s="224"/>
      <c r="S113" s="224"/>
      <c r="T113" s="224"/>
      <c r="U113" s="224"/>
      <c r="V113" s="224"/>
      <c r="W113" s="224"/>
      <c r="X113" s="224"/>
      <c r="Y113" s="224"/>
      <c r="AC113" s="224"/>
      <c r="AD113" s="224"/>
      <c r="AE113" s="224"/>
      <c r="AF113" s="224"/>
      <c r="AG113" s="224"/>
      <c r="AH113" s="224"/>
      <c r="AJ113" s="224"/>
      <c r="AK113" s="224"/>
      <c r="AL113" s="224"/>
      <c r="AM113" s="224"/>
      <c r="AN113" s="224"/>
      <c r="AO113" s="224"/>
      <c r="AQ113" s="224"/>
      <c r="AR113" s="224"/>
      <c r="AS113" s="224"/>
      <c r="AT113" s="224"/>
      <c r="AU113" s="224"/>
      <c r="AV113" s="224"/>
    </row>
    <row r="114" spans="3:48">
      <c r="C114" s="224"/>
      <c r="D114" s="224"/>
      <c r="E114" s="224"/>
      <c r="F114" s="224"/>
      <c r="G114" s="224"/>
      <c r="H114" s="224"/>
      <c r="I114" s="224"/>
      <c r="J114" s="224"/>
      <c r="K114" s="224"/>
      <c r="L114" s="224"/>
      <c r="M114" s="224"/>
      <c r="N114" s="224"/>
      <c r="O114" s="224"/>
      <c r="P114" s="224"/>
      <c r="Q114" s="224"/>
      <c r="R114" s="224"/>
      <c r="S114" s="224"/>
      <c r="T114" s="224"/>
      <c r="U114" s="224"/>
      <c r="V114" s="224"/>
      <c r="W114" s="224"/>
      <c r="X114" s="224"/>
      <c r="Y114" s="224"/>
      <c r="AC114" s="224"/>
      <c r="AD114" s="224"/>
      <c r="AE114" s="224"/>
      <c r="AF114" s="224"/>
      <c r="AG114" s="224"/>
      <c r="AH114" s="224"/>
      <c r="AJ114" s="224"/>
      <c r="AK114" s="224"/>
      <c r="AL114" s="224"/>
      <c r="AM114" s="224"/>
      <c r="AN114" s="224"/>
      <c r="AO114" s="224"/>
      <c r="AQ114" s="224"/>
      <c r="AR114" s="224"/>
      <c r="AS114" s="224"/>
      <c r="AT114" s="224"/>
      <c r="AU114" s="224"/>
      <c r="AV114" s="224"/>
    </row>
    <row r="115" spans="3:48">
      <c r="C115" s="224"/>
      <c r="D115" s="224"/>
      <c r="E115" s="224"/>
      <c r="F115" s="224"/>
      <c r="G115" s="224"/>
      <c r="H115" s="224"/>
      <c r="I115" s="224"/>
      <c r="J115" s="224"/>
      <c r="K115" s="224"/>
      <c r="L115" s="224"/>
      <c r="M115" s="224"/>
      <c r="N115" s="224"/>
      <c r="O115" s="224"/>
      <c r="P115" s="224"/>
      <c r="Q115" s="224"/>
      <c r="R115" s="224"/>
      <c r="S115" s="224"/>
      <c r="T115" s="224"/>
      <c r="U115" s="224"/>
      <c r="V115" s="224"/>
      <c r="W115" s="224"/>
      <c r="X115" s="224"/>
      <c r="Y115" s="224"/>
      <c r="AC115" s="224"/>
      <c r="AD115" s="224"/>
      <c r="AE115" s="224"/>
      <c r="AF115" s="224"/>
      <c r="AG115" s="224"/>
      <c r="AH115" s="224"/>
      <c r="AJ115" s="224"/>
      <c r="AK115" s="224"/>
      <c r="AL115" s="224"/>
      <c r="AM115" s="224"/>
      <c r="AN115" s="224"/>
      <c r="AO115" s="224"/>
      <c r="AQ115" s="224"/>
      <c r="AR115" s="224"/>
      <c r="AS115" s="224"/>
      <c r="AT115" s="224"/>
      <c r="AU115" s="224"/>
      <c r="AV115" s="224"/>
    </row>
    <row r="116" spans="3:48">
      <c r="C116" s="224"/>
      <c r="D116" s="224"/>
      <c r="E116" s="224"/>
      <c r="F116" s="224"/>
      <c r="G116" s="224"/>
      <c r="H116" s="224"/>
      <c r="I116" s="224"/>
      <c r="J116" s="224"/>
      <c r="K116" s="224"/>
      <c r="L116" s="224"/>
      <c r="M116" s="224"/>
      <c r="N116" s="224"/>
      <c r="O116" s="224"/>
      <c r="P116" s="224"/>
      <c r="Q116" s="224"/>
      <c r="R116" s="224"/>
      <c r="S116" s="224"/>
      <c r="T116" s="224"/>
      <c r="U116" s="224"/>
      <c r="V116" s="224"/>
      <c r="W116" s="224"/>
      <c r="X116" s="224"/>
      <c r="Y116" s="224"/>
      <c r="AC116" s="224"/>
      <c r="AD116" s="224"/>
      <c r="AE116" s="224"/>
      <c r="AF116" s="224"/>
      <c r="AG116" s="224"/>
      <c r="AH116" s="224"/>
      <c r="AJ116" s="224"/>
      <c r="AK116" s="224"/>
      <c r="AL116" s="224"/>
      <c r="AM116" s="224"/>
      <c r="AN116" s="224"/>
      <c r="AO116" s="224"/>
      <c r="AQ116" s="224"/>
      <c r="AR116" s="224"/>
      <c r="AS116" s="224"/>
      <c r="AT116" s="224"/>
      <c r="AU116" s="224"/>
      <c r="AV116" s="224"/>
    </row>
    <row r="117" spans="3:48">
      <c r="C117" s="224"/>
      <c r="D117" s="224"/>
      <c r="E117" s="224"/>
      <c r="F117" s="224"/>
      <c r="G117" s="224"/>
      <c r="H117" s="224"/>
      <c r="I117" s="224"/>
      <c r="J117" s="224"/>
      <c r="K117" s="224"/>
      <c r="L117" s="224"/>
      <c r="M117" s="224"/>
      <c r="N117" s="224"/>
      <c r="O117" s="224"/>
      <c r="P117" s="224"/>
      <c r="Q117" s="224"/>
      <c r="R117" s="224"/>
      <c r="S117" s="224"/>
      <c r="T117" s="224"/>
      <c r="U117" s="224"/>
      <c r="V117" s="224"/>
      <c r="W117" s="224"/>
      <c r="X117" s="224"/>
      <c r="Y117" s="224"/>
      <c r="AC117" s="224"/>
      <c r="AD117" s="224"/>
      <c r="AE117" s="224"/>
      <c r="AF117" s="224"/>
      <c r="AG117" s="224"/>
      <c r="AH117" s="224"/>
      <c r="AJ117" s="224"/>
      <c r="AK117" s="224"/>
      <c r="AL117" s="224"/>
      <c r="AM117" s="224"/>
      <c r="AN117" s="224"/>
      <c r="AO117" s="224"/>
      <c r="AQ117" s="224"/>
      <c r="AR117" s="224"/>
      <c r="AS117" s="224"/>
      <c r="AT117" s="224"/>
      <c r="AU117" s="224"/>
      <c r="AV117" s="224"/>
    </row>
    <row r="118" spans="3:48">
      <c r="C118" s="224"/>
      <c r="D118" s="224"/>
      <c r="E118" s="224"/>
      <c r="F118" s="224"/>
      <c r="G118" s="224"/>
      <c r="H118" s="224"/>
      <c r="I118" s="224"/>
      <c r="J118" s="224"/>
      <c r="K118" s="224"/>
      <c r="L118" s="224"/>
      <c r="M118" s="224"/>
      <c r="N118" s="224"/>
      <c r="O118" s="224"/>
      <c r="P118" s="224"/>
      <c r="Q118" s="224"/>
      <c r="R118" s="224"/>
      <c r="S118" s="224"/>
      <c r="T118" s="224"/>
      <c r="U118" s="224"/>
      <c r="V118" s="224"/>
      <c r="W118" s="224"/>
      <c r="X118" s="224"/>
      <c r="Y118" s="224"/>
      <c r="AC118" s="224"/>
      <c r="AD118" s="224"/>
      <c r="AE118" s="224"/>
      <c r="AF118" s="224"/>
      <c r="AG118" s="224"/>
      <c r="AH118" s="224"/>
      <c r="AJ118" s="224"/>
      <c r="AK118" s="224"/>
      <c r="AL118" s="224"/>
      <c r="AM118" s="224"/>
      <c r="AN118" s="224"/>
      <c r="AO118" s="224"/>
      <c r="AQ118" s="224"/>
      <c r="AR118" s="224"/>
      <c r="AS118" s="224"/>
      <c r="AT118" s="224"/>
      <c r="AU118" s="224"/>
      <c r="AV118" s="224"/>
    </row>
    <row r="119" spans="3:48">
      <c r="C119" s="224"/>
      <c r="D119" s="224"/>
      <c r="E119" s="224"/>
      <c r="F119" s="224"/>
      <c r="G119" s="224"/>
      <c r="H119" s="224"/>
      <c r="I119" s="224"/>
      <c r="J119" s="224"/>
      <c r="K119" s="224"/>
      <c r="L119" s="224"/>
      <c r="M119" s="224"/>
      <c r="N119" s="224"/>
      <c r="O119" s="224"/>
      <c r="P119" s="224"/>
      <c r="Q119" s="224"/>
      <c r="R119" s="224"/>
      <c r="S119" s="224"/>
      <c r="T119" s="224"/>
      <c r="U119" s="224"/>
      <c r="V119" s="224"/>
      <c r="W119" s="224"/>
      <c r="X119" s="224"/>
      <c r="Y119" s="224"/>
      <c r="AC119" s="224"/>
      <c r="AD119" s="224"/>
      <c r="AE119" s="224"/>
      <c r="AF119" s="224"/>
      <c r="AG119" s="224"/>
      <c r="AH119" s="224"/>
      <c r="AJ119" s="224"/>
      <c r="AK119" s="224"/>
      <c r="AL119" s="224"/>
      <c r="AM119" s="224"/>
      <c r="AN119" s="224"/>
      <c r="AO119" s="224"/>
      <c r="AQ119" s="224"/>
      <c r="AR119" s="224"/>
      <c r="AS119" s="224"/>
      <c r="AT119" s="224"/>
      <c r="AU119" s="224"/>
      <c r="AV119" s="224"/>
    </row>
    <row r="120" spans="3:48">
      <c r="C120" s="224"/>
      <c r="D120" s="224"/>
      <c r="E120" s="224"/>
      <c r="F120" s="224"/>
      <c r="G120" s="224"/>
      <c r="H120" s="224"/>
      <c r="I120" s="224"/>
      <c r="J120" s="224"/>
      <c r="K120" s="224"/>
      <c r="L120" s="224"/>
      <c r="M120" s="224"/>
      <c r="N120" s="224"/>
      <c r="O120" s="224"/>
      <c r="P120" s="224"/>
      <c r="Q120" s="224"/>
      <c r="R120" s="224"/>
      <c r="S120" s="224"/>
      <c r="T120" s="224"/>
      <c r="U120" s="224"/>
      <c r="V120" s="224"/>
      <c r="W120" s="224"/>
      <c r="X120" s="224"/>
      <c r="Y120" s="224"/>
      <c r="AC120" s="224"/>
      <c r="AD120" s="224"/>
      <c r="AE120" s="224"/>
      <c r="AF120" s="224"/>
      <c r="AG120" s="224"/>
      <c r="AH120" s="224"/>
      <c r="AJ120" s="224"/>
      <c r="AK120" s="224"/>
      <c r="AL120" s="224"/>
      <c r="AM120" s="224"/>
      <c r="AN120" s="224"/>
      <c r="AO120" s="224"/>
      <c r="AQ120" s="224"/>
      <c r="AR120" s="224"/>
      <c r="AS120" s="224"/>
      <c r="AT120" s="224"/>
      <c r="AU120" s="224"/>
      <c r="AV120" s="224"/>
    </row>
    <row r="121" spans="3:48">
      <c r="C121" s="224"/>
      <c r="D121" s="224"/>
      <c r="E121" s="224"/>
      <c r="F121" s="224"/>
      <c r="G121" s="224"/>
      <c r="H121" s="224"/>
      <c r="I121" s="224"/>
      <c r="J121" s="224"/>
      <c r="K121" s="224"/>
      <c r="L121" s="224"/>
      <c r="M121" s="224"/>
      <c r="N121" s="224"/>
      <c r="O121" s="224"/>
      <c r="P121" s="224"/>
      <c r="Q121" s="224"/>
      <c r="R121" s="224"/>
      <c r="S121" s="224"/>
      <c r="T121" s="224"/>
      <c r="U121" s="224"/>
      <c r="V121" s="224"/>
      <c r="W121" s="224"/>
      <c r="X121" s="224"/>
      <c r="Y121" s="224"/>
      <c r="AC121" s="224"/>
      <c r="AD121" s="224"/>
      <c r="AE121" s="224"/>
      <c r="AF121" s="224"/>
      <c r="AG121" s="224"/>
      <c r="AH121" s="224"/>
      <c r="AJ121" s="224"/>
      <c r="AK121" s="224"/>
      <c r="AL121" s="224"/>
      <c r="AM121" s="224"/>
      <c r="AN121" s="224"/>
      <c r="AO121" s="224"/>
      <c r="AQ121" s="224"/>
      <c r="AR121" s="224"/>
      <c r="AS121" s="224"/>
      <c r="AT121" s="224"/>
      <c r="AU121" s="224"/>
      <c r="AV121" s="224"/>
    </row>
    <row r="122" spans="3:48">
      <c r="C122" s="224"/>
      <c r="D122" s="224"/>
      <c r="E122" s="224"/>
      <c r="F122" s="224"/>
      <c r="G122" s="224"/>
      <c r="H122" s="224"/>
      <c r="I122" s="224"/>
      <c r="J122" s="224"/>
      <c r="K122" s="224"/>
      <c r="L122" s="224"/>
      <c r="M122" s="224"/>
      <c r="N122" s="224"/>
      <c r="O122" s="224"/>
      <c r="P122" s="224"/>
      <c r="Q122" s="224"/>
      <c r="R122" s="224"/>
      <c r="S122" s="224"/>
      <c r="T122" s="224"/>
      <c r="U122" s="224"/>
      <c r="V122" s="224"/>
      <c r="W122" s="224"/>
      <c r="X122" s="224"/>
      <c r="Y122" s="224"/>
      <c r="AC122" s="224"/>
      <c r="AD122" s="224"/>
      <c r="AE122" s="224"/>
      <c r="AF122" s="224"/>
      <c r="AG122" s="224"/>
      <c r="AH122" s="224"/>
      <c r="AJ122" s="224"/>
      <c r="AK122" s="224"/>
      <c r="AL122" s="224"/>
      <c r="AM122" s="224"/>
      <c r="AN122" s="224"/>
      <c r="AO122" s="224"/>
      <c r="AQ122" s="224"/>
      <c r="AR122" s="224"/>
      <c r="AS122" s="224"/>
      <c r="AT122" s="224"/>
      <c r="AU122" s="224"/>
      <c r="AV122" s="224"/>
    </row>
    <row r="123" spans="3:48">
      <c r="C123" s="224"/>
      <c r="D123" s="224"/>
      <c r="E123" s="224"/>
      <c r="F123" s="224"/>
      <c r="G123" s="224"/>
      <c r="H123" s="224"/>
      <c r="I123" s="224"/>
      <c r="J123" s="224"/>
      <c r="K123" s="224"/>
      <c r="L123" s="224"/>
      <c r="M123" s="224"/>
      <c r="N123" s="224"/>
      <c r="O123" s="224"/>
      <c r="P123" s="224"/>
      <c r="Q123" s="224"/>
      <c r="R123" s="224"/>
      <c r="S123" s="224"/>
      <c r="T123" s="224"/>
      <c r="U123" s="224"/>
      <c r="V123" s="224"/>
      <c r="W123" s="224"/>
      <c r="X123" s="224"/>
      <c r="Y123" s="224"/>
      <c r="AC123" s="224"/>
      <c r="AD123" s="224"/>
      <c r="AE123" s="224"/>
      <c r="AF123" s="224"/>
      <c r="AG123" s="224"/>
      <c r="AH123" s="224"/>
      <c r="AJ123" s="224"/>
      <c r="AK123" s="224"/>
      <c r="AL123" s="224"/>
      <c r="AM123" s="224"/>
      <c r="AN123" s="224"/>
      <c r="AO123" s="224"/>
      <c r="AQ123" s="224"/>
      <c r="AR123" s="224"/>
      <c r="AS123" s="224"/>
      <c r="AT123" s="224"/>
      <c r="AU123" s="224"/>
      <c r="AV123" s="224"/>
    </row>
    <row r="124" spans="3:48">
      <c r="C124" s="224"/>
      <c r="D124" s="224"/>
      <c r="E124" s="224"/>
      <c r="F124" s="224"/>
      <c r="G124" s="224"/>
      <c r="H124" s="224"/>
      <c r="I124" s="224"/>
      <c r="J124" s="224"/>
      <c r="K124" s="224"/>
      <c r="L124" s="224"/>
      <c r="M124" s="224"/>
      <c r="N124" s="224"/>
      <c r="O124" s="224"/>
      <c r="P124" s="224"/>
      <c r="Q124" s="224"/>
      <c r="R124" s="224"/>
      <c r="S124" s="224"/>
      <c r="T124" s="224"/>
      <c r="U124" s="224"/>
      <c r="V124" s="224"/>
      <c r="W124" s="224"/>
      <c r="X124" s="224"/>
      <c r="Y124" s="224"/>
      <c r="AC124" s="224"/>
      <c r="AD124" s="224"/>
      <c r="AE124" s="224"/>
      <c r="AF124" s="224"/>
      <c r="AG124" s="224"/>
      <c r="AH124" s="224"/>
      <c r="AJ124" s="224"/>
      <c r="AK124" s="224"/>
      <c r="AL124" s="224"/>
      <c r="AM124" s="224"/>
      <c r="AN124" s="224"/>
      <c r="AO124" s="224"/>
      <c r="AQ124" s="224"/>
      <c r="AR124" s="224"/>
      <c r="AS124" s="224"/>
      <c r="AT124" s="224"/>
      <c r="AU124" s="224"/>
      <c r="AV124" s="224"/>
    </row>
    <row r="125" spans="3:48">
      <c r="C125" s="224"/>
      <c r="D125" s="224"/>
      <c r="E125" s="224"/>
      <c r="F125" s="224"/>
      <c r="G125" s="224"/>
      <c r="H125" s="224"/>
      <c r="I125" s="224"/>
      <c r="J125" s="224"/>
      <c r="K125" s="224"/>
      <c r="L125" s="224"/>
      <c r="M125" s="224"/>
      <c r="N125" s="224"/>
      <c r="O125" s="224"/>
      <c r="P125" s="224"/>
      <c r="Q125" s="224"/>
      <c r="R125" s="224"/>
      <c r="S125" s="224"/>
      <c r="T125" s="224"/>
      <c r="U125" s="224"/>
      <c r="V125" s="224"/>
      <c r="W125" s="224"/>
      <c r="X125" s="224"/>
      <c r="Y125" s="224"/>
      <c r="AC125" s="224"/>
      <c r="AD125" s="224"/>
      <c r="AE125" s="224"/>
      <c r="AF125" s="224"/>
      <c r="AG125" s="224"/>
      <c r="AH125" s="224"/>
      <c r="AJ125" s="224"/>
      <c r="AK125" s="224"/>
      <c r="AL125" s="224"/>
      <c r="AM125" s="224"/>
      <c r="AN125" s="224"/>
      <c r="AO125" s="224"/>
      <c r="AQ125" s="224"/>
      <c r="AR125" s="224"/>
      <c r="AS125" s="224"/>
      <c r="AT125" s="224"/>
      <c r="AU125" s="224"/>
      <c r="AV125" s="224"/>
    </row>
    <row r="126" spans="3:48">
      <c r="C126" s="224"/>
      <c r="D126" s="224"/>
      <c r="E126" s="224"/>
      <c r="F126" s="224"/>
      <c r="G126" s="224"/>
      <c r="H126" s="224"/>
      <c r="I126" s="224"/>
      <c r="J126" s="224"/>
      <c r="K126" s="224"/>
      <c r="L126" s="224"/>
      <c r="M126" s="224"/>
      <c r="N126" s="224"/>
      <c r="O126" s="224"/>
      <c r="P126" s="224"/>
      <c r="Q126" s="224"/>
      <c r="R126" s="224"/>
      <c r="S126" s="224"/>
      <c r="T126" s="224"/>
      <c r="U126" s="224"/>
      <c r="V126" s="224"/>
      <c r="W126" s="224"/>
      <c r="X126" s="224"/>
      <c r="Y126" s="224"/>
      <c r="AC126" s="224"/>
      <c r="AD126" s="224"/>
      <c r="AE126" s="224"/>
      <c r="AF126" s="224"/>
      <c r="AG126" s="224"/>
      <c r="AH126" s="224"/>
      <c r="AJ126" s="224"/>
      <c r="AK126" s="224"/>
      <c r="AL126" s="224"/>
      <c r="AM126" s="224"/>
      <c r="AN126" s="224"/>
      <c r="AO126" s="224"/>
      <c r="AQ126" s="224"/>
      <c r="AR126" s="224"/>
      <c r="AS126" s="224"/>
      <c r="AT126" s="224"/>
      <c r="AU126" s="224"/>
      <c r="AV126" s="224"/>
    </row>
    <row r="127" spans="3:48">
      <c r="C127" s="224"/>
      <c r="D127" s="224"/>
      <c r="E127" s="224"/>
      <c r="F127" s="224"/>
      <c r="G127" s="224"/>
      <c r="H127" s="224"/>
      <c r="I127" s="224"/>
      <c r="J127" s="224"/>
      <c r="K127" s="224"/>
      <c r="L127" s="224"/>
      <c r="M127" s="224"/>
      <c r="N127" s="224"/>
      <c r="O127" s="224"/>
      <c r="P127" s="224"/>
      <c r="Q127" s="224"/>
      <c r="R127" s="224"/>
      <c r="S127" s="224"/>
      <c r="T127" s="224"/>
      <c r="U127" s="224"/>
      <c r="V127" s="224"/>
      <c r="W127" s="224"/>
      <c r="X127" s="224"/>
      <c r="Y127" s="224"/>
      <c r="AC127" s="224"/>
      <c r="AD127" s="224"/>
      <c r="AE127" s="224"/>
      <c r="AF127" s="224"/>
      <c r="AG127" s="224"/>
      <c r="AH127" s="224"/>
      <c r="AJ127" s="224"/>
      <c r="AK127" s="224"/>
      <c r="AL127" s="224"/>
      <c r="AM127" s="224"/>
      <c r="AN127" s="224"/>
      <c r="AO127" s="224"/>
      <c r="AQ127" s="224"/>
      <c r="AR127" s="224"/>
      <c r="AS127" s="224"/>
      <c r="AT127" s="224"/>
      <c r="AU127" s="224"/>
      <c r="AV127" s="224"/>
    </row>
    <row r="128" spans="3:48">
      <c r="C128" s="224"/>
      <c r="D128" s="224"/>
      <c r="E128" s="224"/>
      <c r="F128" s="224"/>
      <c r="G128" s="224"/>
      <c r="H128" s="224"/>
      <c r="I128" s="224"/>
      <c r="J128" s="224"/>
      <c r="K128" s="224"/>
      <c r="L128" s="224"/>
      <c r="M128" s="224"/>
      <c r="N128" s="224"/>
      <c r="O128" s="224"/>
      <c r="P128" s="224"/>
      <c r="Q128" s="224"/>
      <c r="R128" s="224"/>
      <c r="S128" s="224"/>
      <c r="T128" s="224"/>
      <c r="U128" s="224"/>
      <c r="V128" s="224"/>
      <c r="W128" s="224"/>
      <c r="X128" s="224"/>
      <c r="Y128" s="224"/>
      <c r="AC128" s="224"/>
      <c r="AD128" s="224"/>
      <c r="AE128" s="224"/>
      <c r="AF128" s="224"/>
      <c r="AG128" s="224"/>
      <c r="AH128" s="224"/>
      <c r="AJ128" s="224"/>
      <c r="AK128" s="224"/>
      <c r="AL128" s="224"/>
      <c r="AM128" s="224"/>
      <c r="AN128" s="224"/>
      <c r="AO128" s="224"/>
      <c r="AQ128" s="224"/>
      <c r="AR128" s="224"/>
      <c r="AS128" s="224"/>
      <c r="AT128" s="224"/>
      <c r="AU128" s="224"/>
      <c r="AV128" s="224"/>
    </row>
    <row r="129" spans="3:48">
      <c r="C129" s="224"/>
      <c r="D129" s="224"/>
      <c r="E129" s="224"/>
      <c r="F129" s="224"/>
      <c r="G129" s="224"/>
      <c r="H129" s="224"/>
      <c r="I129" s="224"/>
      <c r="J129" s="224"/>
      <c r="K129" s="224"/>
      <c r="L129" s="224"/>
      <c r="M129" s="224"/>
      <c r="N129" s="224"/>
      <c r="O129" s="224"/>
      <c r="P129" s="224"/>
      <c r="Q129" s="224"/>
      <c r="R129" s="224"/>
      <c r="S129" s="224"/>
      <c r="T129" s="224"/>
      <c r="U129" s="224"/>
      <c r="V129" s="224"/>
      <c r="W129" s="224"/>
      <c r="X129" s="224"/>
      <c r="Y129" s="224"/>
      <c r="AC129" s="224"/>
      <c r="AD129" s="224"/>
      <c r="AE129" s="224"/>
      <c r="AF129" s="224"/>
      <c r="AG129" s="224"/>
      <c r="AH129" s="224"/>
      <c r="AJ129" s="224"/>
      <c r="AK129" s="224"/>
      <c r="AL129" s="224"/>
      <c r="AM129" s="224"/>
      <c r="AN129" s="224"/>
      <c r="AO129" s="224"/>
      <c r="AQ129" s="224"/>
      <c r="AR129" s="224"/>
      <c r="AS129" s="224"/>
      <c r="AT129" s="224"/>
      <c r="AU129" s="224"/>
      <c r="AV129" s="224"/>
    </row>
    <row r="130" spans="3:48">
      <c r="C130" s="224"/>
      <c r="D130" s="224"/>
      <c r="E130" s="224"/>
      <c r="F130" s="224"/>
      <c r="G130" s="224"/>
      <c r="H130" s="224"/>
      <c r="I130" s="224"/>
      <c r="J130" s="224"/>
      <c r="K130" s="224"/>
      <c r="L130" s="224"/>
      <c r="M130" s="224"/>
      <c r="N130" s="224"/>
      <c r="O130" s="224"/>
      <c r="P130" s="224"/>
      <c r="Q130" s="224"/>
      <c r="R130" s="224"/>
      <c r="S130" s="224"/>
      <c r="T130" s="224"/>
      <c r="U130" s="224"/>
      <c r="V130" s="224"/>
      <c r="W130" s="224"/>
      <c r="X130" s="224"/>
      <c r="Y130" s="224"/>
      <c r="AC130" s="224"/>
      <c r="AD130" s="224"/>
      <c r="AE130" s="224"/>
      <c r="AF130" s="224"/>
      <c r="AG130" s="224"/>
      <c r="AH130" s="224"/>
      <c r="AJ130" s="224"/>
      <c r="AK130" s="224"/>
      <c r="AL130" s="224"/>
      <c r="AM130" s="224"/>
      <c r="AN130" s="224"/>
      <c r="AO130" s="224"/>
      <c r="AQ130" s="224"/>
      <c r="AR130" s="224"/>
      <c r="AS130" s="224"/>
      <c r="AT130" s="224"/>
      <c r="AU130" s="224"/>
      <c r="AV130" s="224"/>
    </row>
    <row r="131" spans="3:48">
      <c r="C131" s="224"/>
      <c r="D131" s="224"/>
      <c r="E131" s="224"/>
      <c r="F131" s="224"/>
      <c r="G131" s="224"/>
      <c r="H131" s="224"/>
      <c r="I131" s="224"/>
      <c r="J131" s="224"/>
      <c r="K131" s="224"/>
      <c r="L131" s="224"/>
      <c r="M131" s="224"/>
      <c r="N131" s="224"/>
      <c r="O131" s="224"/>
      <c r="P131" s="224"/>
      <c r="Q131" s="224"/>
      <c r="R131" s="224"/>
      <c r="S131" s="224"/>
      <c r="T131" s="224"/>
      <c r="U131" s="224"/>
      <c r="V131" s="224"/>
      <c r="W131" s="224"/>
      <c r="X131" s="224"/>
      <c r="Y131" s="224"/>
      <c r="AC131" s="224"/>
      <c r="AD131" s="224"/>
      <c r="AE131" s="224"/>
      <c r="AF131" s="224"/>
      <c r="AG131" s="224"/>
      <c r="AH131" s="224"/>
      <c r="AJ131" s="224"/>
      <c r="AK131" s="224"/>
      <c r="AL131" s="224"/>
      <c r="AM131" s="224"/>
      <c r="AN131" s="224"/>
      <c r="AO131" s="224"/>
      <c r="AQ131" s="224"/>
      <c r="AR131" s="224"/>
      <c r="AS131" s="224"/>
      <c r="AT131" s="224"/>
      <c r="AU131" s="224"/>
      <c r="AV131" s="224"/>
    </row>
    <row r="132" spans="3:48">
      <c r="C132" s="224"/>
      <c r="D132" s="224"/>
      <c r="E132" s="224"/>
      <c r="F132" s="224"/>
      <c r="G132" s="224"/>
      <c r="H132" s="224"/>
      <c r="I132" s="224"/>
      <c r="J132" s="224"/>
      <c r="K132" s="224"/>
      <c r="L132" s="224"/>
      <c r="M132" s="224"/>
      <c r="N132" s="224"/>
      <c r="O132" s="224"/>
      <c r="P132" s="224"/>
      <c r="Q132" s="224"/>
      <c r="R132" s="224"/>
      <c r="S132" s="224"/>
      <c r="T132" s="224"/>
      <c r="U132" s="224"/>
      <c r="V132" s="224"/>
      <c r="W132" s="224"/>
      <c r="X132" s="224"/>
      <c r="Y132" s="224"/>
      <c r="AC132" s="224"/>
      <c r="AD132" s="224"/>
      <c r="AE132" s="224"/>
      <c r="AF132" s="224"/>
      <c r="AG132" s="224"/>
      <c r="AH132" s="224"/>
      <c r="AJ132" s="224"/>
      <c r="AK132" s="224"/>
      <c r="AL132" s="224"/>
      <c r="AM132" s="224"/>
      <c r="AN132" s="224"/>
      <c r="AO132" s="224"/>
      <c r="AQ132" s="224"/>
      <c r="AR132" s="224"/>
      <c r="AS132" s="224"/>
      <c r="AT132" s="224"/>
      <c r="AU132" s="224"/>
      <c r="AV132" s="224"/>
    </row>
    <row r="133" spans="3:48">
      <c r="C133" s="224"/>
      <c r="D133" s="224"/>
      <c r="E133" s="224"/>
      <c r="F133" s="224"/>
      <c r="G133" s="224"/>
      <c r="H133" s="224"/>
      <c r="I133" s="224"/>
      <c r="J133" s="224"/>
      <c r="K133" s="224"/>
      <c r="L133" s="224"/>
      <c r="M133" s="224"/>
      <c r="N133" s="224"/>
      <c r="O133" s="224"/>
      <c r="P133" s="224"/>
      <c r="Q133" s="224"/>
      <c r="R133" s="224"/>
      <c r="S133" s="224"/>
      <c r="T133" s="224"/>
      <c r="U133" s="224"/>
      <c r="V133" s="224"/>
      <c r="W133" s="224"/>
      <c r="X133" s="224"/>
      <c r="Y133" s="224"/>
      <c r="AC133" s="224"/>
      <c r="AD133" s="224"/>
      <c r="AE133" s="224"/>
      <c r="AF133" s="224"/>
      <c r="AG133" s="224"/>
      <c r="AH133" s="224"/>
      <c r="AJ133" s="224"/>
      <c r="AK133" s="224"/>
      <c r="AL133" s="224"/>
      <c r="AM133" s="224"/>
      <c r="AN133" s="224"/>
      <c r="AO133" s="224"/>
      <c r="AQ133" s="224"/>
      <c r="AR133" s="224"/>
      <c r="AS133" s="224"/>
      <c r="AT133" s="224"/>
      <c r="AU133" s="224"/>
      <c r="AV133" s="224"/>
    </row>
    <row r="134" spans="3:48">
      <c r="C134" s="224"/>
      <c r="D134" s="224"/>
      <c r="E134" s="224"/>
      <c r="F134" s="224"/>
      <c r="G134" s="224"/>
      <c r="H134" s="224"/>
      <c r="I134" s="224"/>
      <c r="J134" s="224"/>
      <c r="K134" s="224"/>
      <c r="L134" s="224"/>
      <c r="M134" s="224"/>
      <c r="N134" s="224"/>
      <c r="O134" s="224"/>
      <c r="P134" s="224"/>
      <c r="Q134" s="224"/>
      <c r="R134" s="224"/>
      <c r="S134" s="224"/>
      <c r="T134" s="224"/>
      <c r="U134" s="224"/>
      <c r="V134" s="224"/>
      <c r="W134" s="224"/>
      <c r="X134" s="224"/>
      <c r="Y134" s="224"/>
      <c r="AC134" s="224"/>
      <c r="AD134" s="224"/>
      <c r="AE134" s="224"/>
      <c r="AF134" s="224"/>
      <c r="AG134" s="224"/>
      <c r="AH134" s="224"/>
      <c r="AJ134" s="224"/>
      <c r="AK134" s="224"/>
      <c r="AL134" s="224"/>
      <c r="AM134" s="224"/>
      <c r="AN134" s="224"/>
      <c r="AO134" s="224"/>
      <c r="AQ134" s="224"/>
      <c r="AR134" s="224"/>
      <c r="AS134" s="224"/>
      <c r="AT134" s="224"/>
      <c r="AU134" s="224"/>
      <c r="AV134" s="224"/>
    </row>
    <row r="135" spans="3:48">
      <c r="C135" s="224"/>
      <c r="D135" s="224"/>
      <c r="E135" s="224"/>
      <c r="F135" s="224"/>
      <c r="G135" s="224"/>
      <c r="H135" s="224"/>
      <c r="I135" s="224"/>
      <c r="J135" s="224"/>
      <c r="K135" s="224"/>
      <c r="L135" s="224"/>
      <c r="M135" s="224"/>
      <c r="N135" s="224"/>
      <c r="O135" s="224"/>
      <c r="P135" s="224"/>
      <c r="Q135" s="224"/>
      <c r="R135" s="224"/>
      <c r="S135" s="224"/>
      <c r="T135" s="224"/>
      <c r="U135" s="224"/>
      <c r="V135" s="224"/>
      <c r="W135" s="224"/>
      <c r="X135" s="224"/>
      <c r="Y135" s="224"/>
      <c r="AC135" s="224"/>
      <c r="AD135" s="224"/>
      <c r="AE135" s="224"/>
      <c r="AF135" s="224"/>
      <c r="AG135" s="224"/>
      <c r="AH135" s="224"/>
      <c r="AJ135" s="224"/>
      <c r="AK135" s="224"/>
      <c r="AL135" s="224"/>
      <c r="AM135" s="224"/>
      <c r="AN135" s="224"/>
      <c r="AO135" s="224"/>
      <c r="AQ135" s="224"/>
      <c r="AR135" s="224"/>
      <c r="AS135" s="224"/>
      <c r="AT135" s="224"/>
      <c r="AU135" s="224"/>
      <c r="AV135" s="224"/>
    </row>
    <row r="136" spans="3:48">
      <c r="C136" s="224"/>
      <c r="D136" s="224"/>
      <c r="E136" s="224"/>
      <c r="F136" s="224"/>
      <c r="G136" s="224"/>
      <c r="H136" s="224"/>
      <c r="I136" s="224"/>
      <c r="J136" s="224"/>
      <c r="K136" s="224"/>
      <c r="L136" s="224"/>
      <c r="M136" s="224"/>
      <c r="N136" s="224"/>
      <c r="O136" s="224"/>
      <c r="P136" s="224"/>
      <c r="Q136" s="224"/>
      <c r="R136" s="224"/>
      <c r="S136" s="224"/>
      <c r="T136" s="224"/>
      <c r="U136" s="224"/>
      <c r="V136" s="224"/>
      <c r="W136" s="224"/>
      <c r="X136" s="224"/>
      <c r="Y136" s="224"/>
      <c r="AC136" s="224"/>
      <c r="AD136" s="224"/>
      <c r="AE136" s="224"/>
      <c r="AF136" s="224"/>
      <c r="AG136" s="224"/>
      <c r="AH136" s="224"/>
      <c r="AJ136" s="224"/>
      <c r="AK136" s="224"/>
      <c r="AL136" s="224"/>
      <c r="AM136" s="224"/>
      <c r="AN136" s="224"/>
      <c r="AO136" s="224"/>
      <c r="AQ136" s="224"/>
      <c r="AR136" s="224"/>
      <c r="AS136" s="224"/>
      <c r="AT136" s="224"/>
      <c r="AU136" s="224"/>
      <c r="AV136" s="224"/>
    </row>
    <row r="137" spans="3:48">
      <c r="C137" s="224"/>
      <c r="D137" s="224"/>
      <c r="E137" s="224"/>
      <c r="F137" s="224"/>
      <c r="G137" s="224"/>
      <c r="H137" s="224"/>
      <c r="I137" s="224"/>
      <c r="J137" s="224"/>
      <c r="K137" s="224"/>
      <c r="L137" s="224"/>
      <c r="M137" s="224"/>
      <c r="N137" s="224"/>
      <c r="O137" s="224"/>
      <c r="P137" s="224"/>
      <c r="Q137" s="224"/>
      <c r="R137" s="224"/>
      <c r="S137" s="224"/>
      <c r="T137" s="224"/>
      <c r="U137" s="224"/>
      <c r="V137" s="224"/>
      <c r="W137" s="224"/>
      <c r="X137" s="224"/>
      <c r="Y137" s="224"/>
      <c r="AC137" s="224"/>
      <c r="AD137" s="224"/>
      <c r="AE137" s="224"/>
      <c r="AF137" s="224"/>
      <c r="AG137" s="224"/>
      <c r="AH137" s="224"/>
      <c r="AJ137" s="224"/>
      <c r="AK137" s="224"/>
      <c r="AL137" s="224"/>
      <c r="AM137" s="224"/>
      <c r="AN137" s="224"/>
      <c r="AO137" s="224"/>
      <c r="AQ137" s="224"/>
      <c r="AR137" s="224"/>
      <c r="AS137" s="224"/>
      <c r="AT137" s="224"/>
      <c r="AU137" s="224"/>
      <c r="AV137" s="224"/>
    </row>
    <row r="138" spans="3:48">
      <c r="C138" s="224"/>
      <c r="D138" s="224"/>
      <c r="E138" s="224"/>
      <c r="F138" s="224"/>
      <c r="G138" s="224"/>
      <c r="H138" s="224"/>
      <c r="I138" s="224"/>
      <c r="J138" s="224"/>
      <c r="K138" s="224"/>
      <c r="L138" s="224"/>
      <c r="M138" s="224"/>
      <c r="N138" s="224"/>
      <c r="O138" s="224"/>
      <c r="P138" s="224"/>
      <c r="Q138" s="224"/>
      <c r="R138" s="224"/>
      <c r="S138" s="224"/>
      <c r="T138" s="224"/>
      <c r="U138" s="224"/>
      <c r="V138" s="224"/>
      <c r="W138" s="224"/>
      <c r="X138" s="224"/>
      <c r="Y138" s="224"/>
      <c r="AC138" s="224"/>
      <c r="AD138" s="224"/>
      <c r="AE138" s="224"/>
      <c r="AF138" s="224"/>
      <c r="AG138" s="224"/>
      <c r="AH138" s="224"/>
      <c r="AJ138" s="224"/>
      <c r="AK138" s="224"/>
      <c r="AL138" s="224"/>
      <c r="AM138" s="224"/>
      <c r="AN138" s="224"/>
      <c r="AO138" s="224"/>
      <c r="AQ138" s="224"/>
      <c r="AR138" s="224"/>
      <c r="AS138" s="224"/>
      <c r="AT138" s="224"/>
      <c r="AU138" s="224"/>
      <c r="AV138" s="224"/>
    </row>
    <row r="139" spans="3:48">
      <c r="C139" s="224"/>
      <c r="D139" s="224"/>
      <c r="E139" s="224"/>
      <c r="F139" s="224"/>
      <c r="G139" s="224"/>
      <c r="H139" s="224"/>
      <c r="I139" s="224"/>
      <c r="J139" s="224"/>
      <c r="K139" s="224"/>
      <c r="L139" s="224"/>
      <c r="M139" s="224"/>
      <c r="N139" s="224"/>
      <c r="O139" s="224"/>
      <c r="P139" s="224"/>
      <c r="Q139" s="224"/>
      <c r="R139" s="224"/>
      <c r="S139" s="224"/>
      <c r="T139" s="224"/>
      <c r="U139" s="224"/>
      <c r="V139" s="224"/>
      <c r="W139" s="224"/>
      <c r="X139" s="224"/>
      <c r="Y139" s="224"/>
      <c r="AC139" s="224"/>
      <c r="AD139" s="224"/>
      <c r="AE139" s="224"/>
      <c r="AF139" s="224"/>
      <c r="AG139" s="224"/>
      <c r="AH139" s="224"/>
      <c r="AJ139" s="224"/>
      <c r="AK139" s="224"/>
      <c r="AL139" s="224"/>
      <c r="AM139" s="224"/>
      <c r="AN139" s="224"/>
      <c r="AO139" s="224"/>
      <c r="AQ139" s="224"/>
      <c r="AR139" s="224"/>
      <c r="AS139" s="224"/>
      <c r="AT139" s="224"/>
      <c r="AU139" s="224"/>
      <c r="AV139" s="224"/>
    </row>
    <row r="140" spans="3:48">
      <c r="C140" s="224"/>
      <c r="D140" s="224"/>
      <c r="E140" s="224"/>
      <c r="F140" s="224"/>
      <c r="G140" s="224"/>
      <c r="H140" s="224"/>
      <c r="I140" s="224"/>
      <c r="J140" s="224"/>
      <c r="K140" s="224"/>
      <c r="L140" s="224"/>
      <c r="M140" s="224"/>
      <c r="N140" s="224"/>
      <c r="O140" s="224"/>
      <c r="P140" s="224"/>
      <c r="Q140" s="224"/>
      <c r="R140" s="224"/>
      <c r="S140" s="224"/>
      <c r="T140" s="224"/>
      <c r="U140" s="224"/>
      <c r="V140" s="224"/>
      <c r="W140" s="224"/>
      <c r="X140" s="224"/>
      <c r="Y140" s="224"/>
      <c r="AC140" s="224"/>
      <c r="AD140" s="224"/>
      <c r="AE140" s="224"/>
      <c r="AF140" s="224"/>
      <c r="AG140" s="224"/>
      <c r="AH140" s="224"/>
      <c r="AJ140" s="224"/>
      <c r="AK140" s="224"/>
      <c r="AL140" s="224"/>
      <c r="AM140" s="224"/>
      <c r="AN140" s="224"/>
      <c r="AO140" s="224"/>
      <c r="AQ140" s="224"/>
      <c r="AR140" s="224"/>
      <c r="AS140" s="224"/>
      <c r="AT140" s="224"/>
      <c r="AU140" s="224"/>
      <c r="AV140" s="224"/>
    </row>
    <row r="141" spans="3:48">
      <c r="C141" s="224"/>
      <c r="D141" s="224"/>
      <c r="E141" s="224"/>
      <c r="F141" s="224"/>
      <c r="G141" s="224"/>
      <c r="H141" s="224"/>
      <c r="I141" s="224"/>
      <c r="J141" s="224"/>
      <c r="K141" s="224"/>
      <c r="L141" s="224"/>
      <c r="M141" s="224"/>
      <c r="N141" s="224"/>
      <c r="O141" s="224"/>
      <c r="P141" s="224"/>
      <c r="Q141" s="224"/>
      <c r="R141" s="224"/>
      <c r="S141" s="224"/>
      <c r="T141" s="224"/>
      <c r="U141" s="224"/>
      <c r="V141" s="224"/>
      <c r="W141" s="224"/>
      <c r="X141" s="224"/>
      <c r="Y141" s="224"/>
      <c r="AC141" s="224"/>
      <c r="AD141" s="224"/>
      <c r="AE141" s="224"/>
      <c r="AF141" s="224"/>
      <c r="AG141" s="224"/>
      <c r="AH141" s="224"/>
      <c r="AJ141" s="224"/>
      <c r="AK141" s="224"/>
      <c r="AL141" s="224"/>
      <c r="AM141" s="224"/>
      <c r="AN141" s="224"/>
      <c r="AO141" s="224"/>
      <c r="AQ141" s="224"/>
      <c r="AR141" s="224"/>
      <c r="AS141" s="224"/>
      <c r="AT141" s="224"/>
      <c r="AU141" s="224"/>
      <c r="AV141" s="224"/>
    </row>
    <row r="142" spans="3:48">
      <c r="C142" s="224"/>
      <c r="D142" s="224"/>
      <c r="E142" s="224"/>
      <c r="F142" s="224"/>
      <c r="G142" s="224"/>
      <c r="H142" s="224"/>
      <c r="I142" s="224"/>
      <c r="J142" s="224"/>
      <c r="K142" s="224"/>
      <c r="L142" s="224"/>
      <c r="M142" s="224"/>
      <c r="N142" s="224"/>
      <c r="O142" s="224"/>
      <c r="P142" s="224"/>
      <c r="Q142" s="224"/>
      <c r="R142" s="224"/>
      <c r="S142" s="224"/>
      <c r="T142" s="224"/>
      <c r="U142" s="224"/>
      <c r="V142" s="224"/>
      <c r="W142" s="224"/>
      <c r="X142" s="224"/>
      <c r="Y142" s="224"/>
      <c r="AC142" s="224"/>
      <c r="AD142" s="224"/>
      <c r="AE142" s="224"/>
      <c r="AF142" s="224"/>
      <c r="AG142" s="224"/>
      <c r="AH142" s="224"/>
      <c r="AJ142" s="224"/>
      <c r="AK142" s="224"/>
      <c r="AL142" s="224"/>
      <c r="AM142" s="224"/>
      <c r="AN142" s="224"/>
      <c r="AO142" s="224"/>
      <c r="AQ142" s="224"/>
      <c r="AR142" s="224"/>
      <c r="AS142" s="224"/>
      <c r="AT142" s="224"/>
      <c r="AU142" s="224"/>
      <c r="AV142" s="224"/>
    </row>
    <row r="143" spans="3:48">
      <c r="C143" s="224"/>
      <c r="D143" s="224"/>
      <c r="E143" s="224"/>
      <c r="F143" s="224"/>
      <c r="G143" s="224"/>
      <c r="H143" s="224"/>
      <c r="I143" s="224"/>
      <c r="J143" s="224"/>
      <c r="K143" s="224"/>
      <c r="L143" s="224"/>
      <c r="M143" s="224"/>
      <c r="N143" s="224"/>
      <c r="O143" s="224"/>
      <c r="P143" s="224"/>
      <c r="Q143" s="224"/>
      <c r="R143" s="224"/>
      <c r="S143" s="224"/>
      <c r="T143" s="224"/>
      <c r="U143" s="224"/>
      <c r="V143" s="224"/>
      <c r="W143" s="224"/>
      <c r="X143" s="224"/>
      <c r="Y143" s="224"/>
      <c r="AC143" s="224"/>
      <c r="AD143" s="224"/>
      <c r="AE143" s="224"/>
      <c r="AF143" s="224"/>
      <c r="AG143" s="224"/>
      <c r="AH143" s="224"/>
      <c r="AJ143" s="224"/>
      <c r="AK143" s="224"/>
      <c r="AL143" s="224"/>
      <c r="AM143" s="224"/>
      <c r="AN143" s="224"/>
      <c r="AO143" s="224"/>
      <c r="AQ143" s="224"/>
      <c r="AR143" s="224"/>
      <c r="AS143" s="224"/>
      <c r="AT143" s="224"/>
      <c r="AU143" s="224"/>
      <c r="AV143" s="224"/>
    </row>
    <row r="144" spans="3:48">
      <c r="C144" s="224"/>
      <c r="D144" s="224"/>
      <c r="E144" s="224"/>
      <c r="F144" s="224"/>
      <c r="G144" s="224"/>
      <c r="H144" s="224"/>
      <c r="I144" s="224"/>
      <c r="J144" s="224"/>
      <c r="K144" s="224"/>
      <c r="L144" s="224"/>
      <c r="M144" s="224"/>
      <c r="N144" s="224"/>
      <c r="O144" s="224"/>
      <c r="P144" s="224"/>
      <c r="Q144" s="224"/>
      <c r="R144" s="224"/>
      <c r="S144" s="224"/>
      <c r="T144" s="224"/>
      <c r="U144" s="224"/>
      <c r="V144" s="224"/>
      <c r="W144" s="224"/>
      <c r="X144" s="224"/>
      <c r="Y144" s="224"/>
      <c r="AC144" s="224"/>
      <c r="AD144" s="224"/>
      <c r="AE144" s="224"/>
      <c r="AF144" s="224"/>
      <c r="AG144" s="224"/>
      <c r="AH144" s="224"/>
      <c r="AJ144" s="224"/>
      <c r="AK144" s="224"/>
      <c r="AL144" s="224"/>
      <c r="AM144" s="224"/>
      <c r="AN144" s="224"/>
      <c r="AO144" s="224"/>
      <c r="AQ144" s="224"/>
      <c r="AR144" s="224"/>
      <c r="AS144" s="224"/>
      <c r="AT144" s="224"/>
      <c r="AU144" s="224"/>
      <c r="AV144" s="224"/>
    </row>
    <row r="145" spans="3:48">
      <c r="C145" s="224"/>
      <c r="D145" s="224"/>
      <c r="E145" s="224"/>
      <c r="F145" s="224"/>
      <c r="G145" s="224"/>
      <c r="H145" s="224"/>
      <c r="I145" s="224"/>
      <c r="J145" s="224"/>
      <c r="K145" s="224"/>
      <c r="L145" s="224"/>
      <c r="M145" s="224"/>
      <c r="N145" s="224"/>
      <c r="O145" s="224"/>
      <c r="P145" s="224"/>
      <c r="Q145" s="224"/>
      <c r="R145" s="224"/>
      <c r="S145" s="224"/>
      <c r="T145" s="224"/>
      <c r="U145" s="224"/>
      <c r="V145" s="224"/>
      <c r="W145" s="224"/>
      <c r="X145" s="224"/>
      <c r="Y145" s="224"/>
      <c r="AC145" s="224"/>
      <c r="AD145" s="224"/>
      <c r="AE145" s="224"/>
      <c r="AF145" s="224"/>
      <c r="AG145" s="224"/>
      <c r="AH145" s="224"/>
      <c r="AJ145" s="224"/>
      <c r="AK145" s="224"/>
      <c r="AL145" s="224"/>
      <c r="AM145" s="224"/>
      <c r="AN145" s="224"/>
      <c r="AO145" s="224"/>
      <c r="AQ145" s="224"/>
      <c r="AR145" s="224"/>
      <c r="AS145" s="224"/>
      <c r="AT145" s="224"/>
      <c r="AU145" s="224"/>
      <c r="AV145" s="224"/>
    </row>
    <row r="146" spans="3:48">
      <c r="C146" s="224"/>
      <c r="D146" s="224"/>
    </row>
    <row r="147" spans="3:48">
      <c r="C147" s="224"/>
      <c r="D147" s="224"/>
    </row>
  </sheetData>
  <sheetProtection algorithmName="SHA-512" hashValue="7mcLquTAvJeukJOvX4kV2TkK/yBH0JckiJMLfhzMGxH5UbXZM890j55elb2W9a6rc2a+J22CgmxKH6UXkdW7HQ==" saltValue="mce9bwZWxVpOrH2tUZpI8g==" spinCount="100000" sheet="1" objects="1" scenarios="1"/>
  <pageMargins left="0.78740157499999996" right="0.78740157499999996" top="0.984251969" bottom="0.984251969" header="0.4921259845" footer="0.4921259845"/>
  <pageSetup paperSize="9" orientation="portrait" r:id="rId1"/>
  <headerFooter alignWithMargins="0">
    <oddHeader>&amp;LWärmepumpe Erdsonden 35°C&amp;CVersion 1.3&amp;R4/20/2025</oddHeader>
    <oddFooter>&amp;CSIA 2024, Copyright © 2017 by SIA Zurich</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C6FE6-8984-4593-8A4C-0D7969F050AB}">
  <sheetPr codeName="tblQhc">
    <tabColor theme="6" tint="0.59999389629810485"/>
  </sheetPr>
  <dimension ref="A1:SA51"/>
  <sheetViews>
    <sheetView showGridLines="0" workbookViewId="0">
      <selection activeCell="U54" sqref="U54"/>
    </sheetView>
  </sheetViews>
  <sheetFormatPr baseColWidth="10" defaultColWidth="10.921875" defaultRowHeight="12.45"/>
  <cols>
    <col min="1" max="1" width="6.61328125" style="169" customWidth="1"/>
    <col min="2" max="2" width="27.69140625" style="169" customWidth="1"/>
    <col min="3" max="3" width="2.921875" style="169" customWidth="1"/>
    <col min="4" max="495" width="6.61328125" style="169" customWidth="1"/>
    <col min="496" max="16384" width="10.921875" style="169"/>
  </cols>
  <sheetData>
    <row r="1" spans="1:495" ht="15.45">
      <c r="A1" s="928" t="s">
        <v>1415</v>
      </c>
    </row>
    <row r="2" spans="1:495" ht="15.45">
      <c r="A2" s="928"/>
      <c r="D2" s="987">
        <v>1</v>
      </c>
      <c r="E2" s="987">
        <f>D2+1</f>
        <v>2</v>
      </c>
      <c r="F2" s="987">
        <f t="shared" ref="F2:O2" si="0">E2+1</f>
        <v>3</v>
      </c>
      <c r="G2" s="987">
        <f t="shared" si="0"/>
        <v>4</v>
      </c>
      <c r="H2" s="987">
        <f t="shared" si="0"/>
        <v>5</v>
      </c>
      <c r="I2" s="987">
        <f t="shared" si="0"/>
        <v>6</v>
      </c>
      <c r="J2" s="987">
        <f t="shared" si="0"/>
        <v>7</v>
      </c>
      <c r="K2" s="987">
        <f t="shared" si="0"/>
        <v>8</v>
      </c>
      <c r="L2" s="987">
        <f t="shared" si="0"/>
        <v>9</v>
      </c>
      <c r="M2" s="987">
        <f t="shared" si="0"/>
        <v>10</v>
      </c>
      <c r="N2" s="987">
        <f t="shared" si="0"/>
        <v>11</v>
      </c>
      <c r="O2" s="987">
        <f t="shared" si="0"/>
        <v>12</v>
      </c>
    </row>
    <row r="3" spans="1:495">
      <c r="D3" s="991" t="str" cm="1">
        <f t="array" ref="D3">INDEX(Klimadaten!B4:B43,Gebäude!D2,0)</f>
        <v>Zürich-MeteoSchweiz</v>
      </c>
      <c r="E3" s="930"/>
      <c r="F3" s="930"/>
      <c r="G3" s="988">
        <f>MATCH(D3,P3:SA3,0)</f>
        <v>469</v>
      </c>
      <c r="H3" s="930"/>
      <c r="I3" s="930"/>
      <c r="J3" s="930"/>
      <c r="K3" s="930"/>
      <c r="L3" s="930"/>
      <c r="M3" s="930"/>
      <c r="N3" s="930"/>
      <c r="O3" s="931"/>
      <c r="P3" s="929" t="str">
        <f>[3]Winter_Auslegung!A5</f>
        <v>Adelboden</v>
      </c>
      <c r="Q3" s="930"/>
      <c r="R3" s="930"/>
      <c r="S3" s="930"/>
      <c r="T3" s="930"/>
      <c r="U3" s="930"/>
      <c r="V3" s="930"/>
      <c r="W3" s="930"/>
      <c r="X3" s="930"/>
      <c r="Y3" s="930"/>
      <c r="Z3" s="930"/>
      <c r="AA3" s="931"/>
      <c r="AB3" s="929" t="str">
        <f>[3]Winter_Auslegung!A6</f>
        <v>Aigle</v>
      </c>
      <c r="AC3" s="930"/>
      <c r="AD3" s="930"/>
      <c r="AE3" s="930"/>
      <c r="AF3" s="930"/>
      <c r="AG3" s="930"/>
      <c r="AH3" s="930"/>
      <c r="AI3" s="930"/>
      <c r="AJ3" s="930"/>
      <c r="AK3" s="930"/>
      <c r="AL3" s="930"/>
      <c r="AM3" s="931"/>
      <c r="AN3" s="929" t="str">
        <f>[3]Winter_Auslegung!A7</f>
        <v>Altdorf</v>
      </c>
      <c r="AO3" s="930"/>
      <c r="AP3" s="930"/>
      <c r="AQ3" s="930"/>
      <c r="AR3" s="930"/>
      <c r="AS3" s="930"/>
      <c r="AT3" s="930"/>
      <c r="AU3" s="930"/>
      <c r="AV3" s="930"/>
      <c r="AW3" s="930"/>
      <c r="AX3" s="930"/>
      <c r="AY3" s="931"/>
      <c r="AZ3" s="929" t="str">
        <f>[3]Winter_Auslegung!A8</f>
        <v>Basel-Binningen</v>
      </c>
      <c r="BA3" s="930"/>
      <c r="BB3" s="930"/>
      <c r="BC3" s="930"/>
      <c r="BD3" s="930"/>
      <c r="BE3" s="930"/>
      <c r="BF3" s="930"/>
      <c r="BG3" s="930"/>
      <c r="BH3" s="930"/>
      <c r="BI3" s="930"/>
      <c r="BJ3" s="930"/>
      <c r="BK3" s="931"/>
      <c r="BL3" s="929" t="str">
        <f>[3]Winter_Auslegung!A9</f>
        <v>Bern-Liebefeld</v>
      </c>
      <c r="BM3" s="930"/>
      <c r="BN3" s="930"/>
      <c r="BO3" s="930"/>
      <c r="BP3" s="930"/>
      <c r="BQ3" s="930"/>
      <c r="BR3" s="930"/>
      <c r="BS3" s="930"/>
      <c r="BT3" s="930"/>
      <c r="BU3" s="930"/>
      <c r="BV3" s="930"/>
      <c r="BW3" s="931"/>
      <c r="BX3" s="929" t="str">
        <f>[3]Winter_Auslegung!A10</f>
        <v>Buchs-Aarau</v>
      </c>
      <c r="BY3" s="930"/>
      <c r="BZ3" s="930"/>
      <c r="CA3" s="930"/>
      <c r="CB3" s="930"/>
      <c r="CC3" s="930"/>
      <c r="CD3" s="930"/>
      <c r="CE3" s="930"/>
      <c r="CF3" s="930"/>
      <c r="CG3" s="930"/>
      <c r="CH3" s="930"/>
      <c r="CI3" s="931"/>
      <c r="CJ3" s="929" t="str">
        <f>[3]Winter_Auslegung!A11</f>
        <v>Chur</v>
      </c>
      <c r="CK3" s="930"/>
      <c r="CL3" s="930"/>
      <c r="CM3" s="930"/>
      <c r="CN3" s="930"/>
      <c r="CO3" s="930"/>
      <c r="CP3" s="930"/>
      <c r="CQ3" s="930"/>
      <c r="CR3" s="930"/>
      <c r="CS3" s="930"/>
      <c r="CT3" s="930"/>
      <c r="CU3" s="931"/>
      <c r="CV3" s="929" t="str">
        <f>[3]Winter_Auslegung!A12</f>
        <v>Davos</v>
      </c>
      <c r="CW3" s="930"/>
      <c r="CX3" s="930"/>
      <c r="CY3" s="930"/>
      <c r="CZ3" s="930"/>
      <c r="DA3" s="930"/>
      <c r="DB3" s="930"/>
      <c r="DC3" s="930"/>
      <c r="DD3" s="930"/>
      <c r="DE3" s="930"/>
      <c r="DF3" s="930"/>
      <c r="DG3" s="931"/>
      <c r="DH3" s="929" t="str">
        <f>[3]Winter_Auslegung!A13</f>
        <v>Disentis</v>
      </c>
      <c r="DI3" s="930"/>
      <c r="DJ3" s="930"/>
      <c r="DK3" s="930"/>
      <c r="DL3" s="930"/>
      <c r="DM3" s="930"/>
      <c r="DN3" s="930"/>
      <c r="DO3" s="930"/>
      <c r="DP3" s="930"/>
      <c r="DQ3" s="930"/>
      <c r="DR3" s="930"/>
      <c r="DS3" s="931"/>
      <c r="DT3" s="929" t="str">
        <f>[3]Winter_Auslegung!A14</f>
        <v>Engelberg</v>
      </c>
      <c r="DU3" s="930"/>
      <c r="DV3" s="930"/>
      <c r="DW3" s="930"/>
      <c r="DX3" s="930"/>
      <c r="DY3" s="930"/>
      <c r="DZ3" s="930"/>
      <c r="EA3" s="930"/>
      <c r="EB3" s="930"/>
      <c r="EC3" s="930"/>
      <c r="ED3" s="930"/>
      <c r="EE3" s="931"/>
      <c r="EF3" s="929" t="str">
        <f>[3]Winter_Auslegung!A15</f>
        <v>Genève-Cointrin</v>
      </c>
      <c r="EG3" s="930"/>
      <c r="EH3" s="930"/>
      <c r="EI3" s="930"/>
      <c r="EJ3" s="930"/>
      <c r="EK3" s="930"/>
      <c r="EL3" s="930"/>
      <c r="EM3" s="930"/>
      <c r="EN3" s="930"/>
      <c r="EO3" s="930"/>
      <c r="EP3" s="930"/>
      <c r="EQ3" s="931"/>
      <c r="ER3" s="929" t="str">
        <f>[3]Winter_Auslegung!A16</f>
        <v>Glarus</v>
      </c>
      <c r="ES3" s="930"/>
      <c r="ET3" s="930"/>
      <c r="EU3" s="930"/>
      <c r="EV3" s="930"/>
      <c r="EW3" s="930"/>
      <c r="EX3" s="930"/>
      <c r="EY3" s="930"/>
      <c r="EZ3" s="930"/>
      <c r="FA3" s="930"/>
      <c r="FB3" s="930"/>
      <c r="FC3" s="931"/>
      <c r="FD3" s="929" t="str">
        <f>[3]Winter_Auslegung!A17</f>
        <v>Grand-St-Bernard</v>
      </c>
      <c r="FE3" s="930"/>
      <c r="FF3" s="930"/>
      <c r="FG3" s="930"/>
      <c r="FH3" s="930"/>
      <c r="FI3" s="930"/>
      <c r="FJ3" s="930"/>
      <c r="FK3" s="930"/>
      <c r="FL3" s="930"/>
      <c r="FM3" s="930"/>
      <c r="FN3" s="930"/>
      <c r="FO3" s="931"/>
      <c r="FP3" s="929" t="str">
        <f>[3]Winter_Auslegung!A18</f>
        <v>Güttingen</v>
      </c>
      <c r="FQ3" s="930"/>
      <c r="FR3" s="930"/>
      <c r="FS3" s="930"/>
      <c r="FT3" s="930"/>
      <c r="FU3" s="930"/>
      <c r="FV3" s="930"/>
      <c r="FW3" s="930"/>
      <c r="FX3" s="930"/>
      <c r="FY3" s="930"/>
      <c r="FZ3" s="930"/>
      <c r="GA3" s="931"/>
      <c r="GB3" s="929" t="str">
        <f>[3]Winter_Auslegung!A19</f>
        <v>Interlaken</v>
      </c>
      <c r="GC3" s="930"/>
      <c r="GD3" s="930"/>
      <c r="GE3" s="930"/>
      <c r="GF3" s="930"/>
      <c r="GG3" s="930"/>
      <c r="GH3" s="930"/>
      <c r="GI3" s="930"/>
      <c r="GJ3" s="930"/>
      <c r="GK3" s="930"/>
      <c r="GL3" s="930"/>
      <c r="GM3" s="931"/>
      <c r="GN3" s="929" t="str">
        <f>[3]Winter_Auslegung!A20</f>
        <v>La Chaux-de-Fonds</v>
      </c>
      <c r="GO3" s="930"/>
      <c r="GP3" s="930"/>
      <c r="GQ3" s="930"/>
      <c r="GR3" s="930"/>
      <c r="GS3" s="930"/>
      <c r="GT3" s="930"/>
      <c r="GU3" s="930"/>
      <c r="GV3" s="930"/>
      <c r="GW3" s="930"/>
      <c r="GX3" s="930"/>
      <c r="GY3" s="931"/>
      <c r="GZ3" s="929" t="str">
        <f>[3]Winter_Auslegung!A21</f>
        <v>La Frétaz</v>
      </c>
      <c r="HA3" s="930"/>
      <c r="HB3" s="930"/>
      <c r="HC3" s="930"/>
      <c r="HD3" s="930"/>
      <c r="HE3" s="930"/>
      <c r="HF3" s="930"/>
      <c r="HG3" s="930"/>
      <c r="HH3" s="930"/>
      <c r="HI3" s="930"/>
      <c r="HJ3" s="930"/>
      <c r="HK3" s="931"/>
      <c r="HL3" s="929" t="str">
        <f>[3]Winter_Auslegung!A22</f>
        <v>Locarno-Monti</v>
      </c>
      <c r="HM3" s="930"/>
      <c r="HN3" s="930"/>
      <c r="HO3" s="930"/>
      <c r="HP3" s="930"/>
      <c r="HQ3" s="930"/>
      <c r="HR3" s="930"/>
      <c r="HS3" s="930"/>
      <c r="HT3" s="930"/>
      <c r="HU3" s="930"/>
      <c r="HV3" s="930"/>
      <c r="HW3" s="931"/>
      <c r="HX3" s="929" t="str">
        <f>[3]Winter_Auslegung!A23</f>
        <v>Lugano</v>
      </c>
      <c r="HY3" s="930"/>
      <c r="HZ3" s="930"/>
      <c r="IA3" s="930"/>
      <c r="IB3" s="930"/>
      <c r="IC3" s="930"/>
      <c r="ID3" s="930"/>
      <c r="IE3" s="930"/>
      <c r="IF3" s="930"/>
      <c r="IG3" s="930"/>
      <c r="IH3" s="930"/>
      <c r="II3" s="931"/>
      <c r="IJ3" s="929" t="str">
        <f>[3]Winter_Auslegung!A24</f>
        <v>Luzern</v>
      </c>
      <c r="IK3" s="930"/>
      <c r="IL3" s="930"/>
      <c r="IM3" s="930"/>
      <c r="IN3" s="930"/>
      <c r="IO3" s="930"/>
      <c r="IP3" s="930"/>
      <c r="IQ3" s="930"/>
      <c r="IR3" s="930"/>
      <c r="IS3" s="930"/>
      <c r="IT3" s="930"/>
      <c r="IU3" s="931"/>
      <c r="IV3" s="929" t="str">
        <f>[3]Winter_Auslegung!A25</f>
        <v>Magadino</v>
      </c>
      <c r="IW3" s="930"/>
      <c r="IX3" s="930"/>
      <c r="IY3" s="930"/>
      <c r="IZ3" s="930"/>
      <c r="JA3" s="930"/>
      <c r="JB3" s="930"/>
      <c r="JC3" s="930"/>
      <c r="JD3" s="930"/>
      <c r="JE3" s="930"/>
      <c r="JF3" s="930"/>
      <c r="JG3" s="931"/>
      <c r="JH3" s="929" t="str">
        <f>[3]Winter_Auslegung!A26</f>
        <v>Montana</v>
      </c>
      <c r="JI3" s="930"/>
      <c r="JJ3" s="930"/>
      <c r="JK3" s="930"/>
      <c r="JL3" s="930"/>
      <c r="JM3" s="930"/>
      <c r="JN3" s="930"/>
      <c r="JO3" s="930"/>
      <c r="JP3" s="930"/>
      <c r="JQ3" s="930"/>
      <c r="JR3" s="930"/>
      <c r="JS3" s="931"/>
      <c r="JT3" s="929" t="str">
        <f>[3]Winter_Auslegung!A27</f>
        <v>Neuchâtel</v>
      </c>
      <c r="JU3" s="930"/>
      <c r="JV3" s="930"/>
      <c r="JW3" s="930"/>
      <c r="JX3" s="930"/>
      <c r="JY3" s="930"/>
      <c r="JZ3" s="930"/>
      <c r="KA3" s="930"/>
      <c r="KB3" s="930"/>
      <c r="KC3" s="930"/>
      <c r="KD3" s="930"/>
      <c r="KE3" s="931"/>
      <c r="KF3" s="929" t="str">
        <f>[3]Winter_Auslegung!A28</f>
        <v>Payerne</v>
      </c>
      <c r="KG3" s="930"/>
      <c r="KH3" s="930"/>
      <c r="KI3" s="930"/>
      <c r="KJ3" s="930"/>
      <c r="KK3" s="930"/>
      <c r="KL3" s="930"/>
      <c r="KM3" s="930"/>
      <c r="KN3" s="930"/>
      <c r="KO3" s="930"/>
      <c r="KP3" s="930"/>
      <c r="KQ3" s="931"/>
      <c r="KR3" s="929" t="str">
        <f>[3]Winter_Auslegung!A29</f>
        <v>Piotta</v>
      </c>
      <c r="KS3" s="930"/>
      <c r="KT3" s="930"/>
      <c r="KU3" s="930"/>
      <c r="KV3" s="930"/>
      <c r="KW3" s="930"/>
      <c r="KX3" s="930"/>
      <c r="KY3" s="930"/>
      <c r="KZ3" s="930"/>
      <c r="LA3" s="930"/>
      <c r="LB3" s="930"/>
      <c r="LC3" s="931"/>
      <c r="LD3" s="929" t="str">
        <f>[3]Winter_Auslegung!A30</f>
        <v>Pully</v>
      </c>
      <c r="LE3" s="930"/>
      <c r="LF3" s="930"/>
      <c r="LG3" s="930"/>
      <c r="LH3" s="930"/>
      <c r="LI3" s="930"/>
      <c r="LJ3" s="930"/>
      <c r="LK3" s="930"/>
      <c r="LL3" s="930"/>
      <c r="LM3" s="930"/>
      <c r="LN3" s="930"/>
      <c r="LO3" s="931"/>
      <c r="LP3" s="929" t="str">
        <f>[3]Winter_Auslegung!A31</f>
        <v>Robbia</v>
      </c>
      <c r="LQ3" s="930"/>
      <c r="LR3" s="930"/>
      <c r="LS3" s="930"/>
      <c r="LT3" s="930"/>
      <c r="LU3" s="930"/>
      <c r="LV3" s="930"/>
      <c r="LW3" s="930"/>
      <c r="LX3" s="930"/>
      <c r="LY3" s="930"/>
      <c r="LZ3" s="930"/>
      <c r="MA3" s="931"/>
      <c r="MB3" s="929" t="str">
        <f>[3]Winter_Auslegung!A32</f>
        <v>Rünenberg</v>
      </c>
      <c r="MC3" s="930"/>
      <c r="MD3" s="930"/>
      <c r="ME3" s="930"/>
      <c r="MF3" s="930"/>
      <c r="MG3" s="930"/>
      <c r="MH3" s="930"/>
      <c r="MI3" s="930"/>
      <c r="MJ3" s="930"/>
      <c r="MK3" s="930"/>
      <c r="ML3" s="930"/>
      <c r="MM3" s="931"/>
      <c r="MN3" s="929" t="str">
        <f>[3]Winter_Auslegung!A33</f>
        <v>Samedan</v>
      </c>
      <c r="MO3" s="930"/>
      <c r="MP3" s="930"/>
      <c r="MQ3" s="930"/>
      <c r="MR3" s="930"/>
      <c r="MS3" s="930"/>
      <c r="MT3" s="930"/>
      <c r="MU3" s="930"/>
      <c r="MV3" s="930"/>
      <c r="MW3" s="930"/>
      <c r="MX3" s="930"/>
      <c r="MY3" s="931"/>
      <c r="MZ3" s="929" t="str">
        <f>[3]Winter_Auslegung!A34</f>
        <v>San Bernardino</v>
      </c>
      <c r="NA3" s="930"/>
      <c r="NB3" s="930"/>
      <c r="NC3" s="930"/>
      <c r="ND3" s="930"/>
      <c r="NE3" s="930"/>
      <c r="NF3" s="930"/>
      <c r="NG3" s="930"/>
      <c r="NH3" s="930"/>
      <c r="NI3" s="930"/>
      <c r="NJ3" s="930"/>
      <c r="NK3" s="931"/>
      <c r="NL3" s="929" t="str">
        <f>[3]Winter_Auslegung!A35</f>
        <v>St. Gallen</v>
      </c>
      <c r="NM3" s="930"/>
      <c r="NN3" s="930"/>
      <c r="NO3" s="930"/>
      <c r="NP3" s="930"/>
      <c r="NQ3" s="930"/>
      <c r="NR3" s="930"/>
      <c r="NS3" s="930"/>
      <c r="NT3" s="930"/>
      <c r="NU3" s="930"/>
      <c r="NV3" s="930"/>
      <c r="NW3" s="931"/>
      <c r="NX3" s="929" t="str">
        <f>[3]Winter_Auslegung!A36</f>
        <v>Schaffhausen</v>
      </c>
      <c r="NY3" s="930"/>
      <c r="NZ3" s="930"/>
      <c r="OA3" s="930"/>
      <c r="OB3" s="930"/>
      <c r="OC3" s="930"/>
      <c r="OD3" s="930"/>
      <c r="OE3" s="930"/>
      <c r="OF3" s="930"/>
      <c r="OG3" s="930"/>
      <c r="OH3" s="930"/>
      <c r="OI3" s="931"/>
      <c r="OJ3" s="929" t="str">
        <f>[3]Winter_Auslegung!A37</f>
        <v>Scuol</v>
      </c>
      <c r="OK3" s="930"/>
      <c r="OL3" s="930"/>
      <c r="OM3" s="930"/>
      <c r="ON3" s="930"/>
      <c r="OO3" s="930"/>
      <c r="OP3" s="930"/>
      <c r="OQ3" s="930"/>
      <c r="OR3" s="930"/>
      <c r="OS3" s="930"/>
      <c r="OT3" s="930"/>
      <c r="OU3" s="931"/>
      <c r="OV3" s="929" t="str">
        <f>[3]Winter_Auslegung!A38</f>
        <v>Sion</v>
      </c>
      <c r="OW3" s="930"/>
      <c r="OX3" s="930"/>
      <c r="OY3" s="930"/>
      <c r="OZ3" s="930"/>
      <c r="PA3" s="930"/>
      <c r="PB3" s="930"/>
      <c r="PC3" s="930"/>
      <c r="PD3" s="930"/>
      <c r="PE3" s="930"/>
      <c r="PF3" s="930"/>
      <c r="PG3" s="931"/>
      <c r="PH3" s="929" t="str">
        <f>[3]Winter_Auslegung!A39</f>
        <v>Ulrichen</v>
      </c>
      <c r="PI3" s="930"/>
      <c r="PJ3" s="930"/>
      <c r="PK3" s="930"/>
      <c r="PL3" s="930"/>
      <c r="PM3" s="930"/>
      <c r="PN3" s="930"/>
      <c r="PO3" s="930"/>
      <c r="PP3" s="930"/>
      <c r="PQ3" s="930"/>
      <c r="PR3" s="930"/>
      <c r="PS3" s="931"/>
      <c r="PT3" s="929" t="str">
        <f>[3]Winter_Auslegung!A40</f>
        <v>Vaduz</v>
      </c>
      <c r="PU3" s="930"/>
      <c r="PV3" s="930"/>
      <c r="PW3" s="930"/>
      <c r="PX3" s="930"/>
      <c r="PY3" s="930"/>
      <c r="PZ3" s="930"/>
      <c r="QA3" s="930"/>
      <c r="QB3" s="930"/>
      <c r="QC3" s="930"/>
      <c r="QD3" s="930"/>
      <c r="QE3" s="931"/>
      <c r="QF3" s="929" t="str">
        <f>[3]Winter_Auslegung!A41</f>
        <v>Wynau</v>
      </c>
      <c r="QG3" s="930"/>
      <c r="QH3" s="930"/>
      <c r="QI3" s="930"/>
      <c r="QJ3" s="930"/>
      <c r="QK3" s="930"/>
      <c r="QL3" s="930"/>
      <c r="QM3" s="930"/>
      <c r="QN3" s="930"/>
      <c r="QO3" s="930"/>
      <c r="QP3" s="930"/>
      <c r="QQ3" s="931"/>
      <c r="QR3" s="929" t="str">
        <f>[3]Winter_Auslegung!A42</f>
        <v>Zermatt</v>
      </c>
      <c r="QS3" s="930"/>
      <c r="QT3" s="930"/>
      <c r="QU3" s="930"/>
      <c r="QV3" s="930"/>
      <c r="QW3" s="930"/>
      <c r="QX3" s="930"/>
      <c r="QY3" s="930"/>
      <c r="QZ3" s="930"/>
      <c r="RA3" s="930"/>
      <c r="RB3" s="930"/>
      <c r="RC3" s="931"/>
      <c r="RD3" s="929" t="str">
        <f>[3]Winter_Auslegung!A43</f>
        <v>Zürich-Kloten</v>
      </c>
      <c r="RE3" s="930"/>
      <c r="RF3" s="930"/>
      <c r="RG3" s="930"/>
      <c r="RH3" s="930"/>
      <c r="RI3" s="930"/>
      <c r="RJ3" s="930"/>
      <c r="RK3" s="930"/>
      <c r="RL3" s="930"/>
      <c r="RM3" s="930"/>
      <c r="RN3" s="930"/>
      <c r="RO3" s="931"/>
      <c r="RP3" s="929" t="str">
        <f>[3]Winter_Auslegung!A44</f>
        <v>Zürich-MeteoSchweiz</v>
      </c>
      <c r="RQ3" s="930"/>
      <c r="RR3" s="930"/>
      <c r="RS3" s="930"/>
      <c r="RT3" s="930"/>
      <c r="RU3" s="930"/>
      <c r="RV3" s="930"/>
      <c r="RW3" s="930"/>
      <c r="RX3" s="930"/>
      <c r="RY3" s="930"/>
      <c r="RZ3" s="930"/>
      <c r="SA3" s="931"/>
    </row>
    <row r="4" spans="1:495">
      <c r="A4" s="932" t="s">
        <v>237</v>
      </c>
      <c r="B4" s="933"/>
      <c r="C4" s="933"/>
      <c r="D4" s="934" t="s">
        <v>88</v>
      </c>
      <c r="E4" s="935"/>
      <c r="F4" s="936"/>
      <c r="G4" s="936"/>
      <c r="H4" s="169" t="s">
        <v>99</v>
      </c>
      <c r="L4" s="169" t="s">
        <v>100</v>
      </c>
      <c r="O4" s="937"/>
      <c r="P4" s="934" t="s">
        <v>88</v>
      </c>
      <c r="Q4" s="935"/>
      <c r="R4" s="936"/>
      <c r="S4" s="936"/>
      <c r="T4" s="169" t="s">
        <v>99</v>
      </c>
      <c r="X4" s="169" t="s">
        <v>100</v>
      </c>
      <c r="AA4" s="937"/>
      <c r="AB4" s="934" t="s">
        <v>88</v>
      </c>
      <c r="AC4" s="935"/>
      <c r="AD4" s="936"/>
      <c r="AE4" s="936"/>
      <c r="AF4" s="169" t="s">
        <v>99</v>
      </c>
      <c r="AJ4" s="169" t="s">
        <v>100</v>
      </c>
      <c r="AM4" s="937"/>
      <c r="AN4" s="934" t="s">
        <v>88</v>
      </c>
      <c r="AO4" s="935"/>
      <c r="AP4" s="936"/>
      <c r="AQ4" s="936"/>
      <c r="AR4" s="169" t="s">
        <v>99</v>
      </c>
      <c r="AV4" s="169" t="s">
        <v>100</v>
      </c>
      <c r="AY4" s="937"/>
      <c r="AZ4" s="934" t="s">
        <v>88</v>
      </c>
      <c r="BA4" s="935"/>
      <c r="BB4" s="936"/>
      <c r="BC4" s="936"/>
      <c r="BD4" s="169" t="s">
        <v>99</v>
      </c>
      <c r="BH4" s="169" t="s">
        <v>100</v>
      </c>
      <c r="BK4" s="937"/>
      <c r="BL4" s="934" t="s">
        <v>88</v>
      </c>
      <c r="BM4" s="935"/>
      <c r="BN4" s="936"/>
      <c r="BO4" s="936"/>
      <c r="BP4" s="169" t="s">
        <v>99</v>
      </c>
      <c r="BT4" s="169" t="s">
        <v>100</v>
      </c>
      <c r="BW4" s="937"/>
      <c r="BX4" s="934" t="s">
        <v>88</v>
      </c>
      <c r="BY4" s="935"/>
      <c r="BZ4" s="936"/>
      <c r="CA4" s="936"/>
      <c r="CB4" s="169" t="s">
        <v>99</v>
      </c>
      <c r="CF4" s="169" t="s">
        <v>100</v>
      </c>
      <c r="CI4" s="937"/>
      <c r="CJ4" s="934" t="s">
        <v>88</v>
      </c>
      <c r="CK4" s="935"/>
      <c r="CL4" s="936"/>
      <c r="CM4" s="936"/>
      <c r="CN4" s="169" t="s">
        <v>99</v>
      </c>
      <c r="CR4" s="169" t="s">
        <v>100</v>
      </c>
      <c r="CU4" s="937"/>
      <c r="CV4" s="934" t="s">
        <v>88</v>
      </c>
      <c r="CW4" s="935"/>
      <c r="CX4" s="936"/>
      <c r="CY4" s="936"/>
      <c r="CZ4" s="169" t="s">
        <v>99</v>
      </c>
      <c r="DD4" s="169" t="s">
        <v>100</v>
      </c>
      <c r="DG4" s="937"/>
      <c r="DH4" s="934" t="s">
        <v>88</v>
      </c>
      <c r="DI4" s="935"/>
      <c r="DJ4" s="936"/>
      <c r="DK4" s="936"/>
      <c r="DL4" s="169" t="s">
        <v>99</v>
      </c>
      <c r="DP4" s="169" t="s">
        <v>100</v>
      </c>
      <c r="DS4" s="937"/>
      <c r="DT4" s="934" t="s">
        <v>88</v>
      </c>
      <c r="DU4" s="935"/>
      <c r="DV4" s="936"/>
      <c r="DW4" s="936"/>
      <c r="DX4" s="169" t="s">
        <v>99</v>
      </c>
      <c r="EB4" s="169" t="s">
        <v>100</v>
      </c>
      <c r="EE4" s="937"/>
      <c r="EF4" s="934" t="s">
        <v>88</v>
      </c>
      <c r="EG4" s="935"/>
      <c r="EH4" s="936"/>
      <c r="EI4" s="936"/>
      <c r="EJ4" s="169" t="s">
        <v>99</v>
      </c>
      <c r="EN4" s="169" t="s">
        <v>100</v>
      </c>
      <c r="EQ4" s="937"/>
      <c r="ER4" s="934" t="s">
        <v>88</v>
      </c>
      <c r="ES4" s="935"/>
      <c r="ET4" s="936"/>
      <c r="EU4" s="936"/>
      <c r="EV4" s="169" t="s">
        <v>99</v>
      </c>
      <c r="EZ4" s="169" t="s">
        <v>100</v>
      </c>
      <c r="FC4" s="937"/>
      <c r="FD4" s="934" t="s">
        <v>88</v>
      </c>
      <c r="FE4" s="935"/>
      <c r="FF4" s="936"/>
      <c r="FG4" s="936"/>
      <c r="FH4" s="169" t="s">
        <v>99</v>
      </c>
      <c r="FL4" s="169" t="s">
        <v>100</v>
      </c>
      <c r="FO4" s="937"/>
      <c r="FP4" s="934" t="s">
        <v>88</v>
      </c>
      <c r="FQ4" s="935"/>
      <c r="FR4" s="936"/>
      <c r="FS4" s="936"/>
      <c r="FT4" s="169" t="s">
        <v>99</v>
      </c>
      <c r="FX4" s="169" t="s">
        <v>100</v>
      </c>
      <c r="GA4" s="937"/>
      <c r="GB4" s="934" t="s">
        <v>88</v>
      </c>
      <c r="GC4" s="935"/>
      <c r="GD4" s="936"/>
      <c r="GE4" s="936"/>
      <c r="GF4" s="169" t="s">
        <v>99</v>
      </c>
      <c r="GJ4" s="169" t="s">
        <v>100</v>
      </c>
      <c r="GM4" s="937"/>
      <c r="GN4" s="934" t="s">
        <v>88</v>
      </c>
      <c r="GO4" s="935"/>
      <c r="GP4" s="936"/>
      <c r="GQ4" s="936"/>
      <c r="GR4" s="169" t="s">
        <v>99</v>
      </c>
      <c r="GV4" s="169" t="s">
        <v>100</v>
      </c>
      <c r="GY4" s="937"/>
      <c r="GZ4" s="934" t="s">
        <v>88</v>
      </c>
      <c r="HA4" s="935"/>
      <c r="HB4" s="936"/>
      <c r="HC4" s="936"/>
      <c r="HD4" s="169" t="s">
        <v>99</v>
      </c>
      <c r="HH4" s="169" t="s">
        <v>100</v>
      </c>
      <c r="HK4" s="937"/>
      <c r="HL4" s="934" t="s">
        <v>88</v>
      </c>
      <c r="HM4" s="935"/>
      <c r="HN4" s="936"/>
      <c r="HO4" s="936"/>
      <c r="HP4" s="169" t="s">
        <v>99</v>
      </c>
      <c r="HT4" s="169" t="s">
        <v>100</v>
      </c>
      <c r="HW4" s="937"/>
      <c r="HX4" s="934" t="s">
        <v>88</v>
      </c>
      <c r="HY4" s="935"/>
      <c r="HZ4" s="936"/>
      <c r="IA4" s="936"/>
      <c r="IB4" s="169" t="s">
        <v>99</v>
      </c>
      <c r="IF4" s="169" t="s">
        <v>100</v>
      </c>
      <c r="II4" s="937"/>
      <c r="IJ4" s="934" t="s">
        <v>88</v>
      </c>
      <c r="IK4" s="935"/>
      <c r="IL4" s="936"/>
      <c r="IM4" s="936"/>
      <c r="IN4" s="169" t="s">
        <v>99</v>
      </c>
      <c r="IR4" s="169" t="s">
        <v>100</v>
      </c>
      <c r="IU4" s="937"/>
      <c r="IV4" s="934" t="s">
        <v>88</v>
      </c>
      <c r="IW4" s="935"/>
      <c r="IX4" s="936"/>
      <c r="IY4" s="936"/>
      <c r="IZ4" s="169" t="s">
        <v>99</v>
      </c>
      <c r="JD4" s="169" t="s">
        <v>100</v>
      </c>
      <c r="JG4" s="937"/>
      <c r="JH4" s="934" t="s">
        <v>88</v>
      </c>
      <c r="JI4" s="935"/>
      <c r="JJ4" s="936"/>
      <c r="JK4" s="936"/>
      <c r="JL4" s="169" t="s">
        <v>99</v>
      </c>
      <c r="JP4" s="169" t="s">
        <v>100</v>
      </c>
      <c r="JS4" s="937"/>
      <c r="JT4" s="934" t="s">
        <v>88</v>
      </c>
      <c r="JU4" s="935"/>
      <c r="JV4" s="936"/>
      <c r="JW4" s="936"/>
      <c r="JX4" s="169" t="s">
        <v>99</v>
      </c>
      <c r="KB4" s="169" t="s">
        <v>100</v>
      </c>
      <c r="KE4" s="937"/>
      <c r="KF4" s="934" t="s">
        <v>88</v>
      </c>
      <c r="KG4" s="935"/>
      <c r="KH4" s="936"/>
      <c r="KI4" s="936"/>
      <c r="KJ4" s="169" t="s">
        <v>99</v>
      </c>
      <c r="KN4" s="169" t="s">
        <v>100</v>
      </c>
      <c r="KQ4" s="937"/>
      <c r="KR4" s="934" t="s">
        <v>88</v>
      </c>
      <c r="KS4" s="935"/>
      <c r="KT4" s="936"/>
      <c r="KU4" s="936"/>
      <c r="KV4" s="169" t="s">
        <v>99</v>
      </c>
      <c r="KZ4" s="169" t="s">
        <v>100</v>
      </c>
      <c r="LC4" s="937"/>
      <c r="LD4" s="934" t="s">
        <v>88</v>
      </c>
      <c r="LE4" s="935"/>
      <c r="LF4" s="936"/>
      <c r="LG4" s="936"/>
      <c r="LH4" s="169" t="s">
        <v>99</v>
      </c>
      <c r="LL4" s="169" t="s">
        <v>100</v>
      </c>
      <c r="LO4" s="937"/>
      <c r="LP4" s="934" t="s">
        <v>88</v>
      </c>
      <c r="LQ4" s="935"/>
      <c r="LR4" s="936"/>
      <c r="LS4" s="936"/>
      <c r="LT4" s="169" t="s">
        <v>99</v>
      </c>
      <c r="LX4" s="169" t="s">
        <v>100</v>
      </c>
      <c r="MA4" s="937"/>
      <c r="MB4" s="934" t="s">
        <v>88</v>
      </c>
      <c r="MC4" s="935"/>
      <c r="MD4" s="936"/>
      <c r="ME4" s="936"/>
      <c r="MF4" s="169" t="s">
        <v>99</v>
      </c>
      <c r="MJ4" s="169" t="s">
        <v>100</v>
      </c>
      <c r="MM4" s="937"/>
      <c r="MN4" s="934" t="s">
        <v>88</v>
      </c>
      <c r="MO4" s="935"/>
      <c r="MP4" s="936"/>
      <c r="MQ4" s="936"/>
      <c r="MR4" s="169" t="s">
        <v>99</v>
      </c>
      <c r="MV4" s="169" t="s">
        <v>100</v>
      </c>
      <c r="MY4" s="937"/>
      <c r="MZ4" s="934" t="s">
        <v>88</v>
      </c>
      <c r="NA4" s="935"/>
      <c r="NB4" s="936"/>
      <c r="NC4" s="936"/>
      <c r="ND4" s="169" t="s">
        <v>99</v>
      </c>
      <c r="NH4" s="169" t="s">
        <v>100</v>
      </c>
      <c r="NK4" s="937"/>
      <c r="NL4" s="934" t="s">
        <v>88</v>
      </c>
      <c r="NM4" s="935"/>
      <c r="NN4" s="936"/>
      <c r="NO4" s="936"/>
      <c r="NP4" s="169" t="s">
        <v>99</v>
      </c>
      <c r="NT4" s="169" t="s">
        <v>100</v>
      </c>
      <c r="NW4" s="937"/>
      <c r="NX4" s="934" t="s">
        <v>88</v>
      </c>
      <c r="NY4" s="935"/>
      <c r="NZ4" s="936"/>
      <c r="OA4" s="936"/>
      <c r="OB4" s="169" t="s">
        <v>99</v>
      </c>
      <c r="OF4" s="169" t="s">
        <v>100</v>
      </c>
      <c r="OI4" s="937"/>
      <c r="OJ4" s="934" t="s">
        <v>88</v>
      </c>
      <c r="OK4" s="935"/>
      <c r="OL4" s="936"/>
      <c r="OM4" s="936"/>
      <c r="ON4" s="169" t="s">
        <v>99</v>
      </c>
      <c r="OR4" s="169" t="s">
        <v>100</v>
      </c>
      <c r="OU4" s="937"/>
      <c r="OV4" s="934" t="s">
        <v>88</v>
      </c>
      <c r="OW4" s="935"/>
      <c r="OX4" s="936"/>
      <c r="OY4" s="936"/>
      <c r="OZ4" s="169" t="s">
        <v>99</v>
      </c>
      <c r="PD4" s="169" t="s">
        <v>100</v>
      </c>
      <c r="PG4" s="937"/>
      <c r="PH4" s="934" t="s">
        <v>88</v>
      </c>
      <c r="PI4" s="935"/>
      <c r="PJ4" s="936"/>
      <c r="PK4" s="936"/>
      <c r="PL4" s="169" t="s">
        <v>99</v>
      </c>
      <c r="PP4" s="169" t="s">
        <v>100</v>
      </c>
      <c r="PS4" s="937"/>
      <c r="PT4" s="934" t="s">
        <v>88</v>
      </c>
      <c r="PU4" s="935"/>
      <c r="PV4" s="936"/>
      <c r="PW4" s="936"/>
      <c r="PX4" s="169" t="s">
        <v>99</v>
      </c>
      <c r="QB4" s="169" t="s">
        <v>100</v>
      </c>
      <c r="QE4" s="937"/>
      <c r="QF4" s="934" t="s">
        <v>88</v>
      </c>
      <c r="QG4" s="935"/>
      <c r="QH4" s="936"/>
      <c r="QI4" s="936"/>
      <c r="QJ4" s="169" t="s">
        <v>99</v>
      </c>
      <c r="QN4" s="169" t="s">
        <v>100</v>
      </c>
      <c r="QQ4" s="937"/>
      <c r="QR4" s="934" t="s">
        <v>88</v>
      </c>
      <c r="QS4" s="935"/>
      <c r="QT4" s="936"/>
      <c r="QU4" s="936"/>
      <c r="QV4" s="169" t="s">
        <v>99</v>
      </c>
      <c r="QZ4" s="169" t="s">
        <v>100</v>
      </c>
      <c r="RC4" s="937"/>
      <c r="RD4" s="934" t="s">
        <v>88</v>
      </c>
      <c r="RE4" s="935"/>
      <c r="RF4" s="936"/>
      <c r="RG4" s="936"/>
      <c r="RH4" s="169" t="s">
        <v>99</v>
      </c>
      <c r="RL4" s="169" t="s">
        <v>100</v>
      </c>
      <c r="RO4" s="937"/>
      <c r="RP4" s="934" t="s">
        <v>88</v>
      </c>
      <c r="RQ4" s="935"/>
      <c r="RR4" s="936"/>
      <c r="RS4" s="936"/>
      <c r="RT4" s="169" t="s">
        <v>99</v>
      </c>
      <c r="RX4" s="169" t="s">
        <v>100</v>
      </c>
      <c r="SA4" s="937"/>
    </row>
    <row r="5" spans="1:495" ht="134.6">
      <c r="A5" s="938" t="s">
        <v>95</v>
      </c>
      <c r="B5" s="939" t="s">
        <v>96</v>
      </c>
      <c r="C5" s="940"/>
      <c r="D5" s="941" t="s">
        <v>1416</v>
      </c>
      <c r="E5" s="942" t="s">
        <v>1417</v>
      </c>
      <c r="F5" s="943" t="s">
        <v>1418</v>
      </c>
      <c r="G5" s="943" t="s">
        <v>1419</v>
      </c>
      <c r="H5" s="942" t="s">
        <v>1416</v>
      </c>
      <c r="I5" s="942" t="s">
        <v>1417</v>
      </c>
      <c r="J5" s="943" t="s">
        <v>1418</v>
      </c>
      <c r="K5" s="943" t="s">
        <v>1419</v>
      </c>
      <c r="L5" s="942" t="s">
        <v>1416</v>
      </c>
      <c r="M5" s="942" t="s">
        <v>1417</v>
      </c>
      <c r="N5" s="943" t="s">
        <v>1418</v>
      </c>
      <c r="O5" s="944" t="s">
        <v>1419</v>
      </c>
      <c r="P5" s="941" t="s">
        <v>1416</v>
      </c>
      <c r="Q5" s="942" t="s">
        <v>1417</v>
      </c>
      <c r="R5" s="943" t="s">
        <v>1418</v>
      </c>
      <c r="S5" s="943" t="s">
        <v>1419</v>
      </c>
      <c r="T5" s="942" t="s">
        <v>1416</v>
      </c>
      <c r="U5" s="942" t="s">
        <v>1417</v>
      </c>
      <c r="V5" s="943" t="s">
        <v>1418</v>
      </c>
      <c r="W5" s="943" t="s">
        <v>1419</v>
      </c>
      <c r="X5" s="942" t="s">
        <v>1416</v>
      </c>
      <c r="Y5" s="942" t="s">
        <v>1417</v>
      </c>
      <c r="Z5" s="943" t="s">
        <v>1418</v>
      </c>
      <c r="AA5" s="944" t="s">
        <v>1419</v>
      </c>
      <c r="AB5" s="941" t="s">
        <v>1416</v>
      </c>
      <c r="AC5" s="942" t="s">
        <v>1417</v>
      </c>
      <c r="AD5" s="943" t="s">
        <v>1418</v>
      </c>
      <c r="AE5" s="943" t="s">
        <v>1419</v>
      </c>
      <c r="AF5" s="942" t="s">
        <v>1416</v>
      </c>
      <c r="AG5" s="942" t="s">
        <v>1417</v>
      </c>
      <c r="AH5" s="943" t="s">
        <v>1418</v>
      </c>
      <c r="AI5" s="943" t="s">
        <v>1419</v>
      </c>
      <c r="AJ5" s="942" t="s">
        <v>1416</v>
      </c>
      <c r="AK5" s="942" t="s">
        <v>1417</v>
      </c>
      <c r="AL5" s="943" t="s">
        <v>1418</v>
      </c>
      <c r="AM5" s="944" t="s">
        <v>1419</v>
      </c>
      <c r="AN5" s="941" t="s">
        <v>1416</v>
      </c>
      <c r="AO5" s="942" t="s">
        <v>1417</v>
      </c>
      <c r="AP5" s="943" t="s">
        <v>1418</v>
      </c>
      <c r="AQ5" s="943" t="s">
        <v>1419</v>
      </c>
      <c r="AR5" s="942" t="s">
        <v>1416</v>
      </c>
      <c r="AS5" s="942" t="s">
        <v>1417</v>
      </c>
      <c r="AT5" s="943" t="s">
        <v>1418</v>
      </c>
      <c r="AU5" s="943" t="s">
        <v>1419</v>
      </c>
      <c r="AV5" s="942" t="s">
        <v>1416</v>
      </c>
      <c r="AW5" s="942" t="s">
        <v>1417</v>
      </c>
      <c r="AX5" s="943" t="s">
        <v>1418</v>
      </c>
      <c r="AY5" s="944" t="s">
        <v>1419</v>
      </c>
      <c r="AZ5" s="941" t="s">
        <v>1416</v>
      </c>
      <c r="BA5" s="942" t="s">
        <v>1417</v>
      </c>
      <c r="BB5" s="943" t="s">
        <v>1418</v>
      </c>
      <c r="BC5" s="943" t="s">
        <v>1419</v>
      </c>
      <c r="BD5" s="942" t="s">
        <v>1416</v>
      </c>
      <c r="BE5" s="942" t="s">
        <v>1417</v>
      </c>
      <c r="BF5" s="943" t="s">
        <v>1418</v>
      </c>
      <c r="BG5" s="943" t="s">
        <v>1419</v>
      </c>
      <c r="BH5" s="942" t="s">
        <v>1416</v>
      </c>
      <c r="BI5" s="942" t="s">
        <v>1417</v>
      </c>
      <c r="BJ5" s="943" t="s">
        <v>1418</v>
      </c>
      <c r="BK5" s="944" t="s">
        <v>1419</v>
      </c>
      <c r="BL5" s="941" t="s">
        <v>1416</v>
      </c>
      <c r="BM5" s="942" t="s">
        <v>1417</v>
      </c>
      <c r="BN5" s="943" t="s">
        <v>1418</v>
      </c>
      <c r="BO5" s="943" t="s">
        <v>1419</v>
      </c>
      <c r="BP5" s="942" t="s">
        <v>1416</v>
      </c>
      <c r="BQ5" s="942" t="s">
        <v>1417</v>
      </c>
      <c r="BR5" s="943" t="s">
        <v>1418</v>
      </c>
      <c r="BS5" s="943" t="s">
        <v>1419</v>
      </c>
      <c r="BT5" s="942" t="s">
        <v>1416</v>
      </c>
      <c r="BU5" s="942" t="s">
        <v>1417</v>
      </c>
      <c r="BV5" s="943" t="s">
        <v>1418</v>
      </c>
      <c r="BW5" s="944" t="s">
        <v>1419</v>
      </c>
      <c r="BX5" s="941" t="s">
        <v>1416</v>
      </c>
      <c r="BY5" s="942" t="s">
        <v>1417</v>
      </c>
      <c r="BZ5" s="943" t="s">
        <v>1418</v>
      </c>
      <c r="CA5" s="943" t="s">
        <v>1419</v>
      </c>
      <c r="CB5" s="942" t="s">
        <v>1416</v>
      </c>
      <c r="CC5" s="942" t="s">
        <v>1417</v>
      </c>
      <c r="CD5" s="943" t="s">
        <v>1418</v>
      </c>
      <c r="CE5" s="943" t="s">
        <v>1419</v>
      </c>
      <c r="CF5" s="942" t="s">
        <v>1416</v>
      </c>
      <c r="CG5" s="942" t="s">
        <v>1417</v>
      </c>
      <c r="CH5" s="943" t="s">
        <v>1418</v>
      </c>
      <c r="CI5" s="944" t="s">
        <v>1419</v>
      </c>
      <c r="CJ5" s="941" t="s">
        <v>1416</v>
      </c>
      <c r="CK5" s="942" t="s">
        <v>1417</v>
      </c>
      <c r="CL5" s="943" t="s">
        <v>1418</v>
      </c>
      <c r="CM5" s="943" t="s">
        <v>1419</v>
      </c>
      <c r="CN5" s="942" t="s">
        <v>1416</v>
      </c>
      <c r="CO5" s="942" t="s">
        <v>1417</v>
      </c>
      <c r="CP5" s="943" t="s">
        <v>1418</v>
      </c>
      <c r="CQ5" s="943" t="s">
        <v>1419</v>
      </c>
      <c r="CR5" s="942" t="s">
        <v>1416</v>
      </c>
      <c r="CS5" s="942" t="s">
        <v>1417</v>
      </c>
      <c r="CT5" s="943" t="s">
        <v>1418</v>
      </c>
      <c r="CU5" s="944" t="s">
        <v>1419</v>
      </c>
      <c r="CV5" s="941" t="s">
        <v>1416</v>
      </c>
      <c r="CW5" s="942" t="s">
        <v>1417</v>
      </c>
      <c r="CX5" s="943" t="s">
        <v>1418</v>
      </c>
      <c r="CY5" s="943" t="s">
        <v>1419</v>
      </c>
      <c r="CZ5" s="942" t="s">
        <v>1416</v>
      </c>
      <c r="DA5" s="942" t="s">
        <v>1417</v>
      </c>
      <c r="DB5" s="943" t="s">
        <v>1418</v>
      </c>
      <c r="DC5" s="943" t="s">
        <v>1419</v>
      </c>
      <c r="DD5" s="942" t="s">
        <v>1416</v>
      </c>
      <c r="DE5" s="942" t="s">
        <v>1417</v>
      </c>
      <c r="DF5" s="943" t="s">
        <v>1418</v>
      </c>
      <c r="DG5" s="944" t="s">
        <v>1419</v>
      </c>
      <c r="DH5" s="941" t="s">
        <v>1416</v>
      </c>
      <c r="DI5" s="942" t="s">
        <v>1417</v>
      </c>
      <c r="DJ5" s="943" t="s">
        <v>1418</v>
      </c>
      <c r="DK5" s="943" t="s">
        <v>1419</v>
      </c>
      <c r="DL5" s="942" t="s">
        <v>1416</v>
      </c>
      <c r="DM5" s="942" t="s">
        <v>1417</v>
      </c>
      <c r="DN5" s="943" t="s">
        <v>1418</v>
      </c>
      <c r="DO5" s="943" t="s">
        <v>1419</v>
      </c>
      <c r="DP5" s="942" t="s">
        <v>1416</v>
      </c>
      <c r="DQ5" s="942" t="s">
        <v>1417</v>
      </c>
      <c r="DR5" s="943" t="s">
        <v>1418</v>
      </c>
      <c r="DS5" s="944" t="s">
        <v>1419</v>
      </c>
      <c r="DT5" s="941" t="s">
        <v>1416</v>
      </c>
      <c r="DU5" s="942" t="s">
        <v>1417</v>
      </c>
      <c r="DV5" s="943" t="s">
        <v>1418</v>
      </c>
      <c r="DW5" s="943" t="s">
        <v>1419</v>
      </c>
      <c r="DX5" s="942" t="s">
        <v>1416</v>
      </c>
      <c r="DY5" s="942" t="s">
        <v>1417</v>
      </c>
      <c r="DZ5" s="943" t="s">
        <v>1418</v>
      </c>
      <c r="EA5" s="943" t="s">
        <v>1419</v>
      </c>
      <c r="EB5" s="942" t="s">
        <v>1416</v>
      </c>
      <c r="EC5" s="942" t="s">
        <v>1417</v>
      </c>
      <c r="ED5" s="943" t="s">
        <v>1418</v>
      </c>
      <c r="EE5" s="944" t="s">
        <v>1419</v>
      </c>
      <c r="EF5" s="941" t="s">
        <v>1416</v>
      </c>
      <c r="EG5" s="942" t="s">
        <v>1417</v>
      </c>
      <c r="EH5" s="943" t="s">
        <v>1418</v>
      </c>
      <c r="EI5" s="943" t="s">
        <v>1419</v>
      </c>
      <c r="EJ5" s="942" t="s">
        <v>1416</v>
      </c>
      <c r="EK5" s="942" t="s">
        <v>1417</v>
      </c>
      <c r="EL5" s="943" t="s">
        <v>1418</v>
      </c>
      <c r="EM5" s="943" t="s">
        <v>1419</v>
      </c>
      <c r="EN5" s="942" t="s">
        <v>1416</v>
      </c>
      <c r="EO5" s="942" t="s">
        <v>1417</v>
      </c>
      <c r="EP5" s="943" t="s">
        <v>1418</v>
      </c>
      <c r="EQ5" s="944" t="s">
        <v>1419</v>
      </c>
      <c r="ER5" s="941" t="s">
        <v>1416</v>
      </c>
      <c r="ES5" s="942" t="s">
        <v>1417</v>
      </c>
      <c r="ET5" s="943" t="s">
        <v>1418</v>
      </c>
      <c r="EU5" s="943" t="s">
        <v>1419</v>
      </c>
      <c r="EV5" s="942" t="s">
        <v>1416</v>
      </c>
      <c r="EW5" s="942" t="s">
        <v>1417</v>
      </c>
      <c r="EX5" s="943" t="s">
        <v>1418</v>
      </c>
      <c r="EY5" s="943" t="s">
        <v>1419</v>
      </c>
      <c r="EZ5" s="942" t="s">
        <v>1416</v>
      </c>
      <c r="FA5" s="942" t="s">
        <v>1417</v>
      </c>
      <c r="FB5" s="943" t="s">
        <v>1418</v>
      </c>
      <c r="FC5" s="944" t="s">
        <v>1419</v>
      </c>
      <c r="FD5" s="941" t="s">
        <v>1416</v>
      </c>
      <c r="FE5" s="942" t="s">
        <v>1417</v>
      </c>
      <c r="FF5" s="943" t="s">
        <v>1418</v>
      </c>
      <c r="FG5" s="943" t="s">
        <v>1419</v>
      </c>
      <c r="FH5" s="942" t="s">
        <v>1416</v>
      </c>
      <c r="FI5" s="942" t="s">
        <v>1417</v>
      </c>
      <c r="FJ5" s="943" t="s">
        <v>1418</v>
      </c>
      <c r="FK5" s="943" t="s">
        <v>1419</v>
      </c>
      <c r="FL5" s="942" t="s">
        <v>1416</v>
      </c>
      <c r="FM5" s="942" t="s">
        <v>1417</v>
      </c>
      <c r="FN5" s="943" t="s">
        <v>1418</v>
      </c>
      <c r="FO5" s="944" t="s">
        <v>1419</v>
      </c>
      <c r="FP5" s="941" t="s">
        <v>1416</v>
      </c>
      <c r="FQ5" s="942" t="s">
        <v>1417</v>
      </c>
      <c r="FR5" s="943" t="s">
        <v>1418</v>
      </c>
      <c r="FS5" s="943" t="s">
        <v>1419</v>
      </c>
      <c r="FT5" s="942" t="s">
        <v>1416</v>
      </c>
      <c r="FU5" s="942" t="s">
        <v>1417</v>
      </c>
      <c r="FV5" s="943" t="s">
        <v>1418</v>
      </c>
      <c r="FW5" s="943" t="s">
        <v>1419</v>
      </c>
      <c r="FX5" s="942" t="s">
        <v>1416</v>
      </c>
      <c r="FY5" s="942" t="s">
        <v>1417</v>
      </c>
      <c r="FZ5" s="943" t="s">
        <v>1418</v>
      </c>
      <c r="GA5" s="944" t="s">
        <v>1419</v>
      </c>
      <c r="GB5" s="941" t="s">
        <v>1416</v>
      </c>
      <c r="GC5" s="942" t="s">
        <v>1417</v>
      </c>
      <c r="GD5" s="943" t="s">
        <v>1418</v>
      </c>
      <c r="GE5" s="943" t="s">
        <v>1419</v>
      </c>
      <c r="GF5" s="942" t="s">
        <v>1416</v>
      </c>
      <c r="GG5" s="942" t="s">
        <v>1417</v>
      </c>
      <c r="GH5" s="943" t="s">
        <v>1418</v>
      </c>
      <c r="GI5" s="943" t="s">
        <v>1419</v>
      </c>
      <c r="GJ5" s="942" t="s">
        <v>1416</v>
      </c>
      <c r="GK5" s="942" t="s">
        <v>1417</v>
      </c>
      <c r="GL5" s="943" t="s">
        <v>1418</v>
      </c>
      <c r="GM5" s="944" t="s">
        <v>1419</v>
      </c>
      <c r="GN5" s="941" t="s">
        <v>1416</v>
      </c>
      <c r="GO5" s="942" t="s">
        <v>1417</v>
      </c>
      <c r="GP5" s="943" t="s">
        <v>1418</v>
      </c>
      <c r="GQ5" s="943" t="s">
        <v>1419</v>
      </c>
      <c r="GR5" s="942" t="s">
        <v>1416</v>
      </c>
      <c r="GS5" s="942" t="s">
        <v>1417</v>
      </c>
      <c r="GT5" s="943" t="s">
        <v>1418</v>
      </c>
      <c r="GU5" s="943" t="s">
        <v>1419</v>
      </c>
      <c r="GV5" s="942" t="s">
        <v>1416</v>
      </c>
      <c r="GW5" s="942" t="s">
        <v>1417</v>
      </c>
      <c r="GX5" s="943" t="s">
        <v>1418</v>
      </c>
      <c r="GY5" s="944" t="s">
        <v>1419</v>
      </c>
      <c r="GZ5" s="941" t="s">
        <v>1416</v>
      </c>
      <c r="HA5" s="942" t="s">
        <v>1417</v>
      </c>
      <c r="HB5" s="943" t="s">
        <v>1418</v>
      </c>
      <c r="HC5" s="943" t="s">
        <v>1419</v>
      </c>
      <c r="HD5" s="942" t="s">
        <v>1416</v>
      </c>
      <c r="HE5" s="942" t="s">
        <v>1417</v>
      </c>
      <c r="HF5" s="943" t="s">
        <v>1418</v>
      </c>
      <c r="HG5" s="943" t="s">
        <v>1419</v>
      </c>
      <c r="HH5" s="942" t="s">
        <v>1416</v>
      </c>
      <c r="HI5" s="942" t="s">
        <v>1417</v>
      </c>
      <c r="HJ5" s="943" t="s">
        <v>1418</v>
      </c>
      <c r="HK5" s="944" t="s">
        <v>1419</v>
      </c>
      <c r="HL5" s="941" t="s">
        <v>1416</v>
      </c>
      <c r="HM5" s="942" t="s">
        <v>1417</v>
      </c>
      <c r="HN5" s="943" t="s">
        <v>1418</v>
      </c>
      <c r="HO5" s="943" t="s">
        <v>1419</v>
      </c>
      <c r="HP5" s="942" t="s">
        <v>1416</v>
      </c>
      <c r="HQ5" s="942" t="s">
        <v>1417</v>
      </c>
      <c r="HR5" s="943" t="s">
        <v>1418</v>
      </c>
      <c r="HS5" s="943" t="s">
        <v>1419</v>
      </c>
      <c r="HT5" s="942" t="s">
        <v>1416</v>
      </c>
      <c r="HU5" s="942" t="s">
        <v>1417</v>
      </c>
      <c r="HV5" s="943" t="s">
        <v>1418</v>
      </c>
      <c r="HW5" s="944" t="s">
        <v>1419</v>
      </c>
      <c r="HX5" s="941" t="s">
        <v>1416</v>
      </c>
      <c r="HY5" s="942" t="s">
        <v>1417</v>
      </c>
      <c r="HZ5" s="943" t="s">
        <v>1418</v>
      </c>
      <c r="IA5" s="943" t="s">
        <v>1419</v>
      </c>
      <c r="IB5" s="942" t="s">
        <v>1416</v>
      </c>
      <c r="IC5" s="942" t="s">
        <v>1417</v>
      </c>
      <c r="ID5" s="943" t="s">
        <v>1418</v>
      </c>
      <c r="IE5" s="943" t="s">
        <v>1419</v>
      </c>
      <c r="IF5" s="942" t="s">
        <v>1416</v>
      </c>
      <c r="IG5" s="942" t="s">
        <v>1417</v>
      </c>
      <c r="IH5" s="943" t="s">
        <v>1418</v>
      </c>
      <c r="II5" s="944" t="s">
        <v>1419</v>
      </c>
      <c r="IJ5" s="941" t="s">
        <v>1416</v>
      </c>
      <c r="IK5" s="942" t="s">
        <v>1417</v>
      </c>
      <c r="IL5" s="943" t="s">
        <v>1418</v>
      </c>
      <c r="IM5" s="943" t="s">
        <v>1419</v>
      </c>
      <c r="IN5" s="942" t="s">
        <v>1416</v>
      </c>
      <c r="IO5" s="942" t="s">
        <v>1417</v>
      </c>
      <c r="IP5" s="943" t="s">
        <v>1418</v>
      </c>
      <c r="IQ5" s="943" t="s">
        <v>1419</v>
      </c>
      <c r="IR5" s="942" t="s">
        <v>1416</v>
      </c>
      <c r="IS5" s="942" t="s">
        <v>1417</v>
      </c>
      <c r="IT5" s="943" t="s">
        <v>1418</v>
      </c>
      <c r="IU5" s="944" t="s">
        <v>1419</v>
      </c>
      <c r="IV5" s="941" t="s">
        <v>1416</v>
      </c>
      <c r="IW5" s="942" t="s">
        <v>1417</v>
      </c>
      <c r="IX5" s="943" t="s">
        <v>1418</v>
      </c>
      <c r="IY5" s="943" t="s">
        <v>1419</v>
      </c>
      <c r="IZ5" s="942" t="s">
        <v>1416</v>
      </c>
      <c r="JA5" s="942" t="s">
        <v>1417</v>
      </c>
      <c r="JB5" s="943" t="s">
        <v>1418</v>
      </c>
      <c r="JC5" s="943" t="s">
        <v>1419</v>
      </c>
      <c r="JD5" s="942" t="s">
        <v>1416</v>
      </c>
      <c r="JE5" s="942" t="s">
        <v>1417</v>
      </c>
      <c r="JF5" s="943" t="s">
        <v>1418</v>
      </c>
      <c r="JG5" s="944" t="s">
        <v>1419</v>
      </c>
      <c r="JH5" s="941" t="s">
        <v>1416</v>
      </c>
      <c r="JI5" s="942" t="s">
        <v>1417</v>
      </c>
      <c r="JJ5" s="943" t="s">
        <v>1418</v>
      </c>
      <c r="JK5" s="943" t="s">
        <v>1419</v>
      </c>
      <c r="JL5" s="942" t="s">
        <v>1416</v>
      </c>
      <c r="JM5" s="942" t="s">
        <v>1417</v>
      </c>
      <c r="JN5" s="943" t="s">
        <v>1418</v>
      </c>
      <c r="JO5" s="943" t="s">
        <v>1419</v>
      </c>
      <c r="JP5" s="942" t="s">
        <v>1416</v>
      </c>
      <c r="JQ5" s="942" t="s">
        <v>1417</v>
      </c>
      <c r="JR5" s="943" t="s">
        <v>1418</v>
      </c>
      <c r="JS5" s="944" t="s">
        <v>1419</v>
      </c>
      <c r="JT5" s="941" t="s">
        <v>1416</v>
      </c>
      <c r="JU5" s="942" t="s">
        <v>1417</v>
      </c>
      <c r="JV5" s="943" t="s">
        <v>1418</v>
      </c>
      <c r="JW5" s="943" t="s">
        <v>1419</v>
      </c>
      <c r="JX5" s="942" t="s">
        <v>1416</v>
      </c>
      <c r="JY5" s="942" t="s">
        <v>1417</v>
      </c>
      <c r="JZ5" s="943" t="s">
        <v>1418</v>
      </c>
      <c r="KA5" s="943" t="s">
        <v>1419</v>
      </c>
      <c r="KB5" s="942" t="s">
        <v>1416</v>
      </c>
      <c r="KC5" s="942" t="s">
        <v>1417</v>
      </c>
      <c r="KD5" s="943" t="s">
        <v>1418</v>
      </c>
      <c r="KE5" s="944" t="s">
        <v>1419</v>
      </c>
      <c r="KF5" s="941" t="s">
        <v>1416</v>
      </c>
      <c r="KG5" s="942" t="s">
        <v>1417</v>
      </c>
      <c r="KH5" s="943" t="s">
        <v>1418</v>
      </c>
      <c r="KI5" s="943" t="s">
        <v>1419</v>
      </c>
      <c r="KJ5" s="942" t="s">
        <v>1416</v>
      </c>
      <c r="KK5" s="942" t="s">
        <v>1417</v>
      </c>
      <c r="KL5" s="943" t="s">
        <v>1418</v>
      </c>
      <c r="KM5" s="943" t="s">
        <v>1419</v>
      </c>
      <c r="KN5" s="942" t="s">
        <v>1416</v>
      </c>
      <c r="KO5" s="942" t="s">
        <v>1417</v>
      </c>
      <c r="KP5" s="943" t="s">
        <v>1418</v>
      </c>
      <c r="KQ5" s="944" t="s">
        <v>1419</v>
      </c>
      <c r="KR5" s="941" t="s">
        <v>1416</v>
      </c>
      <c r="KS5" s="942" t="s">
        <v>1417</v>
      </c>
      <c r="KT5" s="943" t="s">
        <v>1418</v>
      </c>
      <c r="KU5" s="943" t="s">
        <v>1419</v>
      </c>
      <c r="KV5" s="942" t="s">
        <v>1416</v>
      </c>
      <c r="KW5" s="942" t="s">
        <v>1417</v>
      </c>
      <c r="KX5" s="943" t="s">
        <v>1418</v>
      </c>
      <c r="KY5" s="943" t="s">
        <v>1419</v>
      </c>
      <c r="KZ5" s="942" t="s">
        <v>1416</v>
      </c>
      <c r="LA5" s="942" t="s">
        <v>1417</v>
      </c>
      <c r="LB5" s="943" t="s">
        <v>1418</v>
      </c>
      <c r="LC5" s="944" t="s">
        <v>1419</v>
      </c>
      <c r="LD5" s="941" t="s">
        <v>1416</v>
      </c>
      <c r="LE5" s="942" t="s">
        <v>1417</v>
      </c>
      <c r="LF5" s="943" t="s">
        <v>1418</v>
      </c>
      <c r="LG5" s="943" t="s">
        <v>1419</v>
      </c>
      <c r="LH5" s="942" t="s">
        <v>1416</v>
      </c>
      <c r="LI5" s="942" t="s">
        <v>1417</v>
      </c>
      <c r="LJ5" s="943" t="s">
        <v>1418</v>
      </c>
      <c r="LK5" s="943" t="s">
        <v>1419</v>
      </c>
      <c r="LL5" s="942" t="s">
        <v>1416</v>
      </c>
      <c r="LM5" s="942" t="s">
        <v>1417</v>
      </c>
      <c r="LN5" s="943" t="s">
        <v>1418</v>
      </c>
      <c r="LO5" s="944" t="s">
        <v>1419</v>
      </c>
      <c r="LP5" s="941" t="s">
        <v>1416</v>
      </c>
      <c r="LQ5" s="942" t="s">
        <v>1417</v>
      </c>
      <c r="LR5" s="943" t="s">
        <v>1418</v>
      </c>
      <c r="LS5" s="943" t="s">
        <v>1419</v>
      </c>
      <c r="LT5" s="942" t="s">
        <v>1416</v>
      </c>
      <c r="LU5" s="942" t="s">
        <v>1417</v>
      </c>
      <c r="LV5" s="943" t="s">
        <v>1418</v>
      </c>
      <c r="LW5" s="943" t="s">
        <v>1419</v>
      </c>
      <c r="LX5" s="942" t="s">
        <v>1416</v>
      </c>
      <c r="LY5" s="942" t="s">
        <v>1417</v>
      </c>
      <c r="LZ5" s="943" t="s">
        <v>1418</v>
      </c>
      <c r="MA5" s="944" t="s">
        <v>1419</v>
      </c>
      <c r="MB5" s="941" t="s">
        <v>1416</v>
      </c>
      <c r="MC5" s="942" t="s">
        <v>1417</v>
      </c>
      <c r="MD5" s="943" t="s">
        <v>1418</v>
      </c>
      <c r="ME5" s="943" t="s">
        <v>1419</v>
      </c>
      <c r="MF5" s="942" t="s">
        <v>1416</v>
      </c>
      <c r="MG5" s="942" t="s">
        <v>1417</v>
      </c>
      <c r="MH5" s="943" t="s">
        <v>1418</v>
      </c>
      <c r="MI5" s="943" t="s">
        <v>1419</v>
      </c>
      <c r="MJ5" s="942" t="s">
        <v>1416</v>
      </c>
      <c r="MK5" s="942" t="s">
        <v>1417</v>
      </c>
      <c r="ML5" s="943" t="s">
        <v>1418</v>
      </c>
      <c r="MM5" s="944" t="s">
        <v>1419</v>
      </c>
      <c r="MN5" s="941" t="s">
        <v>1416</v>
      </c>
      <c r="MO5" s="942" t="s">
        <v>1417</v>
      </c>
      <c r="MP5" s="943" t="s">
        <v>1418</v>
      </c>
      <c r="MQ5" s="943" t="s">
        <v>1419</v>
      </c>
      <c r="MR5" s="942" t="s">
        <v>1416</v>
      </c>
      <c r="MS5" s="942" t="s">
        <v>1417</v>
      </c>
      <c r="MT5" s="943" t="s">
        <v>1418</v>
      </c>
      <c r="MU5" s="943" t="s">
        <v>1419</v>
      </c>
      <c r="MV5" s="942" t="s">
        <v>1416</v>
      </c>
      <c r="MW5" s="942" t="s">
        <v>1417</v>
      </c>
      <c r="MX5" s="943" t="s">
        <v>1418</v>
      </c>
      <c r="MY5" s="944" t="s">
        <v>1419</v>
      </c>
      <c r="MZ5" s="941" t="s">
        <v>1416</v>
      </c>
      <c r="NA5" s="942" t="s">
        <v>1417</v>
      </c>
      <c r="NB5" s="943" t="s">
        <v>1418</v>
      </c>
      <c r="NC5" s="943" t="s">
        <v>1419</v>
      </c>
      <c r="ND5" s="942" t="s">
        <v>1416</v>
      </c>
      <c r="NE5" s="942" t="s">
        <v>1417</v>
      </c>
      <c r="NF5" s="943" t="s">
        <v>1418</v>
      </c>
      <c r="NG5" s="943" t="s">
        <v>1419</v>
      </c>
      <c r="NH5" s="942" t="s">
        <v>1416</v>
      </c>
      <c r="NI5" s="942" t="s">
        <v>1417</v>
      </c>
      <c r="NJ5" s="943" t="s">
        <v>1418</v>
      </c>
      <c r="NK5" s="944" t="s">
        <v>1419</v>
      </c>
      <c r="NL5" s="941" t="s">
        <v>1416</v>
      </c>
      <c r="NM5" s="942" t="s">
        <v>1417</v>
      </c>
      <c r="NN5" s="943" t="s">
        <v>1418</v>
      </c>
      <c r="NO5" s="943" t="s">
        <v>1419</v>
      </c>
      <c r="NP5" s="942" t="s">
        <v>1416</v>
      </c>
      <c r="NQ5" s="942" t="s">
        <v>1417</v>
      </c>
      <c r="NR5" s="943" t="s">
        <v>1418</v>
      </c>
      <c r="NS5" s="943" t="s">
        <v>1419</v>
      </c>
      <c r="NT5" s="942" t="s">
        <v>1416</v>
      </c>
      <c r="NU5" s="942" t="s">
        <v>1417</v>
      </c>
      <c r="NV5" s="943" t="s">
        <v>1418</v>
      </c>
      <c r="NW5" s="944" t="s">
        <v>1419</v>
      </c>
      <c r="NX5" s="941" t="s">
        <v>1416</v>
      </c>
      <c r="NY5" s="942" t="s">
        <v>1417</v>
      </c>
      <c r="NZ5" s="943" t="s">
        <v>1418</v>
      </c>
      <c r="OA5" s="943" t="s">
        <v>1419</v>
      </c>
      <c r="OB5" s="942" t="s">
        <v>1416</v>
      </c>
      <c r="OC5" s="942" t="s">
        <v>1417</v>
      </c>
      <c r="OD5" s="943" t="s">
        <v>1418</v>
      </c>
      <c r="OE5" s="943" t="s">
        <v>1419</v>
      </c>
      <c r="OF5" s="942" t="s">
        <v>1416</v>
      </c>
      <c r="OG5" s="942" t="s">
        <v>1417</v>
      </c>
      <c r="OH5" s="943" t="s">
        <v>1418</v>
      </c>
      <c r="OI5" s="944" t="s">
        <v>1419</v>
      </c>
      <c r="OJ5" s="941" t="s">
        <v>1416</v>
      </c>
      <c r="OK5" s="942" t="s">
        <v>1417</v>
      </c>
      <c r="OL5" s="943" t="s">
        <v>1418</v>
      </c>
      <c r="OM5" s="943" t="s">
        <v>1419</v>
      </c>
      <c r="ON5" s="942" t="s">
        <v>1416</v>
      </c>
      <c r="OO5" s="942" t="s">
        <v>1417</v>
      </c>
      <c r="OP5" s="943" t="s">
        <v>1418</v>
      </c>
      <c r="OQ5" s="943" t="s">
        <v>1419</v>
      </c>
      <c r="OR5" s="942" t="s">
        <v>1416</v>
      </c>
      <c r="OS5" s="942" t="s">
        <v>1417</v>
      </c>
      <c r="OT5" s="943" t="s">
        <v>1418</v>
      </c>
      <c r="OU5" s="944" t="s">
        <v>1419</v>
      </c>
      <c r="OV5" s="941" t="s">
        <v>1416</v>
      </c>
      <c r="OW5" s="942" t="s">
        <v>1417</v>
      </c>
      <c r="OX5" s="943" t="s">
        <v>1418</v>
      </c>
      <c r="OY5" s="943" t="s">
        <v>1419</v>
      </c>
      <c r="OZ5" s="942" t="s">
        <v>1416</v>
      </c>
      <c r="PA5" s="942" t="s">
        <v>1417</v>
      </c>
      <c r="PB5" s="943" t="s">
        <v>1418</v>
      </c>
      <c r="PC5" s="943" t="s">
        <v>1419</v>
      </c>
      <c r="PD5" s="942" t="s">
        <v>1416</v>
      </c>
      <c r="PE5" s="942" t="s">
        <v>1417</v>
      </c>
      <c r="PF5" s="943" t="s">
        <v>1418</v>
      </c>
      <c r="PG5" s="944" t="s">
        <v>1419</v>
      </c>
      <c r="PH5" s="941" t="s">
        <v>1416</v>
      </c>
      <c r="PI5" s="942" t="s">
        <v>1417</v>
      </c>
      <c r="PJ5" s="943" t="s">
        <v>1418</v>
      </c>
      <c r="PK5" s="943" t="s">
        <v>1419</v>
      </c>
      <c r="PL5" s="942" t="s">
        <v>1416</v>
      </c>
      <c r="PM5" s="942" t="s">
        <v>1417</v>
      </c>
      <c r="PN5" s="943" t="s">
        <v>1418</v>
      </c>
      <c r="PO5" s="943" t="s">
        <v>1419</v>
      </c>
      <c r="PP5" s="942" t="s">
        <v>1416</v>
      </c>
      <c r="PQ5" s="942" t="s">
        <v>1417</v>
      </c>
      <c r="PR5" s="943" t="s">
        <v>1418</v>
      </c>
      <c r="PS5" s="944" t="s">
        <v>1419</v>
      </c>
      <c r="PT5" s="941" t="s">
        <v>1416</v>
      </c>
      <c r="PU5" s="942" t="s">
        <v>1417</v>
      </c>
      <c r="PV5" s="943" t="s">
        <v>1418</v>
      </c>
      <c r="PW5" s="943" t="s">
        <v>1419</v>
      </c>
      <c r="PX5" s="942" t="s">
        <v>1416</v>
      </c>
      <c r="PY5" s="942" t="s">
        <v>1417</v>
      </c>
      <c r="PZ5" s="943" t="s">
        <v>1418</v>
      </c>
      <c r="QA5" s="943" t="s">
        <v>1419</v>
      </c>
      <c r="QB5" s="942" t="s">
        <v>1416</v>
      </c>
      <c r="QC5" s="942" t="s">
        <v>1417</v>
      </c>
      <c r="QD5" s="943" t="s">
        <v>1418</v>
      </c>
      <c r="QE5" s="944" t="s">
        <v>1419</v>
      </c>
      <c r="QF5" s="941" t="s">
        <v>1416</v>
      </c>
      <c r="QG5" s="942" t="s">
        <v>1417</v>
      </c>
      <c r="QH5" s="943" t="s">
        <v>1418</v>
      </c>
      <c r="QI5" s="943" t="s">
        <v>1419</v>
      </c>
      <c r="QJ5" s="942" t="s">
        <v>1416</v>
      </c>
      <c r="QK5" s="942" t="s">
        <v>1417</v>
      </c>
      <c r="QL5" s="943" t="s">
        <v>1418</v>
      </c>
      <c r="QM5" s="943" t="s">
        <v>1419</v>
      </c>
      <c r="QN5" s="942" t="s">
        <v>1416</v>
      </c>
      <c r="QO5" s="942" t="s">
        <v>1417</v>
      </c>
      <c r="QP5" s="943" t="s">
        <v>1418</v>
      </c>
      <c r="QQ5" s="944" t="s">
        <v>1419</v>
      </c>
      <c r="QR5" s="941" t="s">
        <v>1416</v>
      </c>
      <c r="QS5" s="942" t="s">
        <v>1417</v>
      </c>
      <c r="QT5" s="943" t="s">
        <v>1418</v>
      </c>
      <c r="QU5" s="943" t="s">
        <v>1419</v>
      </c>
      <c r="QV5" s="942" t="s">
        <v>1416</v>
      </c>
      <c r="QW5" s="942" t="s">
        <v>1417</v>
      </c>
      <c r="QX5" s="943" t="s">
        <v>1418</v>
      </c>
      <c r="QY5" s="943" t="s">
        <v>1419</v>
      </c>
      <c r="QZ5" s="942" t="s">
        <v>1416</v>
      </c>
      <c r="RA5" s="942" t="s">
        <v>1417</v>
      </c>
      <c r="RB5" s="943" t="s">
        <v>1418</v>
      </c>
      <c r="RC5" s="944" t="s">
        <v>1419</v>
      </c>
      <c r="RD5" s="941" t="s">
        <v>1416</v>
      </c>
      <c r="RE5" s="942" t="s">
        <v>1417</v>
      </c>
      <c r="RF5" s="943" t="s">
        <v>1418</v>
      </c>
      <c r="RG5" s="943" t="s">
        <v>1419</v>
      </c>
      <c r="RH5" s="942" t="s">
        <v>1416</v>
      </c>
      <c r="RI5" s="942" t="s">
        <v>1417</v>
      </c>
      <c r="RJ5" s="943" t="s">
        <v>1418</v>
      </c>
      <c r="RK5" s="943" t="s">
        <v>1419</v>
      </c>
      <c r="RL5" s="942" t="s">
        <v>1416</v>
      </c>
      <c r="RM5" s="942" t="s">
        <v>1417</v>
      </c>
      <c r="RN5" s="943" t="s">
        <v>1418</v>
      </c>
      <c r="RO5" s="944" t="s">
        <v>1419</v>
      </c>
      <c r="RP5" s="941" t="s">
        <v>1416</v>
      </c>
      <c r="RQ5" s="942" t="s">
        <v>1417</v>
      </c>
      <c r="RR5" s="943" t="s">
        <v>1418</v>
      </c>
      <c r="RS5" s="943" t="s">
        <v>1419</v>
      </c>
      <c r="RT5" s="942" t="s">
        <v>1416</v>
      </c>
      <c r="RU5" s="942" t="s">
        <v>1417</v>
      </c>
      <c r="RV5" s="943" t="s">
        <v>1418</v>
      </c>
      <c r="RW5" s="943" t="s">
        <v>1419</v>
      </c>
      <c r="RX5" s="942" t="s">
        <v>1416</v>
      </c>
      <c r="RY5" s="942" t="s">
        <v>1417</v>
      </c>
      <c r="RZ5" s="943" t="s">
        <v>1418</v>
      </c>
      <c r="SA5" s="944" t="s">
        <v>1419</v>
      </c>
    </row>
    <row r="6" spans="1:495" ht="14.15">
      <c r="A6" s="945"/>
      <c r="B6" s="946"/>
      <c r="C6" s="946"/>
      <c r="D6" s="977" t="s">
        <v>1420</v>
      </c>
      <c r="E6" s="978" t="s">
        <v>216</v>
      </c>
      <c r="F6" s="979" t="s">
        <v>198</v>
      </c>
      <c r="G6" s="979" t="s">
        <v>216</v>
      </c>
      <c r="H6" s="978" t="s">
        <v>1420</v>
      </c>
      <c r="I6" s="978" t="s">
        <v>216</v>
      </c>
      <c r="J6" s="979" t="s">
        <v>198</v>
      </c>
      <c r="K6" s="979" t="s">
        <v>216</v>
      </c>
      <c r="L6" s="978" t="s">
        <v>1420</v>
      </c>
      <c r="M6" s="978" t="s">
        <v>216</v>
      </c>
      <c r="N6" s="979" t="s">
        <v>198</v>
      </c>
      <c r="O6" s="980" t="s">
        <v>216</v>
      </c>
      <c r="P6" s="947" t="s">
        <v>1420</v>
      </c>
      <c r="Q6" s="948" t="s">
        <v>216</v>
      </c>
      <c r="R6" s="949" t="s">
        <v>198</v>
      </c>
      <c r="S6" s="950" t="s">
        <v>216</v>
      </c>
      <c r="T6" s="948" t="s">
        <v>1420</v>
      </c>
      <c r="U6" s="948" t="s">
        <v>216</v>
      </c>
      <c r="V6" s="949" t="s">
        <v>198</v>
      </c>
      <c r="W6" s="950" t="s">
        <v>216</v>
      </c>
      <c r="X6" s="948" t="s">
        <v>1420</v>
      </c>
      <c r="Y6" s="948" t="s">
        <v>216</v>
      </c>
      <c r="Z6" s="949" t="s">
        <v>198</v>
      </c>
      <c r="AA6" s="951" t="s">
        <v>216</v>
      </c>
      <c r="AB6" s="947" t="s">
        <v>1420</v>
      </c>
      <c r="AC6" s="948" t="s">
        <v>216</v>
      </c>
      <c r="AD6" s="949" t="s">
        <v>198</v>
      </c>
      <c r="AE6" s="950" t="s">
        <v>216</v>
      </c>
      <c r="AF6" s="948" t="s">
        <v>1420</v>
      </c>
      <c r="AG6" s="948" t="s">
        <v>216</v>
      </c>
      <c r="AH6" s="949" t="s">
        <v>198</v>
      </c>
      <c r="AI6" s="950" t="s">
        <v>216</v>
      </c>
      <c r="AJ6" s="948" t="s">
        <v>1420</v>
      </c>
      <c r="AK6" s="948" t="s">
        <v>216</v>
      </c>
      <c r="AL6" s="949" t="s">
        <v>198</v>
      </c>
      <c r="AM6" s="951" t="s">
        <v>216</v>
      </c>
      <c r="AN6" s="947" t="s">
        <v>1420</v>
      </c>
      <c r="AO6" s="948" t="s">
        <v>216</v>
      </c>
      <c r="AP6" s="949" t="s">
        <v>198</v>
      </c>
      <c r="AQ6" s="950" t="s">
        <v>216</v>
      </c>
      <c r="AR6" s="948" t="s">
        <v>1420</v>
      </c>
      <c r="AS6" s="948" t="s">
        <v>216</v>
      </c>
      <c r="AT6" s="949" t="s">
        <v>198</v>
      </c>
      <c r="AU6" s="950" t="s">
        <v>216</v>
      </c>
      <c r="AV6" s="948" t="s">
        <v>1420</v>
      </c>
      <c r="AW6" s="948" t="s">
        <v>216</v>
      </c>
      <c r="AX6" s="949" t="s">
        <v>198</v>
      </c>
      <c r="AY6" s="951" t="s">
        <v>216</v>
      </c>
      <c r="AZ6" s="947" t="s">
        <v>1420</v>
      </c>
      <c r="BA6" s="948" t="s">
        <v>216</v>
      </c>
      <c r="BB6" s="949" t="s">
        <v>198</v>
      </c>
      <c r="BC6" s="950" t="s">
        <v>216</v>
      </c>
      <c r="BD6" s="948" t="s">
        <v>1420</v>
      </c>
      <c r="BE6" s="948" t="s">
        <v>216</v>
      </c>
      <c r="BF6" s="949" t="s">
        <v>198</v>
      </c>
      <c r="BG6" s="950" t="s">
        <v>216</v>
      </c>
      <c r="BH6" s="948" t="s">
        <v>1420</v>
      </c>
      <c r="BI6" s="948" t="s">
        <v>216</v>
      </c>
      <c r="BJ6" s="949" t="s">
        <v>198</v>
      </c>
      <c r="BK6" s="951" t="s">
        <v>216</v>
      </c>
      <c r="BL6" s="947" t="s">
        <v>1420</v>
      </c>
      <c r="BM6" s="948" t="s">
        <v>216</v>
      </c>
      <c r="BN6" s="949" t="s">
        <v>198</v>
      </c>
      <c r="BO6" s="950" t="s">
        <v>216</v>
      </c>
      <c r="BP6" s="948" t="s">
        <v>1420</v>
      </c>
      <c r="BQ6" s="948" t="s">
        <v>216</v>
      </c>
      <c r="BR6" s="949" t="s">
        <v>198</v>
      </c>
      <c r="BS6" s="950" t="s">
        <v>216</v>
      </c>
      <c r="BT6" s="948" t="s">
        <v>1420</v>
      </c>
      <c r="BU6" s="948" t="s">
        <v>216</v>
      </c>
      <c r="BV6" s="949" t="s">
        <v>198</v>
      </c>
      <c r="BW6" s="951" t="s">
        <v>216</v>
      </c>
      <c r="BX6" s="947" t="s">
        <v>1420</v>
      </c>
      <c r="BY6" s="948" t="s">
        <v>216</v>
      </c>
      <c r="BZ6" s="949" t="s">
        <v>198</v>
      </c>
      <c r="CA6" s="950" t="s">
        <v>216</v>
      </c>
      <c r="CB6" s="948" t="s">
        <v>1420</v>
      </c>
      <c r="CC6" s="948" t="s">
        <v>216</v>
      </c>
      <c r="CD6" s="949" t="s">
        <v>198</v>
      </c>
      <c r="CE6" s="950" t="s">
        <v>216</v>
      </c>
      <c r="CF6" s="948" t="s">
        <v>1420</v>
      </c>
      <c r="CG6" s="948" t="s">
        <v>216</v>
      </c>
      <c r="CH6" s="949" t="s">
        <v>198</v>
      </c>
      <c r="CI6" s="951" t="s">
        <v>216</v>
      </c>
      <c r="CJ6" s="947" t="s">
        <v>1420</v>
      </c>
      <c r="CK6" s="948" t="s">
        <v>216</v>
      </c>
      <c r="CL6" s="949" t="s">
        <v>198</v>
      </c>
      <c r="CM6" s="950" t="s">
        <v>216</v>
      </c>
      <c r="CN6" s="948" t="s">
        <v>1420</v>
      </c>
      <c r="CO6" s="948" t="s">
        <v>216</v>
      </c>
      <c r="CP6" s="949" t="s">
        <v>198</v>
      </c>
      <c r="CQ6" s="950" t="s">
        <v>216</v>
      </c>
      <c r="CR6" s="948" t="s">
        <v>1420</v>
      </c>
      <c r="CS6" s="948" t="s">
        <v>216</v>
      </c>
      <c r="CT6" s="949" t="s">
        <v>198</v>
      </c>
      <c r="CU6" s="951" t="s">
        <v>216</v>
      </c>
      <c r="CV6" s="947" t="s">
        <v>1420</v>
      </c>
      <c r="CW6" s="948" t="s">
        <v>216</v>
      </c>
      <c r="CX6" s="949" t="s">
        <v>198</v>
      </c>
      <c r="CY6" s="950" t="s">
        <v>216</v>
      </c>
      <c r="CZ6" s="948" t="s">
        <v>1420</v>
      </c>
      <c r="DA6" s="948" t="s">
        <v>216</v>
      </c>
      <c r="DB6" s="949" t="s">
        <v>198</v>
      </c>
      <c r="DC6" s="950" t="s">
        <v>216</v>
      </c>
      <c r="DD6" s="948" t="s">
        <v>1420</v>
      </c>
      <c r="DE6" s="948" t="s">
        <v>216</v>
      </c>
      <c r="DF6" s="949" t="s">
        <v>198</v>
      </c>
      <c r="DG6" s="951" t="s">
        <v>216</v>
      </c>
      <c r="DH6" s="947" t="s">
        <v>1420</v>
      </c>
      <c r="DI6" s="948" t="s">
        <v>216</v>
      </c>
      <c r="DJ6" s="949" t="s">
        <v>198</v>
      </c>
      <c r="DK6" s="950" t="s">
        <v>216</v>
      </c>
      <c r="DL6" s="948" t="s">
        <v>1420</v>
      </c>
      <c r="DM6" s="948" t="s">
        <v>216</v>
      </c>
      <c r="DN6" s="949" t="s">
        <v>198</v>
      </c>
      <c r="DO6" s="950" t="s">
        <v>216</v>
      </c>
      <c r="DP6" s="948" t="s">
        <v>1420</v>
      </c>
      <c r="DQ6" s="948" t="s">
        <v>216</v>
      </c>
      <c r="DR6" s="949" t="s">
        <v>198</v>
      </c>
      <c r="DS6" s="951" t="s">
        <v>216</v>
      </c>
      <c r="DT6" s="947" t="s">
        <v>1420</v>
      </c>
      <c r="DU6" s="948" t="s">
        <v>216</v>
      </c>
      <c r="DV6" s="949" t="s">
        <v>198</v>
      </c>
      <c r="DW6" s="950" t="s">
        <v>216</v>
      </c>
      <c r="DX6" s="948" t="s">
        <v>1420</v>
      </c>
      <c r="DY6" s="948" t="s">
        <v>216</v>
      </c>
      <c r="DZ6" s="949" t="s">
        <v>198</v>
      </c>
      <c r="EA6" s="950" t="s">
        <v>216</v>
      </c>
      <c r="EB6" s="948" t="s">
        <v>1420</v>
      </c>
      <c r="EC6" s="948" t="s">
        <v>216</v>
      </c>
      <c r="ED6" s="949" t="s">
        <v>198</v>
      </c>
      <c r="EE6" s="951" t="s">
        <v>216</v>
      </c>
      <c r="EF6" s="947" t="s">
        <v>1420</v>
      </c>
      <c r="EG6" s="948" t="s">
        <v>216</v>
      </c>
      <c r="EH6" s="949" t="s">
        <v>198</v>
      </c>
      <c r="EI6" s="950" t="s">
        <v>216</v>
      </c>
      <c r="EJ6" s="948" t="s">
        <v>1420</v>
      </c>
      <c r="EK6" s="948" t="s">
        <v>216</v>
      </c>
      <c r="EL6" s="949" t="s">
        <v>198</v>
      </c>
      <c r="EM6" s="950" t="s">
        <v>216</v>
      </c>
      <c r="EN6" s="948" t="s">
        <v>1420</v>
      </c>
      <c r="EO6" s="948" t="s">
        <v>216</v>
      </c>
      <c r="EP6" s="949" t="s">
        <v>198</v>
      </c>
      <c r="EQ6" s="951" t="s">
        <v>216</v>
      </c>
      <c r="ER6" s="947" t="s">
        <v>1420</v>
      </c>
      <c r="ES6" s="948" t="s">
        <v>216</v>
      </c>
      <c r="ET6" s="949" t="s">
        <v>198</v>
      </c>
      <c r="EU6" s="950" t="s">
        <v>216</v>
      </c>
      <c r="EV6" s="948" t="s">
        <v>1420</v>
      </c>
      <c r="EW6" s="948" t="s">
        <v>216</v>
      </c>
      <c r="EX6" s="949" t="s">
        <v>198</v>
      </c>
      <c r="EY6" s="950" t="s">
        <v>216</v>
      </c>
      <c r="EZ6" s="948" t="s">
        <v>1420</v>
      </c>
      <c r="FA6" s="948" t="s">
        <v>216</v>
      </c>
      <c r="FB6" s="949" t="s">
        <v>198</v>
      </c>
      <c r="FC6" s="951" t="s">
        <v>216</v>
      </c>
      <c r="FD6" s="947" t="s">
        <v>1420</v>
      </c>
      <c r="FE6" s="948" t="s">
        <v>216</v>
      </c>
      <c r="FF6" s="949" t="s">
        <v>198</v>
      </c>
      <c r="FG6" s="950" t="s">
        <v>216</v>
      </c>
      <c r="FH6" s="948" t="s">
        <v>1420</v>
      </c>
      <c r="FI6" s="948" t="s">
        <v>216</v>
      </c>
      <c r="FJ6" s="949" t="s">
        <v>198</v>
      </c>
      <c r="FK6" s="950" t="s">
        <v>216</v>
      </c>
      <c r="FL6" s="948" t="s">
        <v>1420</v>
      </c>
      <c r="FM6" s="948" t="s">
        <v>216</v>
      </c>
      <c r="FN6" s="949" t="s">
        <v>198</v>
      </c>
      <c r="FO6" s="951" t="s">
        <v>216</v>
      </c>
      <c r="FP6" s="947" t="s">
        <v>1420</v>
      </c>
      <c r="FQ6" s="948" t="s">
        <v>216</v>
      </c>
      <c r="FR6" s="949" t="s">
        <v>198</v>
      </c>
      <c r="FS6" s="950" t="s">
        <v>216</v>
      </c>
      <c r="FT6" s="948" t="s">
        <v>1420</v>
      </c>
      <c r="FU6" s="948" t="s">
        <v>216</v>
      </c>
      <c r="FV6" s="949" t="s">
        <v>198</v>
      </c>
      <c r="FW6" s="950" t="s">
        <v>216</v>
      </c>
      <c r="FX6" s="948" t="s">
        <v>1420</v>
      </c>
      <c r="FY6" s="948" t="s">
        <v>216</v>
      </c>
      <c r="FZ6" s="949" t="s">
        <v>198</v>
      </c>
      <c r="GA6" s="951" t="s">
        <v>216</v>
      </c>
      <c r="GB6" s="947" t="s">
        <v>1420</v>
      </c>
      <c r="GC6" s="948" t="s">
        <v>216</v>
      </c>
      <c r="GD6" s="949" t="s">
        <v>198</v>
      </c>
      <c r="GE6" s="950" t="s">
        <v>216</v>
      </c>
      <c r="GF6" s="948" t="s">
        <v>1420</v>
      </c>
      <c r="GG6" s="948" t="s">
        <v>216</v>
      </c>
      <c r="GH6" s="949" t="s">
        <v>198</v>
      </c>
      <c r="GI6" s="950" t="s">
        <v>216</v>
      </c>
      <c r="GJ6" s="948" t="s">
        <v>1420</v>
      </c>
      <c r="GK6" s="948" t="s">
        <v>216</v>
      </c>
      <c r="GL6" s="949" t="s">
        <v>198</v>
      </c>
      <c r="GM6" s="951" t="s">
        <v>216</v>
      </c>
      <c r="GN6" s="947" t="s">
        <v>1420</v>
      </c>
      <c r="GO6" s="948" t="s">
        <v>216</v>
      </c>
      <c r="GP6" s="949" t="s">
        <v>198</v>
      </c>
      <c r="GQ6" s="950" t="s">
        <v>216</v>
      </c>
      <c r="GR6" s="948" t="s">
        <v>1420</v>
      </c>
      <c r="GS6" s="948" t="s">
        <v>216</v>
      </c>
      <c r="GT6" s="949" t="s">
        <v>198</v>
      </c>
      <c r="GU6" s="950" t="s">
        <v>216</v>
      </c>
      <c r="GV6" s="948" t="s">
        <v>1420</v>
      </c>
      <c r="GW6" s="948" t="s">
        <v>216</v>
      </c>
      <c r="GX6" s="949" t="s">
        <v>198</v>
      </c>
      <c r="GY6" s="951" t="s">
        <v>216</v>
      </c>
      <c r="GZ6" s="947" t="s">
        <v>1420</v>
      </c>
      <c r="HA6" s="948" t="s">
        <v>216</v>
      </c>
      <c r="HB6" s="949" t="s">
        <v>198</v>
      </c>
      <c r="HC6" s="950" t="s">
        <v>216</v>
      </c>
      <c r="HD6" s="948" t="s">
        <v>1420</v>
      </c>
      <c r="HE6" s="948" t="s">
        <v>216</v>
      </c>
      <c r="HF6" s="949" t="s">
        <v>198</v>
      </c>
      <c r="HG6" s="950" t="s">
        <v>216</v>
      </c>
      <c r="HH6" s="948" t="s">
        <v>1420</v>
      </c>
      <c r="HI6" s="948" t="s">
        <v>216</v>
      </c>
      <c r="HJ6" s="949" t="s">
        <v>198</v>
      </c>
      <c r="HK6" s="951" t="s">
        <v>216</v>
      </c>
      <c r="HL6" s="947" t="s">
        <v>1420</v>
      </c>
      <c r="HM6" s="948" t="s">
        <v>216</v>
      </c>
      <c r="HN6" s="949" t="s">
        <v>198</v>
      </c>
      <c r="HO6" s="950" t="s">
        <v>216</v>
      </c>
      <c r="HP6" s="948" t="s">
        <v>1420</v>
      </c>
      <c r="HQ6" s="948" t="s">
        <v>216</v>
      </c>
      <c r="HR6" s="949" t="s">
        <v>198</v>
      </c>
      <c r="HS6" s="950" t="s">
        <v>216</v>
      </c>
      <c r="HT6" s="948" t="s">
        <v>1420</v>
      </c>
      <c r="HU6" s="948" t="s">
        <v>216</v>
      </c>
      <c r="HV6" s="949" t="s">
        <v>198</v>
      </c>
      <c r="HW6" s="951" t="s">
        <v>216</v>
      </c>
      <c r="HX6" s="947" t="s">
        <v>1420</v>
      </c>
      <c r="HY6" s="948" t="s">
        <v>216</v>
      </c>
      <c r="HZ6" s="949" t="s">
        <v>198</v>
      </c>
      <c r="IA6" s="950" t="s">
        <v>216</v>
      </c>
      <c r="IB6" s="948" t="s">
        <v>1420</v>
      </c>
      <c r="IC6" s="948" t="s">
        <v>216</v>
      </c>
      <c r="ID6" s="949" t="s">
        <v>198</v>
      </c>
      <c r="IE6" s="950" t="s">
        <v>216</v>
      </c>
      <c r="IF6" s="948" t="s">
        <v>1420</v>
      </c>
      <c r="IG6" s="948" t="s">
        <v>216</v>
      </c>
      <c r="IH6" s="949" t="s">
        <v>198</v>
      </c>
      <c r="II6" s="951" t="s">
        <v>216</v>
      </c>
      <c r="IJ6" s="947" t="s">
        <v>1420</v>
      </c>
      <c r="IK6" s="948" t="s">
        <v>216</v>
      </c>
      <c r="IL6" s="949" t="s">
        <v>198</v>
      </c>
      <c r="IM6" s="950" t="s">
        <v>216</v>
      </c>
      <c r="IN6" s="948" t="s">
        <v>1420</v>
      </c>
      <c r="IO6" s="948" t="s">
        <v>216</v>
      </c>
      <c r="IP6" s="949" t="s">
        <v>198</v>
      </c>
      <c r="IQ6" s="950" t="s">
        <v>216</v>
      </c>
      <c r="IR6" s="948" t="s">
        <v>1420</v>
      </c>
      <c r="IS6" s="948" t="s">
        <v>216</v>
      </c>
      <c r="IT6" s="949" t="s">
        <v>198</v>
      </c>
      <c r="IU6" s="951" t="s">
        <v>216</v>
      </c>
      <c r="IV6" s="947" t="s">
        <v>1420</v>
      </c>
      <c r="IW6" s="948" t="s">
        <v>216</v>
      </c>
      <c r="IX6" s="949" t="s">
        <v>198</v>
      </c>
      <c r="IY6" s="950" t="s">
        <v>216</v>
      </c>
      <c r="IZ6" s="948" t="s">
        <v>1420</v>
      </c>
      <c r="JA6" s="948" t="s">
        <v>216</v>
      </c>
      <c r="JB6" s="949" t="s">
        <v>198</v>
      </c>
      <c r="JC6" s="950" t="s">
        <v>216</v>
      </c>
      <c r="JD6" s="948" t="s">
        <v>1420</v>
      </c>
      <c r="JE6" s="948" t="s">
        <v>216</v>
      </c>
      <c r="JF6" s="949" t="s">
        <v>198</v>
      </c>
      <c r="JG6" s="951" t="s">
        <v>216</v>
      </c>
      <c r="JH6" s="947" t="s">
        <v>1420</v>
      </c>
      <c r="JI6" s="948" t="s">
        <v>216</v>
      </c>
      <c r="JJ6" s="949" t="s">
        <v>198</v>
      </c>
      <c r="JK6" s="950" t="s">
        <v>216</v>
      </c>
      <c r="JL6" s="948" t="s">
        <v>1420</v>
      </c>
      <c r="JM6" s="948" t="s">
        <v>216</v>
      </c>
      <c r="JN6" s="949" t="s">
        <v>198</v>
      </c>
      <c r="JO6" s="950" t="s">
        <v>216</v>
      </c>
      <c r="JP6" s="948" t="s">
        <v>1420</v>
      </c>
      <c r="JQ6" s="948" t="s">
        <v>216</v>
      </c>
      <c r="JR6" s="949" t="s">
        <v>198</v>
      </c>
      <c r="JS6" s="951" t="s">
        <v>216</v>
      </c>
      <c r="JT6" s="947" t="s">
        <v>1420</v>
      </c>
      <c r="JU6" s="948" t="s">
        <v>216</v>
      </c>
      <c r="JV6" s="949" t="s">
        <v>198</v>
      </c>
      <c r="JW6" s="950" t="s">
        <v>216</v>
      </c>
      <c r="JX6" s="948" t="s">
        <v>1420</v>
      </c>
      <c r="JY6" s="948" t="s">
        <v>216</v>
      </c>
      <c r="JZ6" s="949" t="s">
        <v>198</v>
      </c>
      <c r="KA6" s="950" t="s">
        <v>216</v>
      </c>
      <c r="KB6" s="948" t="s">
        <v>1420</v>
      </c>
      <c r="KC6" s="948" t="s">
        <v>216</v>
      </c>
      <c r="KD6" s="949" t="s">
        <v>198</v>
      </c>
      <c r="KE6" s="951" t="s">
        <v>216</v>
      </c>
      <c r="KF6" s="947" t="s">
        <v>1420</v>
      </c>
      <c r="KG6" s="948" t="s">
        <v>216</v>
      </c>
      <c r="KH6" s="949" t="s">
        <v>198</v>
      </c>
      <c r="KI6" s="950" t="s">
        <v>216</v>
      </c>
      <c r="KJ6" s="948" t="s">
        <v>1420</v>
      </c>
      <c r="KK6" s="948" t="s">
        <v>216</v>
      </c>
      <c r="KL6" s="949" t="s">
        <v>198</v>
      </c>
      <c r="KM6" s="950" t="s">
        <v>216</v>
      </c>
      <c r="KN6" s="948" t="s">
        <v>1420</v>
      </c>
      <c r="KO6" s="948" t="s">
        <v>216</v>
      </c>
      <c r="KP6" s="949" t="s">
        <v>198</v>
      </c>
      <c r="KQ6" s="951" t="s">
        <v>216</v>
      </c>
      <c r="KR6" s="947" t="s">
        <v>1420</v>
      </c>
      <c r="KS6" s="948" t="s">
        <v>216</v>
      </c>
      <c r="KT6" s="949" t="s">
        <v>198</v>
      </c>
      <c r="KU6" s="950" t="s">
        <v>216</v>
      </c>
      <c r="KV6" s="948" t="s">
        <v>1420</v>
      </c>
      <c r="KW6" s="948" t="s">
        <v>216</v>
      </c>
      <c r="KX6" s="949" t="s">
        <v>198</v>
      </c>
      <c r="KY6" s="950" t="s">
        <v>216</v>
      </c>
      <c r="KZ6" s="948" t="s">
        <v>1420</v>
      </c>
      <c r="LA6" s="948" t="s">
        <v>216</v>
      </c>
      <c r="LB6" s="949" t="s">
        <v>198</v>
      </c>
      <c r="LC6" s="951" t="s">
        <v>216</v>
      </c>
      <c r="LD6" s="947" t="s">
        <v>1420</v>
      </c>
      <c r="LE6" s="948" t="s">
        <v>216</v>
      </c>
      <c r="LF6" s="949" t="s">
        <v>198</v>
      </c>
      <c r="LG6" s="950" t="s">
        <v>216</v>
      </c>
      <c r="LH6" s="948" t="s">
        <v>1420</v>
      </c>
      <c r="LI6" s="948" t="s">
        <v>216</v>
      </c>
      <c r="LJ6" s="949" t="s">
        <v>198</v>
      </c>
      <c r="LK6" s="950" t="s">
        <v>216</v>
      </c>
      <c r="LL6" s="948" t="s">
        <v>1420</v>
      </c>
      <c r="LM6" s="948" t="s">
        <v>216</v>
      </c>
      <c r="LN6" s="949" t="s">
        <v>198</v>
      </c>
      <c r="LO6" s="951" t="s">
        <v>216</v>
      </c>
      <c r="LP6" s="947" t="s">
        <v>1420</v>
      </c>
      <c r="LQ6" s="948" t="s">
        <v>216</v>
      </c>
      <c r="LR6" s="949" t="s">
        <v>198</v>
      </c>
      <c r="LS6" s="950" t="s">
        <v>216</v>
      </c>
      <c r="LT6" s="948" t="s">
        <v>1420</v>
      </c>
      <c r="LU6" s="948" t="s">
        <v>216</v>
      </c>
      <c r="LV6" s="949" t="s">
        <v>198</v>
      </c>
      <c r="LW6" s="950" t="s">
        <v>216</v>
      </c>
      <c r="LX6" s="948" t="s">
        <v>1420</v>
      </c>
      <c r="LY6" s="948" t="s">
        <v>216</v>
      </c>
      <c r="LZ6" s="949" t="s">
        <v>198</v>
      </c>
      <c r="MA6" s="951" t="s">
        <v>216</v>
      </c>
      <c r="MB6" s="947" t="s">
        <v>1420</v>
      </c>
      <c r="MC6" s="948" t="s">
        <v>216</v>
      </c>
      <c r="MD6" s="949" t="s">
        <v>198</v>
      </c>
      <c r="ME6" s="950" t="s">
        <v>216</v>
      </c>
      <c r="MF6" s="948" t="s">
        <v>1420</v>
      </c>
      <c r="MG6" s="948" t="s">
        <v>216</v>
      </c>
      <c r="MH6" s="949" t="s">
        <v>198</v>
      </c>
      <c r="MI6" s="950" t="s">
        <v>216</v>
      </c>
      <c r="MJ6" s="948" t="s">
        <v>1420</v>
      </c>
      <c r="MK6" s="948" t="s">
        <v>216</v>
      </c>
      <c r="ML6" s="949" t="s">
        <v>198</v>
      </c>
      <c r="MM6" s="951" t="s">
        <v>216</v>
      </c>
      <c r="MN6" s="947" t="s">
        <v>1420</v>
      </c>
      <c r="MO6" s="948" t="s">
        <v>216</v>
      </c>
      <c r="MP6" s="949" t="s">
        <v>198</v>
      </c>
      <c r="MQ6" s="950" t="s">
        <v>216</v>
      </c>
      <c r="MR6" s="948" t="s">
        <v>1420</v>
      </c>
      <c r="MS6" s="948" t="s">
        <v>216</v>
      </c>
      <c r="MT6" s="949" t="s">
        <v>198</v>
      </c>
      <c r="MU6" s="950" t="s">
        <v>216</v>
      </c>
      <c r="MV6" s="948" t="s">
        <v>1420</v>
      </c>
      <c r="MW6" s="948" t="s">
        <v>216</v>
      </c>
      <c r="MX6" s="949" t="s">
        <v>198</v>
      </c>
      <c r="MY6" s="951" t="s">
        <v>216</v>
      </c>
      <c r="MZ6" s="947" t="s">
        <v>1420</v>
      </c>
      <c r="NA6" s="948" t="s">
        <v>216</v>
      </c>
      <c r="NB6" s="949" t="s">
        <v>198</v>
      </c>
      <c r="NC6" s="950" t="s">
        <v>216</v>
      </c>
      <c r="ND6" s="948" t="s">
        <v>1420</v>
      </c>
      <c r="NE6" s="948" t="s">
        <v>216</v>
      </c>
      <c r="NF6" s="949" t="s">
        <v>198</v>
      </c>
      <c r="NG6" s="950" t="s">
        <v>216</v>
      </c>
      <c r="NH6" s="948" t="s">
        <v>1420</v>
      </c>
      <c r="NI6" s="948" t="s">
        <v>216</v>
      </c>
      <c r="NJ6" s="949" t="s">
        <v>198</v>
      </c>
      <c r="NK6" s="951" t="s">
        <v>216</v>
      </c>
      <c r="NL6" s="947" t="s">
        <v>1420</v>
      </c>
      <c r="NM6" s="948" t="s">
        <v>216</v>
      </c>
      <c r="NN6" s="949" t="s">
        <v>198</v>
      </c>
      <c r="NO6" s="950" t="s">
        <v>216</v>
      </c>
      <c r="NP6" s="948" t="s">
        <v>1420</v>
      </c>
      <c r="NQ6" s="948" t="s">
        <v>216</v>
      </c>
      <c r="NR6" s="949" t="s">
        <v>198</v>
      </c>
      <c r="NS6" s="950" t="s">
        <v>216</v>
      </c>
      <c r="NT6" s="948" t="s">
        <v>1420</v>
      </c>
      <c r="NU6" s="948" t="s">
        <v>216</v>
      </c>
      <c r="NV6" s="949" t="s">
        <v>198</v>
      </c>
      <c r="NW6" s="951" t="s">
        <v>216</v>
      </c>
      <c r="NX6" s="947" t="s">
        <v>1420</v>
      </c>
      <c r="NY6" s="948" t="s">
        <v>216</v>
      </c>
      <c r="NZ6" s="949" t="s">
        <v>198</v>
      </c>
      <c r="OA6" s="950" t="s">
        <v>216</v>
      </c>
      <c r="OB6" s="948" t="s">
        <v>1420</v>
      </c>
      <c r="OC6" s="948" t="s">
        <v>216</v>
      </c>
      <c r="OD6" s="949" t="s">
        <v>198</v>
      </c>
      <c r="OE6" s="950" t="s">
        <v>216</v>
      </c>
      <c r="OF6" s="948" t="s">
        <v>1420</v>
      </c>
      <c r="OG6" s="948" t="s">
        <v>216</v>
      </c>
      <c r="OH6" s="949" t="s">
        <v>198</v>
      </c>
      <c r="OI6" s="951" t="s">
        <v>216</v>
      </c>
      <c r="OJ6" s="947" t="s">
        <v>1420</v>
      </c>
      <c r="OK6" s="948" t="s">
        <v>216</v>
      </c>
      <c r="OL6" s="949" t="s">
        <v>198</v>
      </c>
      <c r="OM6" s="950" t="s">
        <v>216</v>
      </c>
      <c r="ON6" s="948" t="s">
        <v>1420</v>
      </c>
      <c r="OO6" s="948" t="s">
        <v>216</v>
      </c>
      <c r="OP6" s="949" t="s">
        <v>198</v>
      </c>
      <c r="OQ6" s="950" t="s">
        <v>216</v>
      </c>
      <c r="OR6" s="948" t="s">
        <v>1420</v>
      </c>
      <c r="OS6" s="948" t="s">
        <v>216</v>
      </c>
      <c r="OT6" s="949" t="s">
        <v>198</v>
      </c>
      <c r="OU6" s="951" t="s">
        <v>216</v>
      </c>
      <c r="OV6" s="947" t="s">
        <v>1420</v>
      </c>
      <c r="OW6" s="948" t="s">
        <v>216</v>
      </c>
      <c r="OX6" s="949" t="s">
        <v>198</v>
      </c>
      <c r="OY6" s="950" t="s">
        <v>216</v>
      </c>
      <c r="OZ6" s="948" t="s">
        <v>1420</v>
      </c>
      <c r="PA6" s="948" t="s">
        <v>216</v>
      </c>
      <c r="PB6" s="949" t="s">
        <v>198</v>
      </c>
      <c r="PC6" s="950" t="s">
        <v>216</v>
      </c>
      <c r="PD6" s="948" t="s">
        <v>1420</v>
      </c>
      <c r="PE6" s="948" t="s">
        <v>216</v>
      </c>
      <c r="PF6" s="949" t="s">
        <v>198</v>
      </c>
      <c r="PG6" s="951" t="s">
        <v>216</v>
      </c>
      <c r="PH6" s="947" t="s">
        <v>1420</v>
      </c>
      <c r="PI6" s="948" t="s">
        <v>216</v>
      </c>
      <c r="PJ6" s="949" t="s">
        <v>198</v>
      </c>
      <c r="PK6" s="950" t="s">
        <v>216</v>
      </c>
      <c r="PL6" s="948" t="s">
        <v>1420</v>
      </c>
      <c r="PM6" s="948" t="s">
        <v>216</v>
      </c>
      <c r="PN6" s="949" t="s">
        <v>198</v>
      </c>
      <c r="PO6" s="950" t="s">
        <v>216</v>
      </c>
      <c r="PP6" s="948" t="s">
        <v>1420</v>
      </c>
      <c r="PQ6" s="948" t="s">
        <v>216</v>
      </c>
      <c r="PR6" s="949" t="s">
        <v>198</v>
      </c>
      <c r="PS6" s="951" t="s">
        <v>216</v>
      </c>
      <c r="PT6" s="947" t="s">
        <v>1420</v>
      </c>
      <c r="PU6" s="948" t="s">
        <v>216</v>
      </c>
      <c r="PV6" s="949" t="s">
        <v>198</v>
      </c>
      <c r="PW6" s="950" t="s">
        <v>216</v>
      </c>
      <c r="PX6" s="948" t="s">
        <v>1420</v>
      </c>
      <c r="PY6" s="948" t="s">
        <v>216</v>
      </c>
      <c r="PZ6" s="949" t="s">
        <v>198</v>
      </c>
      <c r="QA6" s="950" t="s">
        <v>216</v>
      </c>
      <c r="QB6" s="948" t="s">
        <v>1420</v>
      </c>
      <c r="QC6" s="948" t="s">
        <v>216</v>
      </c>
      <c r="QD6" s="949" t="s">
        <v>198</v>
      </c>
      <c r="QE6" s="951" t="s">
        <v>216</v>
      </c>
      <c r="QF6" s="947" t="s">
        <v>1420</v>
      </c>
      <c r="QG6" s="948" t="s">
        <v>216</v>
      </c>
      <c r="QH6" s="949" t="s">
        <v>198</v>
      </c>
      <c r="QI6" s="950" t="s">
        <v>216</v>
      </c>
      <c r="QJ6" s="948" t="s">
        <v>1420</v>
      </c>
      <c r="QK6" s="948" t="s">
        <v>216</v>
      </c>
      <c r="QL6" s="949" t="s">
        <v>198</v>
      </c>
      <c r="QM6" s="950" t="s">
        <v>216</v>
      </c>
      <c r="QN6" s="948" t="s">
        <v>1420</v>
      </c>
      <c r="QO6" s="948" t="s">
        <v>216</v>
      </c>
      <c r="QP6" s="949" t="s">
        <v>198</v>
      </c>
      <c r="QQ6" s="951" t="s">
        <v>216</v>
      </c>
      <c r="QR6" s="947" t="s">
        <v>1420</v>
      </c>
      <c r="QS6" s="948" t="s">
        <v>216</v>
      </c>
      <c r="QT6" s="949" t="s">
        <v>198</v>
      </c>
      <c r="QU6" s="950" t="s">
        <v>216</v>
      </c>
      <c r="QV6" s="948" t="s">
        <v>1420</v>
      </c>
      <c r="QW6" s="948" t="s">
        <v>216</v>
      </c>
      <c r="QX6" s="949" t="s">
        <v>198</v>
      </c>
      <c r="QY6" s="950" t="s">
        <v>216</v>
      </c>
      <c r="QZ6" s="948" t="s">
        <v>1420</v>
      </c>
      <c r="RA6" s="948" t="s">
        <v>216</v>
      </c>
      <c r="RB6" s="949" t="s">
        <v>198</v>
      </c>
      <c r="RC6" s="951" t="s">
        <v>216</v>
      </c>
      <c r="RD6" s="947" t="s">
        <v>1420</v>
      </c>
      <c r="RE6" s="948" t="s">
        <v>216</v>
      </c>
      <c r="RF6" s="949" t="s">
        <v>198</v>
      </c>
      <c r="RG6" s="950" t="s">
        <v>216</v>
      </c>
      <c r="RH6" s="948" t="s">
        <v>1420</v>
      </c>
      <c r="RI6" s="948" t="s">
        <v>216</v>
      </c>
      <c r="RJ6" s="949" t="s">
        <v>198</v>
      </c>
      <c r="RK6" s="950" t="s">
        <v>216</v>
      </c>
      <c r="RL6" s="948" t="s">
        <v>1420</v>
      </c>
      <c r="RM6" s="948" t="s">
        <v>216</v>
      </c>
      <c r="RN6" s="949" t="s">
        <v>198</v>
      </c>
      <c r="RO6" s="951" t="s">
        <v>216</v>
      </c>
      <c r="RP6" s="947" t="s">
        <v>1420</v>
      </c>
      <c r="RQ6" s="948" t="s">
        <v>216</v>
      </c>
      <c r="RR6" s="949" t="s">
        <v>198</v>
      </c>
      <c r="RS6" s="950" t="s">
        <v>216</v>
      </c>
      <c r="RT6" s="948" t="s">
        <v>1420</v>
      </c>
      <c r="RU6" s="948" t="s">
        <v>216</v>
      </c>
      <c r="RV6" s="949" t="s">
        <v>198</v>
      </c>
      <c r="RW6" s="950" t="s">
        <v>216</v>
      </c>
      <c r="RX6" s="948" t="s">
        <v>1420</v>
      </c>
      <c r="RY6" s="948" t="s">
        <v>216</v>
      </c>
      <c r="RZ6" s="949" t="s">
        <v>198</v>
      </c>
      <c r="SA6" s="951" t="s">
        <v>216</v>
      </c>
    </row>
    <row r="7" spans="1:495">
      <c r="A7" s="952">
        <f>[3]Eingabedaten!A9</f>
        <v>1.01</v>
      </c>
      <c r="B7" s="953" t="str">
        <f>[3]Eingabedaten!C9</f>
        <v>Wohnen MFH</v>
      </c>
      <c r="C7" s="984">
        <v>1</v>
      </c>
      <c r="D7" s="954" cm="1">
        <f t="array" ref="D7">INDEX($P$7:$SA$51,$C7,$G$3-1+D$2)</f>
        <v>20.553281394957988</v>
      </c>
      <c r="E7" s="955" cm="1">
        <f t="array" ref="E7">INDEX($P$7:$SA$51,$C7,$G$3-1+E$2)</f>
        <v>4.9837705373583496</v>
      </c>
      <c r="F7" s="955" cm="1">
        <f t="array" ref="F7">INDEX($P$7:$SA$51,$C7,$G$3-1+F$2)</f>
        <v>15.500120588235296</v>
      </c>
      <c r="G7" s="955" cm="1">
        <f t="array" ref="G7">INDEX($P$7:$SA$51,$C7,$G$3-1+G$2)</f>
        <v>14.853826963696013</v>
      </c>
      <c r="H7" s="955" cm="1">
        <f t="array" ref="H7">INDEX($P$7:$SA$51,$C7,$G$3-1+H$2)</f>
        <v>14.240663435563025</v>
      </c>
      <c r="I7" s="955" cm="1">
        <f t="array" ref="I7">INDEX($P$7:$SA$51,$C7,$G$3-1+I$2)</f>
        <v>2.7573988470164092</v>
      </c>
      <c r="J7" s="955" cm="1">
        <f t="array" ref="J7">INDEX($P$7:$SA$51,$C7,$G$3-1+J$2)</f>
        <v>11.59279411764706</v>
      </c>
      <c r="K7" s="955" cm="1">
        <f t="array" ref="K7">INDEX($P$7:$SA$51,$C7,$G$3-1+K$2)</f>
        <v>10.295092187550507</v>
      </c>
      <c r="L7" s="955" cm="1">
        <f t="array" ref="L7">INDEX($P$7:$SA$51,$C7,$G$3-1+L$2)</f>
        <v>0</v>
      </c>
      <c r="M7" s="955" cm="1">
        <f t="array" ref="M7">INDEX($P$7:$SA$51,$C7,$G$3-1+M$2)</f>
        <v>0</v>
      </c>
      <c r="N7" s="955" cm="1">
        <f t="array" ref="N7">INDEX($P$7:$SA$51,$C7,$G$3-1+N$2)</f>
        <v>53.893647058823539</v>
      </c>
      <c r="O7" s="956" cm="1">
        <f t="array" ref="O7">INDEX($P$7:$SA$51,$C7,$G$3-1+O$2)</f>
        <v>103.48468160361931</v>
      </c>
      <c r="P7" s="954">
        <v>14.860111764705884</v>
      </c>
      <c r="Q7" s="955">
        <v>0</v>
      </c>
      <c r="R7" s="955">
        <v>16.964394117647061</v>
      </c>
      <c r="S7" s="955">
        <v>14.931419884250845</v>
      </c>
      <c r="T7" s="955">
        <v>11.894607455462184</v>
      </c>
      <c r="U7" s="955">
        <v>0</v>
      </c>
      <c r="V7" s="955">
        <v>12.691058823529412</v>
      </c>
      <c r="W7" s="955">
        <v>8.765180132202202</v>
      </c>
      <c r="X7" s="955">
        <v>0</v>
      </c>
      <c r="Y7" s="955">
        <v>0</v>
      </c>
      <c r="Z7" s="955">
        <v>58.607529411764709</v>
      </c>
      <c r="AA7" s="956">
        <v>138.3125894671191</v>
      </c>
      <c r="AB7" s="954">
        <v>22.156119798319331</v>
      </c>
      <c r="AC7" s="955">
        <v>4.9338791374928048</v>
      </c>
      <c r="AD7" s="955">
        <v>14.415473529411766</v>
      </c>
      <c r="AE7" s="955">
        <v>14.245685441486383</v>
      </c>
      <c r="AF7" s="955">
        <v>15.506516246588237</v>
      </c>
      <c r="AG7" s="955">
        <v>2.7361824942449124</v>
      </c>
      <c r="AH7" s="955">
        <v>10.779264705882355</v>
      </c>
      <c r="AI7" s="955">
        <v>10.042405121134909</v>
      </c>
      <c r="AJ7" s="955">
        <v>0</v>
      </c>
      <c r="AK7" s="955">
        <v>0</v>
      </c>
      <c r="AL7" s="955">
        <v>50.401882352941186</v>
      </c>
      <c r="AM7" s="956">
        <v>100.02892188255102</v>
      </c>
      <c r="AN7" s="954">
        <v>20.474267193277313</v>
      </c>
      <c r="AO7" s="955">
        <v>3.345598421660875</v>
      </c>
      <c r="AP7" s="955">
        <v>14.469705882352944</v>
      </c>
      <c r="AQ7" s="955">
        <v>16.910228843809573</v>
      </c>
      <c r="AR7" s="955">
        <v>15.966290616470589</v>
      </c>
      <c r="AS7" s="955">
        <v>1.5925782394378072</v>
      </c>
      <c r="AT7" s="955">
        <v>10.819941176470589</v>
      </c>
      <c r="AU7" s="955">
        <v>12.379052351287157</v>
      </c>
      <c r="AV7" s="955">
        <v>0</v>
      </c>
      <c r="AW7" s="955">
        <v>0</v>
      </c>
      <c r="AX7" s="955">
        <v>50.57647058823531</v>
      </c>
      <c r="AY7" s="956">
        <v>108.05866998666272</v>
      </c>
      <c r="AZ7" s="954">
        <v>23.815737915966388</v>
      </c>
      <c r="BA7" s="955">
        <v>6.7409410912402432</v>
      </c>
      <c r="BB7" s="955">
        <v>14.957797058823532</v>
      </c>
      <c r="BC7" s="955">
        <v>12.59419812876078</v>
      </c>
      <c r="BD7" s="955">
        <v>16.567228031462186</v>
      </c>
      <c r="BE7" s="955">
        <v>3.9866787363173186</v>
      </c>
      <c r="BF7" s="955">
        <v>11.186029411764707</v>
      </c>
      <c r="BG7" s="955">
        <v>8.7357996259077098</v>
      </c>
      <c r="BH7" s="955">
        <v>0</v>
      </c>
      <c r="BI7" s="955">
        <v>0</v>
      </c>
      <c r="BJ7" s="955">
        <v>52.147764705882366</v>
      </c>
      <c r="BK7" s="956">
        <v>92.424347495778733</v>
      </c>
      <c r="BL7" s="954">
        <v>20.974340487394961</v>
      </c>
      <c r="BM7" s="955">
        <v>5.0041712462659147</v>
      </c>
      <c r="BN7" s="955">
        <v>15.44588823529412</v>
      </c>
      <c r="BO7" s="955">
        <v>15.094676849620017</v>
      </c>
      <c r="BP7" s="955">
        <v>14.539836144672273</v>
      </c>
      <c r="BQ7" s="955">
        <v>2.7712274643515067</v>
      </c>
      <c r="BR7" s="955">
        <v>11.552117647058823</v>
      </c>
      <c r="BS7" s="955">
        <v>10.342568457930383</v>
      </c>
      <c r="BT7" s="955">
        <v>0</v>
      </c>
      <c r="BU7" s="955">
        <v>0</v>
      </c>
      <c r="BV7" s="955">
        <v>53.719058823529423</v>
      </c>
      <c r="BW7" s="956">
        <v>105.81242407346956</v>
      </c>
      <c r="BX7" s="954">
        <v>19.941590789915971</v>
      </c>
      <c r="BY7" s="955">
        <v>5.2588968941986876</v>
      </c>
      <c r="BZ7" s="955">
        <v>15.283191176470591</v>
      </c>
      <c r="CA7" s="955">
        <v>16.689735808184718</v>
      </c>
      <c r="CB7" s="955">
        <v>14.493685194218489</v>
      </c>
      <c r="CC7" s="955">
        <v>2.9645223377415548</v>
      </c>
      <c r="CD7" s="955">
        <v>11.430088235294118</v>
      </c>
      <c r="CE7" s="955">
        <v>12.027071190202857</v>
      </c>
      <c r="CF7" s="955">
        <v>0</v>
      </c>
      <c r="CG7" s="955">
        <v>0</v>
      </c>
      <c r="CH7" s="955">
        <v>53.195294117647073</v>
      </c>
      <c r="CI7" s="956">
        <v>106.45741821061868</v>
      </c>
      <c r="CJ7" s="954">
        <v>19.568751848739499</v>
      </c>
      <c r="CK7" s="955">
        <v>3.9523700310390235</v>
      </c>
      <c r="CL7" s="955">
        <v>15.337423529411765</v>
      </c>
      <c r="CM7" s="955">
        <v>12.723013861782338</v>
      </c>
      <c r="CN7" s="955">
        <v>13.861713665613445</v>
      </c>
      <c r="CO7" s="955">
        <v>2.0236822472942575</v>
      </c>
      <c r="CP7" s="955">
        <v>11.470764705882353</v>
      </c>
      <c r="CQ7" s="955">
        <v>8.3402393896888167</v>
      </c>
      <c r="CR7" s="955">
        <v>0</v>
      </c>
      <c r="CS7" s="955">
        <v>0</v>
      </c>
      <c r="CT7" s="955">
        <v>53.36988235294119</v>
      </c>
      <c r="CU7" s="956">
        <v>100.03465072278638</v>
      </c>
      <c r="CV7" s="954">
        <v>13.993684033613448</v>
      </c>
      <c r="CW7" s="955">
        <v>0</v>
      </c>
      <c r="CX7" s="955">
        <v>18.537132352941178</v>
      </c>
      <c r="CY7" s="955">
        <v>17.250288555739832</v>
      </c>
      <c r="CZ7" s="955">
        <v>9.5742437915966381</v>
      </c>
      <c r="DA7" s="955">
        <v>0</v>
      </c>
      <c r="DB7" s="955">
        <v>13.870676470588236</v>
      </c>
      <c r="DC7" s="955">
        <v>9.8608041926089438</v>
      </c>
      <c r="DD7" s="955">
        <v>0</v>
      </c>
      <c r="DE7" s="955">
        <v>0</v>
      </c>
      <c r="DF7" s="955">
        <v>63.670588235294133</v>
      </c>
      <c r="DG7" s="956">
        <v>153.5691551508543</v>
      </c>
      <c r="DH7" s="954">
        <v>18.746045159663868</v>
      </c>
      <c r="DI7" s="955">
        <v>0.30044052490664291</v>
      </c>
      <c r="DJ7" s="955">
        <v>16.693232352941177</v>
      </c>
      <c r="DK7" s="955">
        <v>13.500347894099988</v>
      </c>
      <c r="DL7" s="955">
        <v>13.36863013216807</v>
      </c>
      <c r="DM7" s="955">
        <v>0</v>
      </c>
      <c r="DN7" s="955">
        <v>12.487676470588235</v>
      </c>
      <c r="DO7" s="955">
        <v>7.9979593929671422</v>
      </c>
      <c r="DP7" s="955">
        <v>0</v>
      </c>
      <c r="DQ7" s="955">
        <v>0</v>
      </c>
      <c r="DR7" s="955">
        <v>57.734588235294126</v>
      </c>
      <c r="DS7" s="956">
        <v>124.92967789880332</v>
      </c>
      <c r="DT7" s="954">
        <v>20.429310067226897</v>
      </c>
      <c r="DU7" s="955">
        <v>0</v>
      </c>
      <c r="DV7" s="955">
        <v>17.506717647058828</v>
      </c>
      <c r="DW7" s="955">
        <v>21.307077371700796</v>
      </c>
      <c r="DX7" s="955">
        <v>14.156467897277313</v>
      </c>
      <c r="DY7" s="955">
        <v>0</v>
      </c>
      <c r="DZ7" s="955">
        <v>13.097823529411766</v>
      </c>
      <c r="EA7" s="955">
        <v>14.681755423263898</v>
      </c>
      <c r="EB7" s="955">
        <v>0</v>
      </c>
      <c r="EC7" s="955">
        <v>0</v>
      </c>
      <c r="ED7" s="955">
        <v>60.353411764705903</v>
      </c>
      <c r="EE7" s="956">
        <v>141.27178192652556</v>
      </c>
      <c r="EF7" s="954">
        <v>21.961693831932777</v>
      </c>
      <c r="EG7" s="955">
        <v>7.9775507215406938</v>
      </c>
      <c r="EH7" s="955">
        <v>13.710452941176474</v>
      </c>
      <c r="EI7" s="955">
        <v>12.153495825474071</v>
      </c>
      <c r="EJ7" s="955">
        <v>15.242712855394958</v>
      </c>
      <c r="EK7" s="955">
        <v>4.5588351348930845</v>
      </c>
      <c r="EL7" s="955">
        <v>10.250470588235295</v>
      </c>
      <c r="EM7" s="955">
        <v>8.3923956348333739</v>
      </c>
      <c r="EN7" s="955">
        <v>36.263939495798319</v>
      </c>
      <c r="EO7" s="955">
        <v>0.83254299642725216</v>
      </c>
      <c r="EP7" s="955">
        <v>48.132235294117656</v>
      </c>
      <c r="EQ7" s="956">
        <v>89.87240420703084</v>
      </c>
      <c r="ER7" s="954">
        <v>19.80248734453782</v>
      </c>
      <c r="ES7" s="955">
        <v>2.3508085993751586</v>
      </c>
      <c r="ET7" s="955">
        <v>15.879747058823533</v>
      </c>
      <c r="EU7" s="955">
        <v>21.743826244640317</v>
      </c>
      <c r="EV7" s="955">
        <v>14.028678481478991</v>
      </c>
      <c r="EW7" s="955">
        <v>0.93179267738266636</v>
      </c>
      <c r="EX7" s="955">
        <v>11.877529411764707</v>
      </c>
      <c r="EY7" s="955">
        <v>16.168800584549459</v>
      </c>
      <c r="EZ7" s="955">
        <v>0</v>
      </c>
      <c r="FA7" s="955">
        <v>0</v>
      </c>
      <c r="FB7" s="955">
        <v>55.115764705882363</v>
      </c>
      <c r="FC7" s="956">
        <v>124.14922807065467</v>
      </c>
      <c r="FD7" s="954">
        <v>13.522782352941178</v>
      </c>
      <c r="FE7" s="955">
        <v>0</v>
      </c>
      <c r="FF7" s="955">
        <v>19.784476470588238</v>
      </c>
      <c r="FG7" s="955">
        <v>20.98711494867689</v>
      </c>
      <c r="FH7" s="955">
        <v>10.161704618487393</v>
      </c>
      <c r="FI7" s="955">
        <v>0</v>
      </c>
      <c r="FJ7" s="955">
        <v>14.806235294117648</v>
      </c>
      <c r="FK7" s="955">
        <v>12.058840506279241</v>
      </c>
      <c r="FL7" s="955">
        <v>0</v>
      </c>
      <c r="FM7" s="955">
        <v>0</v>
      </c>
      <c r="FN7" s="955">
        <v>67.686117647058836</v>
      </c>
      <c r="FO7" s="956">
        <v>183.1672673669984</v>
      </c>
      <c r="FP7" s="954">
        <v>24.535494957983193</v>
      </c>
      <c r="FQ7" s="955">
        <v>4.8545571522491073</v>
      </c>
      <c r="FR7" s="955">
        <v>15.228958823529414</v>
      </c>
      <c r="FS7" s="955">
        <v>16.772179624988965</v>
      </c>
      <c r="FT7" s="955">
        <v>20.562606722689075</v>
      </c>
      <c r="FU7" s="955">
        <v>2.6643354770862073</v>
      </c>
      <c r="FV7" s="955">
        <v>11.389411764705883</v>
      </c>
      <c r="FW7" s="955">
        <v>11.981760383354475</v>
      </c>
      <c r="FX7" s="955">
        <v>0</v>
      </c>
      <c r="FY7" s="955">
        <v>0</v>
      </c>
      <c r="FZ7" s="955">
        <v>53.020705882352956</v>
      </c>
      <c r="GA7" s="956">
        <v>108.07411956429431</v>
      </c>
      <c r="GB7" s="954">
        <v>18.92772196638656</v>
      </c>
      <c r="GC7" s="955">
        <v>3.3983461131566699</v>
      </c>
      <c r="GD7" s="955">
        <v>15.228958823529414</v>
      </c>
      <c r="GE7" s="955">
        <v>16.949889710520026</v>
      </c>
      <c r="GF7" s="955">
        <v>13.083113075361346</v>
      </c>
      <c r="GG7" s="955">
        <v>1.613555293213409</v>
      </c>
      <c r="GH7" s="955">
        <v>11.389411764705883</v>
      </c>
      <c r="GI7" s="955">
        <v>11.755658418386863</v>
      </c>
      <c r="GJ7" s="955">
        <v>0</v>
      </c>
      <c r="GK7" s="955">
        <v>0</v>
      </c>
      <c r="GL7" s="955">
        <v>53.020705882352956</v>
      </c>
      <c r="GM7" s="956">
        <v>113.23479154453408</v>
      </c>
      <c r="GN7" s="954">
        <v>18.665618655462186</v>
      </c>
      <c r="GO7" s="955">
        <v>0.88349124641924592</v>
      </c>
      <c r="GP7" s="955">
        <v>16.584767647058825</v>
      </c>
      <c r="GQ7" s="955">
        <v>15.575866430868839</v>
      </c>
      <c r="GR7" s="955">
        <v>12.898074129747901</v>
      </c>
      <c r="GS7" s="955">
        <v>8.6481741423327402E-2</v>
      </c>
      <c r="GT7" s="955">
        <v>12.406323529411765</v>
      </c>
      <c r="GU7" s="955">
        <v>9.6945628088246352</v>
      </c>
      <c r="GV7" s="955">
        <v>0</v>
      </c>
      <c r="GW7" s="955">
        <v>0</v>
      </c>
      <c r="GX7" s="955">
        <v>57.385411764705893</v>
      </c>
      <c r="GY7" s="956">
        <v>126.4287117347466</v>
      </c>
      <c r="GZ7" s="954">
        <v>18.541951260504202</v>
      </c>
      <c r="HA7" s="955">
        <v>6.9167143898698977E-2</v>
      </c>
      <c r="HB7" s="955">
        <v>16.639000000000003</v>
      </c>
      <c r="HC7" s="955">
        <v>19.908465922861613</v>
      </c>
      <c r="HD7" s="955">
        <v>12.814763643697479</v>
      </c>
      <c r="HE7" s="955">
        <v>0</v>
      </c>
      <c r="HF7" s="955">
        <v>12.447000000000001</v>
      </c>
      <c r="HG7" s="955">
        <v>13.14541247455008</v>
      </c>
      <c r="HH7" s="955">
        <v>0</v>
      </c>
      <c r="HI7" s="955">
        <v>0</v>
      </c>
      <c r="HJ7" s="955">
        <v>57.560000000000016</v>
      </c>
      <c r="HK7" s="956">
        <v>139.04266305124432</v>
      </c>
      <c r="HL7" s="954">
        <v>20.057001747899161</v>
      </c>
      <c r="HM7" s="955">
        <v>10.294341219624725</v>
      </c>
      <c r="HN7" s="955">
        <v>12.137714705882354</v>
      </c>
      <c r="HO7" s="955">
        <v>7.7876967176279912</v>
      </c>
      <c r="HP7" s="955">
        <v>14.938756372705882</v>
      </c>
      <c r="HQ7" s="955">
        <v>6.0697929438728373</v>
      </c>
      <c r="HR7" s="955">
        <v>9.0708529411764722</v>
      </c>
      <c r="HS7" s="955">
        <v>4.8949648397401759</v>
      </c>
      <c r="HT7" s="955">
        <v>31.715415126050424</v>
      </c>
      <c r="HU7" s="955">
        <v>3.8446833638866753</v>
      </c>
      <c r="HV7" s="955">
        <v>43.069176470588246</v>
      </c>
      <c r="HW7" s="956">
        <v>74.098133862650002</v>
      </c>
      <c r="HX7" s="954">
        <v>22.130090050420172</v>
      </c>
      <c r="HY7" s="955">
        <v>11.011345777103719</v>
      </c>
      <c r="HZ7" s="955">
        <v>11.866552941176472</v>
      </c>
      <c r="IA7" s="955">
        <v>7.0434849565305004</v>
      </c>
      <c r="IB7" s="955">
        <v>15.367945198252103</v>
      </c>
      <c r="IC7" s="955">
        <v>6.5894961186130612</v>
      </c>
      <c r="ID7" s="955">
        <v>8.8674705882352942</v>
      </c>
      <c r="IE7" s="955">
        <v>4.2537070473572873</v>
      </c>
      <c r="IF7" s="955">
        <v>34.812342857142859</v>
      </c>
      <c r="IG7" s="955">
        <v>4.7040596996397168</v>
      </c>
      <c r="IH7" s="955">
        <v>42.196235294117656</v>
      </c>
      <c r="II7" s="956">
        <v>73.471562915677765</v>
      </c>
      <c r="IJ7" s="954">
        <v>22.045429058823533</v>
      </c>
      <c r="IK7" s="955">
        <v>4.765665549795326</v>
      </c>
      <c r="IL7" s="955">
        <v>14.903564705882353</v>
      </c>
      <c r="IM7" s="955">
        <v>16.163387584511298</v>
      </c>
      <c r="IN7" s="955">
        <v>15.302919678117648</v>
      </c>
      <c r="IO7" s="955">
        <v>2.6130071067017635</v>
      </c>
      <c r="IP7" s="955">
        <v>11.145352941176471</v>
      </c>
      <c r="IQ7" s="955">
        <v>11.553278372402492</v>
      </c>
      <c r="IR7" s="955">
        <v>0</v>
      </c>
      <c r="IS7" s="955">
        <v>0</v>
      </c>
      <c r="IT7" s="955">
        <v>51.973176470588243</v>
      </c>
      <c r="IU7" s="956">
        <v>106.40113813085196</v>
      </c>
      <c r="IV7" s="954">
        <v>20.997987277310926</v>
      </c>
      <c r="IW7" s="955">
        <v>10.261095072296998</v>
      </c>
      <c r="IX7" s="955">
        <v>13.059664705882355</v>
      </c>
      <c r="IY7" s="955">
        <v>10.53843174202466</v>
      </c>
      <c r="IZ7" s="955">
        <v>15.339137785277313</v>
      </c>
      <c r="JA7" s="955">
        <v>6.0475571082326463</v>
      </c>
      <c r="JB7" s="955">
        <v>9.76235294117647</v>
      </c>
      <c r="JC7" s="955">
        <v>6.840751676672272</v>
      </c>
      <c r="JD7" s="955">
        <v>33.533485714285717</v>
      </c>
      <c r="JE7" s="955">
        <v>3.7292786849713631</v>
      </c>
      <c r="JF7" s="955">
        <v>46.03717647058825</v>
      </c>
      <c r="JG7" s="956">
        <v>84.038209670752437</v>
      </c>
      <c r="JH7" s="954">
        <v>19.295736134453787</v>
      </c>
      <c r="JI7" s="955">
        <v>0.64753386591504503</v>
      </c>
      <c r="JJ7" s="955">
        <v>16.639000000000003</v>
      </c>
      <c r="JK7" s="955">
        <v>11.975949593052032</v>
      </c>
      <c r="JL7" s="955">
        <v>13.351349754621848</v>
      </c>
      <c r="JM7" s="955">
        <v>0</v>
      </c>
      <c r="JN7" s="955">
        <v>12.447000000000001</v>
      </c>
      <c r="JO7" s="955">
        <v>6.6293695614484625</v>
      </c>
      <c r="JP7" s="955">
        <v>0</v>
      </c>
      <c r="JQ7" s="955">
        <v>0</v>
      </c>
      <c r="JR7" s="955">
        <v>57.560000000000016</v>
      </c>
      <c r="JS7" s="956">
        <v>120.34982362310598</v>
      </c>
      <c r="JT7" s="954">
        <v>18.252148470588239</v>
      </c>
      <c r="JU7" s="955">
        <v>6.0350062876776791</v>
      </c>
      <c r="JV7" s="955">
        <v>14.361241176470589</v>
      </c>
      <c r="JW7" s="955">
        <v>14.689848783647681</v>
      </c>
      <c r="JX7" s="955">
        <v>13.285895778420169</v>
      </c>
      <c r="JY7" s="955">
        <v>3.5349418503622525</v>
      </c>
      <c r="JZ7" s="955">
        <v>10.738588235294118</v>
      </c>
      <c r="KA7" s="955">
        <v>10.569575916520204</v>
      </c>
      <c r="KB7" s="955">
        <v>0</v>
      </c>
      <c r="KC7" s="955">
        <v>0</v>
      </c>
      <c r="KD7" s="955">
        <v>50.227294117647062</v>
      </c>
      <c r="KE7" s="956">
        <v>98.93089946133253</v>
      </c>
      <c r="KF7" s="954">
        <v>23.004855428571432</v>
      </c>
      <c r="KG7" s="955">
        <v>5.5890360450894434</v>
      </c>
      <c r="KH7" s="955">
        <v>15.066261764705883</v>
      </c>
      <c r="KI7" s="955">
        <v>15.131552751795383</v>
      </c>
      <c r="KJ7" s="955">
        <v>15.988818147495801</v>
      </c>
      <c r="KK7" s="955">
        <v>3.195058461997224</v>
      </c>
      <c r="KL7" s="955">
        <v>11.267382352941176</v>
      </c>
      <c r="KM7" s="955">
        <v>10.627825828851641</v>
      </c>
      <c r="KN7" s="955">
        <v>0</v>
      </c>
      <c r="KO7" s="955">
        <v>0</v>
      </c>
      <c r="KP7" s="955">
        <v>52.4969411764706</v>
      </c>
      <c r="KQ7" s="956">
        <v>102.71541402469379</v>
      </c>
      <c r="KR7" s="954">
        <v>20.637456655462191</v>
      </c>
      <c r="KS7" s="955">
        <v>1.9497475643835604</v>
      </c>
      <c r="KT7" s="955">
        <v>15.337423529411765</v>
      </c>
      <c r="KU7" s="955">
        <v>20.137755158416219</v>
      </c>
      <c r="KV7" s="955">
        <v>14.307915656336139</v>
      </c>
      <c r="KW7" s="955">
        <v>0.82932180946650702</v>
      </c>
      <c r="KX7" s="955">
        <v>11.470764705882353</v>
      </c>
      <c r="KY7" s="955">
        <v>14.554170071056257</v>
      </c>
      <c r="KZ7" s="955">
        <v>0</v>
      </c>
      <c r="LA7" s="955">
        <v>0</v>
      </c>
      <c r="LB7" s="955">
        <v>53.36988235294119</v>
      </c>
      <c r="LC7" s="956">
        <v>126.32034187830739</v>
      </c>
      <c r="LD7" s="954">
        <v>21.215134268907562</v>
      </c>
      <c r="LE7" s="955">
        <v>8.2203744535406962</v>
      </c>
      <c r="LF7" s="955">
        <v>13.764685294117649</v>
      </c>
      <c r="LG7" s="955">
        <v>11.157271232335315</v>
      </c>
      <c r="LH7" s="955">
        <v>14.713811434756304</v>
      </c>
      <c r="LI7" s="955">
        <v>4.5949918713490927</v>
      </c>
      <c r="LJ7" s="955">
        <v>10.29114705882353</v>
      </c>
      <c r="LK7" s="955">
        <v>7.6359251613178163</v>
      </c>
      <c r="LL7" s="955">
        <v>33.708322689075636</v>
      </c>
      <c r="LM7" s="955">
        <v>0.90313123172137366</v>
      </c>
      <c r="LN7" s="955">
        <v>48.306823529411773</v>
      </c>
      <c r="LO7" s="956">
        <v>86.442981814693724</v>
      </c>
      <c r="LP7" s="954">
        <v>15.649741596638655</v>
      </c>
      <c r="LQ7" s="955">
        <v>0.57296423169655775</v>
      </c>
      <c r="LR7" s="955">
        <v>15.662817647058827</v>
      </c>
      <c r="LS7" s="955">
        <v>17.445660379601364</v>
      </c>
      <c r="LT7" s="955">
        <v>11.411475899159663</v>
      </c>
      <c r="LU7" s="955">
        <v>4.2115440725349153E-2</v>
      </c>
      <c r="LV7" s="955">
        <v>11.714823529411765</v>
      </c>
      <c r="LW7" s="955">
        <v>11.310349579674385</v>
      </c>
      <c r="LX7" s="955">
        <v>0</v>
      </c>
      <c r="LY7" s="955">
        <v>0</v>
      </c>
      <c r="LZ7" s="955">
        <v>54.417411764705889</v>
      </c>
      <c r="MA7" s="956">
        <v>130.80427004717041</v>
      </c>
      <c r="MB7" s="954">
        <v>20.954002420168074</v>
      </c>
      <c r="MC7" s="955">
        <v>4.3874677099297807</v>
      </c>
      <c r="MD7" s="955">
        <v>15.825514705882355</v>
      </c>
      <c r="ME7" s="955">
        <v>16.35320560750754</v>
      </c>
      <c r="MF7" s="955">
        <v>14.786578021378155</v>
      </c>
      <c r="MG7" s="955">
        <v>2.3208635915853826</v>
      </c>
      <c r="MH7" s="955">
        <v>11.83685294117647</v>
      </c>
      <c r="MI7" s="955">
        <v>11.57950775977092</v>
      </c>
      <c r="MJ7" s="955">
        <v>0</v>
      </c>
      <c r="MK7" s="955">
        <v>0</v>
      </c>
      <c r="ML7" s="955">
        <v>54.941176470588253</v>
      </c>
      <c r="MM7" s="956">
        <v>108.41419766292864</v>
      </c>
      <c r="MN7" s="954">
        <v>17.870697058823531</v>
      </c>
      <c r="MO7" s="955">
        <v>0</v>
      </c>
      <c r="MP7" s="955">
        <v>20.977588235294125</v>
      </c>
      <c r="MQ7" s="955">
        <v>20.939086770517537</v>
      </c>
      <c r="MR7" s="955">
        <v>12.341020282352941</v>
      </c>
      <c r="MS7" s="955">
        <v>0</v>
      </c>
      <c r="MT7" s="955">
        <v>15.701117647058826</v>
      </c>
      <c r="MU7" s="955">
        <v>11.84818332092043</v>
      </c>
      <c r="MV7" s="955">
        <v>0</v>
      </c>
      <c r="MW7" s="955">
        <v>0</v>
      </c>
      <c r="MX7" s="955">
        <v>71.52705882352943</v>
      </c>
      <c r="MY7" s="956">
        <v>169.1324086948608</v>
      </c>
      <c r="MZ7" s="954">
        <v>16.303939495798328</v>
      </c>
      <c r="NA7" s="955">
        <v>0</v>
      </c>
      <c r="NB7" s="955">
        <v>17.344020588235296</v>
      </c>
      <c r="NC7" s="955">
        <v>20.811855705470848</v>
      </c>
      <c r="ND7" s="955">
        <v>11.222594608403364</v>
      </c>
      <c r="NE7" s="955">
        <v>0</v>
      </c>
      <c r="NF7" s="955">
        <v>12.975794117647059</v>
      </c>
      <c r="NG7" s="955">
        <v>13.196235762030408</v>
      </c>
      <c r="NH7" s="955">
        <v>0</v>
      </c>
      <c r="NI7" s="955">
        <v>0</v>
      </c>
      <c r="NJ7" s="955">
        <v>59.829647058823539</v>
      </c>
      <c r="NK7" s="956">
        <v>163.52826109747218</v>
      </c>
      <c r="NL7" s="954">
        <v>19.703574302521012</v>
      </c>
      <c r="NM7" s="955">
        <v>3.0491593290894419</v>
      </c>
      <c r="NN7" s="955">
        <v>16.476302941176474</v>
      </c>
      <c r="NO7" s="955">
        <v>15.995822676243254</v>
      </c>
      <c r="NP7" s="955">
        <v>13.640856832806724</v>
      </c>
      <c r="NQ7" s="955">
        <v>1.3763806329959196</v>
      </c>
      <c r="NR7" s="955">
        <v>12.324970588235294</v>
      </c>
      <c r="NS7" s="955">
        <v>10.873279923064313</v>
      </c>
      <c r="NT7" s="955">
        <v>0</v>
      </c>
      <c r="NU7" s="955">
        <v>0</v>
      </c>
      <c r="NV7" s="955">
        <v>57.036235294117652</v>
      </c>
      <c r="NW7" s="956">
        <v>113.27822694094425</v>
      </c>
      <c r="NX7" s="954">
        <v>19.30572196638656</v>
      </c>
      <c r="NY7" s="955">
        <v>4.8459882773583525</v>
      </c>
      <c r="NZ7" s="955">
        <v>15.500120588235296</v>
      </c>
      <c r="OA7" s="955">
        <v>17.592026598283248</v>
      </c>
      <c r="OB7" s="955">
        <v>13.353113075361346</v>
      </c>
      <c r="OC7" s="955">
        <v>2.6650533740738909</v>
      </c>
      <c r="OD7" s="955">
        <v>11.59279411764706</v>
      </c>
      <c r="OE7" s="955">
        <v>12.6164938327153</v>
      </c>
      <c r="OF7" s="955">
        <v>0</v>
      </c>
      <c r="OG7" s="955">
        <v>0</v>
      </c>
      <c r="OH7" s="955">
        <v>53.893647058823539</v>
      </c>
      <c r="OI7" s="956">
        <v>110.25308134023111</v>
      </c>
      <c r="OJ7" s="954">
        <v>19.939452100840342</v>
      </c>
      <c r="OK7" s="955">
        <v>0.38467462050328127</v>
      </c>
      <c r="OL7" s="955">
        <v>17.940576470588237</v>
      </c>
      <c r="OM7" s="955">
        <v>17.13128672252672</v>
      </c>
      <c r="ON7" s="955">
        <v>13.810231045378154</v>
      </c>
      <c r="OO7" s="955">
        <v>0</v>
      </c>
      <c r="OP7" s="955">
        <v>13.423235294117648</v>
      </c>
      <c r="OQ7" s="955">
        <v>10.487395946162225</v>
      </c>
      <c r="OR7" s="955">
        <v>0</v>
      </c>
      <c r="OS7" s="955">
        <v>0</v>
      </c>
      <c r="OT7" s="955">
        <v>61.750117647058843</v>
      </c>
      <c r="OU7" s="956">
        <v>134.22816871547107</v>
      </c>
      <c r="OV7" s="954">
        <v>20.074031092436979</v>
      </c>
      <c r="OW7" s="955">
        <v>7.3342413957927928</v>
      </c>
      <c r="OX7" s="955">
        <v>14.68663529411765</v>
      </c>
      <c r="OY7" s="955">
        <v>12.922564149212686</v>
      </c>
      <c r="OZ7" s="955">
        <v>14.022033303394961</v>
      </c>
      <c r="PA7" s="955">
        <v>4.0977363710979233</v>
      </c>
      <c r="PB7" s="955">
        <v>10.982647058823529</v>
      </c>
      <c r="PC7" s="955">
        <v>8.4975654535532605</v>
      </c>
      <c r="PD7" s="955">
        <v>31.604369747899167</v>
      </c>
      <c r="PE7" s="955">
        <v>0.12810919920652628</v>
      </c>
      <c r="PF7" s="955">
        <v>51.274823529411776</v>
      </c>
      <c r="PG7" s="956">
        <v>94.488470331417304</v>
      </c>
      <c r="PH7" s="954">
        <v>18.995282773109246</v>
      </c>
      <c r="PI7" s="955">
        <v>0</v>
      </c>
      <c r="PJ7" s="955">
        <v>20.218335294117651</v>
      </c>
      <c r="PK7" s="955">
        <v>20.954043537244857</v>
      </c>
      <c r="PL7" s="955">
        <v>13.136511253781515</v>
      </c>
      <c r="PM7" s="955">
        <v>0</v>
      </c>
      <c r="PN7" s="955">
        <v>15.131647058823532</v>
      </c>
      <c r="PO7" s="955">
        <v>12.957668045973289</v>
      </c>
      <c r="PP7" s="955">
        <v>0</v>
      </c>
      <c r="PQ7" s="955">
        <v>0</v>
      </c>
      <c r="PR7" s="955">
        <v>69.082823529411783</v>
      </c>
      <c r="PS7" s="956">
        <v>149.98252546064799</v>
      </c>
      <c r="PT7" s="954">
        <v>20.84895847058824</v>
      </c>
      <c r="PU7" s="955">
        <v>4.6319941587696549</v>
      </c>
      <c r="PV7" s="955">
        <v>15.662817647058827</v>
      </c>
      <c r="PW7" s="955">
        <v>13.873964718220876</v>
      </c>
      <c r="PX7" s="955">
        <v>15.445130262319331</v>
      </c>
      <c r="PY7" s="955">
        <v>2.4966359799221314</v>
      </c>
      <c r="PZ7" s="955">
        <v>11.714823529411765</v>
      </c>
      <c r="QA7" s="955">
        <v>9.5384004274236993</v>
      </c>
      <c r="QB7" s="955">
        <v>0</v>
      </c>
      <c r="QC7" s="955">
        <v>0</v>
      </c>
      <c r="QD7" s="955">
        <v>54.417411764705889</v>
      </c>
      <c r="QE7" s="956">
        <v>99.455633991621013</v>
      </c>
      <c r="QF7" s="954">
        <v>21.294149277310929</v>
      </c>
      <c r="QG7" s="955">
        <v>4.8802480290894437</v>
      </c>
      <c r="QH7" s="955">
        <v>15.391655882352945</v>
      </c>
      <c r="QI7" s="955">
        <v>16.614873880415377</v>
      </c>
      <c r="QJ7" s="955">
        <v>14.768468967798322</v>
      </c>
      <c r="QK7" s="955">
        <v>2.6811499136963923</v>
      </c>
      <c r="QL7" s="955">
        <v>11.511441176470591</v>
      </c>
      <c r="QM7" s="955">
        <v>11.751812755177669</v>
      </c>
      <c r="QN7" s="955">
        <v>0</v>
      </c>
      <c r="QO7" s="955">
        <v>0</v>
      </c>
      <c r="QP7" s="955">
        <v>53.544470588235306</v>
      </c>
      <c r="QQ7" s="956">
        <v>108.60632810289742</v>
      </c>
      <c r="QR7" s="954">
        <v>15.536350000000002</v>
      </c>
      <c r="QS7" s="955">
        <v>0</v>
      </c>
      <c r="QT7" s="955">
        <v>17.45248529411765</v>
      </c>
      <c r="QU7" s="955">
        <v>17.291227497921902</v>
      </c>
      <c r="QV7" s="955">
        <v>11.155651307563025</v>
      </c>
      <c r="QW7" s="955">
        <v>0</v>
      </c>
      <c r="QX7" s="955">
        <v>13.05714705882353</v>
      </c>
      <c r="QY7" s="955">
        <v>9.9556820108428532</v>
      </c>
      <c r="QZ7" s="955">
        <v>0</v>
      </c>
      <c r="RA7" s="955">
        <v>0</v>
      </c>
      <c r="RB7" s="955">
        <v>60.178823529411773</v>
      </c>
      <c r="RC7" s="956">
        <v>154.85397456589422</v>
      </c>
      <c r="RD7" s="954">
        <v>25.48819255462185</v>
      </c>
      <c r="RE7" s="955">
        <v>5.3714807746020492</v>
      </c>
      <c r="RF7" s="955">
        <v>15.608585294117649</v>
      </c>
      <c r="RG7" s="955">
        <v>15.336174351015099</v>
      </c>
      <c r="RH7" s="955">
        <v>20.878047092436976</v>
      </c>
      <c r="RI7" s="955">
        <v>3.0396370629672176</v>
      </c>
      <c r="RJ7" s="955">
        <v>11.674147058823529</v>
      </c>
      <c r="RK7" s="955">
        <v>10.669292949429204</v>
      </c>
      <c r="RL7" s="955">
        <v>0</v>
      </c>
      <c r="RM7" s="955">
        <v>0</v>
      </c>
      <c r="RN7" s="955">
        <v>54.242823529411773</v>
      </c>
      <c r="RO7" s="956">
        <v>104.33509593822018</v>
      </c>
      <c r="RP7" s="954">
        <v>20.553281394957988</v>
      </c>
      <c r="RQ7" s="955">
        <v>4.9837705373583496</v>
      </c>
      <c r="RR7" s="955">
        <v>15.500120588235296</v>
      </c>
      <c r="RS7" s="955">
        <v>14.853826963696013</v>
      </c>
      <c r="RT7" s="955">
        <v>14.240663435563025</v>
      </c>
      <c r="RU7" s="955">
        <v>2.7573988470164092</v>
      </c>
      <c r="RV7" s="955">
        <v>11.59279411764706</v>
      </c>
      <c r="RW7" s="955">
        <v>10.295092187550507</v>
      </c>
      <c r="RX7" s="955">
        <v>0</v>
      </c>
      <c r="RY7" s="955">
        <v>0</v>
      </c>
      <c r="RZ7" s="955">
        <v>53.893647058823539</v>
      </c>
      <c r="SA7" s="956">
        <v>103.48468160361931</v>
      </c>
    </row>
    <row r="8" spans="1:495">
      <c r="A8" s="952">
        <f>[3]Eingabedaten!A10</f>
        <v>1.02</v>
      </c>
      <c r="B8" s="953" t="str">
        <f>[3]Eingabedaten!C10</f>
        <v>Wohnen EFH</v>
      </c>
      <c r="C8" s="984">
        <f>C7+1</f>
        <v>2</v>
      </c>
      <c r="D8" s="954" cm="1">
        <f t="array" ref="D8">INDEX($P$7:$SA$51,$C8,$G$3-1+D$2)</f>
        <v>20.075569623529418</v>
      </c>
      <c r="E8" s="955" cm="1">
        <f t="array" ref="E8">INDEX($P$7:$SA$51,$C8,$G$3-1+E$2)</f>
        <v>1.9700502433015938</v>
      </c>
      <c r="F8" s="955" cm="1">
        <f t="array" ref="F8">INDEX($P$7:$SA$51,$C8,$G$3-1+F$2)</f>
        <v>19.009120588235294</v>
      </c>
      <c r="G8" s="955" cm="1">
        <f t="array" ref="G8">INDEX($P$7:$SA$51,$C8,$G$3-1+G$2)</f>
        <v>24.217696734376666</v>
      </c>
      <c r="H8" s="955" cm="1">
        <f t="array" ref="H8">INDEX($P$7:$SA$51,$C8,$G$3-1+H$2)</f>
        <v>14.053562640188236</v>
      </c>
      <c r="I8" s="955" cm="1">
        <f t="array" ref="I8">INDEX($P$7:$SA$51,$C8,$G$3-1+I$2)</f>
        <v>1.0097607654588956</v>
      </c>
      <c r="J8" s="955" cm="1">
        <f t="array" ref="J8">INDEX($P$7:$SA$51,$C8,$G$3-1+J$2)</f>
        <v>13.436911764705886</v>
      </c>
      <c r="K8" s="955" cm="1">
        <f t="array" ref="K8">INDEX($P$7:$SA$51,$C8,$G$3-1+K$2)</f>
        <v>15.880890965221152</v>
      </c>
      <c r="L8" s="955" cm="1">
        <f t="array" ref="L8">INDEX($P$7:$SA$51,$C8,$G$3-1+L$2)</f>
        <v>0</v>
      </c>
      <c r="M8" s="955" cm="1">
        <f t="array" ref="M8">INDEX($P$7:$SA$51,$C8,$G$3-1+M$2)</f>
        <v>0</v>
      </c>
      <c r="N8" s="955" cm="1">
        <f t="array" ref="N8">INDEX($P$7:$SA$51,$C8,$G$3-1+N$2)</f>
        <v>70.406588235294123</v>
      </c>
      <c r="O8" s="956" cm="1">
        <f t="array" ref="O8">INDEX($P$7:$SA$51,$C8,$G$3-1+O$2)</f>
        <v>164.9364473976139</v>
      </c>
      <c r="P8" s="954">
        <v>14.241471764705883</v>
      </c>
      <c r="Q8" s="955">
        <v>0</v>
      </c>
      <c r="R8" s="955">
        <v>20.770394117647061</v>
      </c>
      <c r="S8" s="955">
        <v>27.158145758151779</v>
      </c>
      <c r="T8" s="955">
        <v>11.374801101176471</v>
      </c>
      <c r="U8" s="955">
        <v>0</v>
      </c>
      <c r="V8" s="955">
        <v>14.709882352941181</v>
      </c>
      <c r="W8" s="955">
        <v>15.554489007241099</v>
      </c>
      <c r="X8" s="955">
        <v>0</v>
      </c>
      <c r="Y8" s="955">
        <v>0</v>
      </c>
      <c r="Z8" s="955">
        <v>76.51811764705883</v>
      </c>
      <c r="AA8" s="956">
        <v>222.20477530980222</v>
      </c>
      <c r="AB8" s="954">
        <v>21.722669741176475</v>
      </c>
      <c r="AC8" s="955">
        <v>1.9794607897863006</v>
      </c>
      <c r="AD8" s="955">
        <v>17.704473529411768</v>
      </c>
      <c r="AE8" s="955">
        <v>23.329374733184519</v>
      </c>
      <c r="AF8" s="955">
        <v>15.367010784376474</v>
      </c>
      <c r="AG8" s="955">
        <v>1.0132574104632464</v>
      </c>
      <c r="AH8" s="955">
        <v>12.493970588235296</v>
      </c>
      <c r="AI8" s="955">
        <v>15.539924248942684</v>
      </c>
      <c r="AJ8" s="955">
        <v>0</v>
      </c>
      <c r="AK8" s="955">
        <v>0</v>
      </c>
      <c r="AL8" s="955">
        <v>65.879529411764722</v>
      </c>
      <c r="AM8" s="956">
        <v>159.56791443868488</v>
      </c>
      <c r="AN8" s="954">
        <v>20.553340564705884</v>
      </c>
      <c r="AO8" s="955">
        <v>0.82642238624747844</v>
      </c>
      <c r="AP8" s="955">
        <v>17.769705882352945</v>
      </c>
      <c r="AQ8" s="955">
        <v>27.011424355125417</v>
      </c>
      <c r="AR8" s="955">
        <v>15.83752696094118</v>
      </c>
      <c r="AS8" s="955">
        <v>0.19180866673485644</v>
      </c>
      <c r="AT8" s="955">
        <v>12.541117647058828</v>
      </c>
      <c r="AU8" s="955">
        <v>18.821318325421259</v>
      </c>
      <c r="AV8" s="955">
        <v>0</v>
      </c>
      <c r="AW8" s="955">
        <v>0</v>
      </c>
      <c r="AX8" s="955">
        <v>66.105882352941194</v>
      </c>
      <c r="AY8" s="956">
        <v>170.08833129698084</v>
      </c>
      <c r="AZ8" s="954">
        <v>23.506220658823533</v>
      </c>
      <c r="BA8" s="955">
        <v>3.7741485541748898</v>
      </c>
      <c r="BB8" s="955">
        <v>18.356797058823535</v>
      </c>
      <c r="BC8" s="955">
        <v>20.912881330200822</v>
      </c>
      <c r="BD8" s="955">
        <v>16.480891386729414</v>
      </c>
      <c r="BE8" s="955">
        <v>2.1035804753166985</v>
      </c>
      <c r="BF8" s="955">
        <v>12.965441176470591</v>
      </c>
      <c r="BG8" s="955">
        <v>13.799392154202156</v>
      </c>
      <c r="BH8" s="955">
        <v>0</v>
      </c>
      <c r="BI8" s="955">
        <v>0</v>
      </c>
      <c r="BJ8" s="955">
        <v>68.143058823529429</v>
      </c>
      <c r="BK8" s="956">
        <v>148.9083295035698</v>
      </c>
      <c r="BL8" s="954">
        <v>20.567447458823533</v>
      </c>
      <c r="BM8" s="955">
        <v>2.0132855374192404</v>
      </c>
      <c r="BN8" s="955">
        <v>18.943888235294121</v>
      </c>
      <c r="BO8" s="955">
        <v>24.651207273371686</v>
      </c>
      <c r="BP8" s="955">
        <v>14.395162360094123</v>
      </c>
      <c r="BQ8" s="955">
        <v>1.0406431184000715</v>
      </c>
      <c r="BR8" s="955">
        <v>13.389764705882357</v>
      </c>
      <c r="BS8" s="955">
        <v>15.993090845659324</v>
      </c>
      <c r="BT8" s="955">
        <v>0</v>
      </c>
      <c r="BU8" s="955">
        <v>0</v>
      </c>
      <c r="BV8" s="955">
        <v>70.180235294117651</v>
      </c>
      <c r="BW8" s="956">
        <v>168.4092184443079</v>
      </c>
      <c r="BX8" s="954">
        <v>19.614368847058827</v>
      </c>
      <c r="BY8" s="955">
        <v>2.2528963136948899</v>
      </c>
      <c r="BZ8" s="955">
        <v>18.748191176470591</v>
      </c>
      <c r="CA8" s="955">
        <v>26.54536330329417</v>
      </c>
      <c r="CB8" s="955">
        <v>14.227033753600002</v>
      </c>
      <c r="CC8" s="955">
        <v>1.1209153915402268</v>
      </c>
      <c r="CD8" s="955">
        <v>13.24832352941177</v>
      </c>
      <c r="CE8" s="955">
        <v>18.09868833639106</v>
      </c>
      <c r="CF8" s="955">
        <v>0</v>
      </c>
      <c r="CG8" s="955">
        <v>0</v>
      </c>
      <c r="CH8" s="955">
        <v>69.501176470588248</v>
      </c>
      <c r="CI8" s="956">
        <v>166.83244683480623</v>
      </c>
      <c r="CJ8" s="954">
        <v>19.479630705882354</v>
      </c>
      <c r="CK8" s="955">
        <v>1.2039226908027705</v>
      </c>
      <c r="CL8" s="955">
        <v>18.813423529411764</v>
      </c>
      <c r="CM8" s="955">
        <v>21.724849610423142</v>
      </c>
      <c r="CN8" s="955">
        <v>13.605668977694119</v>
      </c>
      <c r="CO8" s="955">
        <v>0.46225803489553197</v>
      </c>
      <c r="CP8" s="955">
        <v>13.295470588235297</v>
      </c>
      <c r="CQ8" s="955">
        <v>13.677591075550787</v>
      </c>
      <c r="CR8" s="955">
        <v>0</v>
      </c>
      <c r="CS8" s="955">
        <v>0</v>
      </c>
      <c r="CT8" s="955">
        <v>69.727529411764721</v>
      </c>
      <c r="CU8" s="956">
        <v>161.77228072470052</v>
      </c>
      <c r="CV8" s="954">
        <v>13.27444823529412</v>
      </c>
      <c r="CW8" s="955">
        <v>0</v>
      </c>
      <c r="CX8" s="955">
        <v>22.662132352941178</v>
      </c>
      <c r="CY8" s="955">
        <v>29.962237035720769</v>
      </c>
      <c r="CZ8" s="955">
        <v>9.0369612423529411</v>
      </c>
      <c r="DA8" s="955">
        <v>0</v>
      </c>
      <c r="DB8" s="955">
        <v>16.077147058823535</v>
      </c>
      <c r="DC8" s="955">
        <v>16.659785148780575</v>
      </c>
      <c r="DD8" s="955">
        <v>0</v>
      </c>
      <c r="DE8" s="955">
        <v>0</v>
      </c>
      <c r="DF8" s="955">
        <v>83.082352941176509</v>
      </c>
      <c r="DG8" s="956">
        <v>247.76419561593616</v>
      </c>
      <c r="DH8" s="954">
        <v>18.206140870588236</v>
      </c>
      <c r="DI8" s="955">
        <v>0</v>
      </c>
      <c r="DJ8" s="955">
        <v>20.444232352941182</v>
      </c>
      <c r="DK8" s="955">
        <v>24.544780073911063</v>
      </c>
      <c r="DL8" s="955">
        <v>13.059551680752943</v>
      </c>
      <c r="DM8" s="955">
        <v>0</v>
      </c>
      <c r="DN8" s="955">
        <v>14.474147058823533</v>
      </c>
      <c r="DO8" s="955">
        <v>14.083006055239322</v>
      </c>
      <c r="DP8" s="955">
        <v>0</v>
      </c>
      <c r="DQ8" s="955">
        <v>0</v>
      </c>
      <c r="DR8" s="955">
        <v>75.386352941176483</v>
      </c>
      <c r="DS8" s="956">
        <v>204.99450693543687</v>
      </c>
      <c r="DT8" s="954">
        <v>19.756846752941179</v>
      </c>
      <c r="DU8" s="955">
        <v>0</v>
      </c>
      <c r="DV8" s="955">
        <v>21.422717647058825</v>
      </c>
      <c r="DW8" s="955">
        <v>33.754747375578198</v>
      </c>
      <c r="DX8" s="955">
        <v>13.852692822211768</v>
      </c>
      <c r="DY8" s="955">
        <v>0</v>
      </c>
      <c r="DZ8" s="955">
        <v>15.181352941176476</v>
      </c>
      <c r="EA8" s="955">
        <v>22.12822357743978</v>
      </c>
      <c r="EB8" s="955">
        <v>0</v>
      </c>
      <c r="EC8" s="955">
        <v>0</v>
      </c>
      <c r="ED8" s="955">
        <v>78.781647058823566</v>
      </c>
      <c r="EE8" s="956">
        <v>223.63448681436864</v>
      </c>
      <c r="EF8" s="954">
        <v>21.661028917647059</v>
      </c>
      <c r="EG8" s="955">
        <v>4.6654007946548894</v>
      </c>
      <c r="EH8" s="955">
        <v>16.856452941176471</v>
      </c>
      <c r="EI8" s="955">
        <v>20.070374510873048</v>
      </c>
      <c r="EJ8" s="955">
        <v>15.161679587011765</v>
      </c>
      <c r="EK8" s="955">
        <v>2.7356549014289202</v>
      </c>
      <c r="EL8" s="955">
        <v>11.881058823529415</v>
      </c>
      <c r="EM8" s="955">
        <v>13.240560440373415</v>
      </c>
      <c r="EN8" s="955">
        <v>0</v>
      </c>
      <c r="EO8" s="955">
        <v>0</v>
      </c>
      <c r="EP8" s="955">
        <v>62.936941176470597</v>
      </c>
      <c r="EQ8" s="956">
        <v>145.06164320077519</v>
      </c>
      <c r="ER8" s="954">
        <v>19.342480258823535</v>
      </c>
      <c r="ES8" s="955">
        <v>9.1153283260209231E-2</v>
      </c>
      <c r="ET8" s="955">
        <v>19.465747058823531</v>
      </c>
      <c r="EU8" s="955">
        <v>33.233702663108133</v>
      </c>
      <c r="EV8" s="955">
        <v>13.671869642917649</v>
      </c>
      <c r="EW8" s="955">
        <v>0</v>
      </c>
      <c r="EX8" s="955">
        <v>13.766941176470592</v>
      </c>
      <c r="EY8" s="955">
        <v>23.55174581580459</v>
      </c>
      <c r="EZ8" s="955">
        <v>0</v>
      </c>
      <c r="FA8" s="955">
        <v>0</v>
      </c>
      <c r="FB8" s="955">
        <v>71.991058823529428</v>
      </c>
      <c r="FC8" s="956">
        <v>192.11929293197278</v>
      </c>
      <c r="FD8" s="954">
        <v>12.224302352941177</v>
      </c>
      <c r="FE8" s="955">
        <v>0</v>
      </c>
      <c r="FF8" s="955">
        <v>24.162476470588235</v>
      </c>
      <c r="FG8" s="955">
        <v>35.08440378638344</v>
      </c>
      <c r="FH8" s="955">
        <v>9.5382061741176472</v>
      </c>
      <c r="FI8" s="955">
        <v>0</v>
      </c>
      <c r="FJ8" s="955">
        <v>17.161529411764711</v>
      </c>
      <c r="FK8" s="955">
        <v>19.346894023640864</v>
      </c>
      <c r="FL8" s="955">
        <v>0</v>
      </c>
      <c r="FM8" s="955">
        <v>0</v>
      </c>
      <c r="FN8" s="955">
        <v>88.288470588235313</v>
      </c>
      <c r="FO8" s="956">
        <v>294.13334216073679</v>
      </c>
      <c r="FP8" s="954">
        <v>23.953403529411766</v>
      </c>
      <c r="FQ8" s="955">
        <v>1.8344130899180651</v>
      </c>
      <c r="FR8" s="955">
        <v>18.682958823529415</v>
      </c>
      <c r="FS8" s="955">
        <v>26.712925061590621</v>
      </c>
      <c r="FT8" s="955">
        <v>19.989574117647059</v>
      </c>
      <c r="FU8" s="955">
        <v>0.9131458489634352</v>
      </c>
      <c r="FV8" s="955">
        <v>13.201176470588239</v>
      </c>
      <c r="FW8" s="955">
        <v>18.022219988892296</v>
      </c>
      <c r="FX8" s="955">
        <v>0</v>
      </c>
      <c r="FY8" s="955">
        <v>0</v>
      </c>
      <c r="FZ8" s="955">
        <v>69.274823529411776</v>
      </c>
      <c r="GA8" s="956">
        <v>170.05597592761598</v>
      </c>
      <c r="GB8" s="954">
        <v>18.290668023529417</v>
      </c>
      <c r="GC8" s="955">
        <v>0.84838459181924153</v>
      </c>
      <c r="GD8" s="955">
        <v>18.682958823529415</v>
      </c>
      <c r="GE8" s="955">
        <v>27.3750962456234</v>
      </c>
      <c r="GF8" s="955">
        <v>12.800551505694122</v>
      </c>
      <c r="GG8" s="955">
        <v>0.21125865932781834</v>
      </c>
      <c r="GH8" s="955">
        <v>13.201176470588239</v>
      </c>
      <c r="GI8" s="955">
        <v>18.090073819039429</v>
      </c>
      <c r="GJ8" s="955">
        <v>0</v>
      </c>
      <c r="GK8" s="955">
        <v>0</v>
      </c>
      <c r="GL8" s="955">
        <v>69.274823529411776</v>
      </c>
      <c r="GM8" s="956">
        <v>179.14361980046547</v>
      </c>
      <c r="GN8" s="954">
        <v>17.931188941176472</v>
      </c>
      <c r="GO8" s="955">
        <v>0</v>
      </c>
      <c r="GP8" s="955">
        <v>20.313767647058825</v>
      </c>
      <c r="GQ8" s="955">
        <v>27.025328921353164</v>
      </c>
      <c r="GR8" s="955">
        <v>12.557175420235296</v>
      </c>
      <c r="GS8" s="955">
        <v>0</v>
      </c>
      <c r="GT8" s="955">
        <v>14.379852941176473</v>
      </c>
      <c r="GU8" s="955">
        <v>16.185802466354097</v>
      </c>
      <c r="GV8" s="955">
        <v>0</v>
      </c>
      <c r="GW8" s="955">
        <v>0</v>
      </c>
      <c r="GX8" s="955">
        <v>74.933647058823553</v>
      </c>
      <c r="GY8" s="956">
        <v>204.80774945728581</v>
      </c>
      <c r="GZ8" s="954">
        <v>17.554134117647063</v>
      </c>
      <c r="HA8" s="955">
        <v>0</v>
      </c>
      <c r="HB8" s="955">
        <v>20.379000000000001</v>
      </c>
      <c r="HC8" s="955">
        <v>32.612559836130927</v>
      </c>
      <c r="HD8" s="955">
        <v>12.319423962352943</v>
      </c>
      <c r="HE8" s="955">
        <v>0</v>
      </c>
      <c r="HF8" s="955">
        <v>14.427000000000005</v>
      </c>
      <c r="HG8" s="955">
        <v>20.781828620730902</v>
      </c>
      <c r="HH8" s="955">
        <v>0</v>
      </c>
      <c r="HI8" s="955">
        <v>0</v>
      </c>
      <c r="HJ8" s="955">
        <v>75.160000000000025</v>
      </c>
      <c r="HK8" s="956">
        <v>221.57266942392002</v>
      </c>
      <c r="HL8" s="954">
        <v>19.517323576470591</v>
      </c>
      <c r="HM8" s="955">
        <v>6.3476353646313619</v>
      </c>
      <c r="HN8" s="955">
        <v>14.964714705882356</v>
      </c>
      <c r="HO8" s="955">
        <v>14.618678932907654</v>
      </c>
      <c r="HP8" s="955">
        <v>14.698621813835294</v>
      </c>
      <c r="HQ8" s="955">
        <v>3.9252866680010405</v>
      </c>
      <c r="HR8" s="955">
        <v>10.513794117647063</v>
      </c>
      <c r="HS8" s="955">
        <v>9.2022049066700387</v>
      </c>
      <c r="HT8" s="955">
        <v>33.103774117647063</v>
      </c>
      <c r="HU8" s="955">
        <v>0.37134787006320952</v>
      </c>
      <c r="HV8" s="955">
        <v>56.372705882352946</v>
      </c>
      <c r="HW8" s="956">
        <v>122.6662031462691</v>
      </c>
      <c r="HX8" s="954">
        <v>21.608116564705885</v>
      </c>
      <c r="HY8" s="955">
        <v>6.9356881077372448</v>
      </c>
      <c r="HZ8" s="955">
        <v>14.638552941176473</v>
      </c>
      <c r="IA8" s="955">
        <v>13.833583339608641</v>
      </c>
      <c r="IB8" s="955">
        <v>15.154327521129414</v>
      </c>
      <c r="IC8" s="955">
        <v>4.3434603298433698</v>
      </c>
      <c r="ID8" s="955">
        <v>10.278058823529415</v>
      </c>
      <c r="IE8" s="955">
        <v>8.4422360063415169</v>
      </c>
      <c r="IF8" s="955">
        <v>36.300254117647064</v>
      </c>
      <c r="IG8" s="955">
        <v>1.2458357444261776</v>
      </c>
      <c r="IH8" s="955">
        <v>55.240941176470599</v>
      </c>
      <c r="II8" s="956">
        <v>121.53510818897786</v>
      </c>
      <c r="IJ8" s="954">
        <v>21.727059458823533</v>
      </c>
      <c r="IK8" s="955">
        <v>1.8934806006663019</v>
      </c>
      <c r="IL8" s="955">
        <v>18.291564705882355</v>
      </c>
      <c r="IM8" s="955">
        <v>25.948674907178788</v>
      </c>
      <c r="IN8" s="955">
        <v>15.211279657035298</v>
      </c>
      <c r="IO8" s="955">
        <v>0.95238051864879603</v>
      </c>
      <c r="IP8" s="955">
        <v>12.918294117647061</v>
      </c>
      <c r="IQ8" s="955">
        <v>17.524926061384829</v>
      </c>
      <c r="IR8" s="955">
        <v>0</v>
      </c>
      <c r="IS8" s="955">
        <v>0</v>
      </c>
      <c r="IT8" s="955">
        <v>67.916705882352957</v>
      </c>
      <c r="IU8" s="956">
        <v>167.5963965436446</v>
      </c>
      <c r="IV8" s="954">
        <v>20.520275505882356</v>
      </c>
      <c r="IW8" s="955">
        <v>6.410328087294892</v>
      </c>
      <c r="IX8" s="955">
        <v>16.073664705882354</v>
      </c>
      <c r="IY8" s="955">
        <v>18.084055582848883</v>
      </c>
      <c r="IZ8" s="955">
        <v>15.109609979105885</v>
      </c>
      <c r="JA8" s="955">
        <v>3.9695556646707688</v>
      </c>
      <c r="JB8" s="955">
        <v>11.315294117647062</v>
      </c>
      <c r="JC8" s="955">
        <v>11.534705801542742</v>
      </c>
      <c r="JD8" s="955">
        <v>35.270277647058826</v>
      </c>
      <c r="JE8" s="955">
        <v>0.5214141460062679</v>
      </c>
      <c r="JF8" s="955">
        <v>60.220705882352945</v>
      </c>
      <c r="JG8" s="956">
        <v>135.77709579827453</v>
      </c>
      <c r="JH8" s="954">
        <v>18.332284705882355</v>
      </c>
      <c r="JI8" s="955">
        <v>0</v>
      </c>
      <c r="JJ8" s="955">
        <v>20.379000000000001</v>
      </c>
      <c r="JK8" s="955">
        <v>22.17524090230085</v>
      </c>
      <c r="JL8" s="955">
        <v>12.865330710588236</v>
      </c>
      <c r="JM8" s="955">
        <v>0</v>
      </c>
      <c r="JN8" s="955">
        <v>14.427000000000005</v>
      </c>
      <c r="JO8" s="955">
        <v>12.030786154431841</v>
      </c>
      <c r="JP8" s="955">
        <v>0</v>
      </c>
      <c r="JQ8" s="955">
        <v>0</v>
      </c>
      <c r="JR8" s="955">
        <v>75.160000000000025</v>
      </c>
      <c r="JS8" s="956">
        <v>201.48343435390342</v>
      </c>
      <c r="JT8" s="954">
        <v>17.623946870588235</v>
      </c>
      <c r="JU8" s="955">
        <v>3.1632831859395978</v>
      </c>
      <c r="JV8" s="955">
        <v>17.639241176470588</v>
      </c>
      <c r="JW8" s="955">
        <v>23.668620269711791</v>
      </c>
      <c r="JX8" s="955">
        <v>12.966210574305883</v>
      </c>
      <c r="JY8" s="955">
        <v>1.7217485943408726</v>
      </c>
      <c r="JZ8" s="955">
        <v>12.446823529411768</v>
      </c>
      <c r="KA8" s="955">
        <v>16.024958710966388</v>
      </c>
      <c r="KB8" s="955">
        <v>0</v>
      </c>
      <c r="KC8" s="955">
        <v>0</v>
      </c>
      <c r="KD8" s="955">
        <v>65.653176470588249</v>
      </c>
      <c r="KE8" s="956">
        <v>157.13917699129644</v>
      </c>
      <c r="KF8" s="954">
        <v>22.659928800000003</v>
      </c>
      <c r="KG8" s="955">
        <v>2.5388979599913606</v>
      </c>
      <c r="KH8" s="955">
        <v>18.487261764705885</v>
      </c>
      <c r="KI8" s="955">
        <v>24.256283134502784</v>
      </c>
      <c r="KJ8" s="955">
        <v>15.881267997364708</v>
      </c>
      <c r="KK8" s="955">
        <v>1.3251882891126698</v>
      </c>
      <c r="KL8" s="955">
        <v>13.059735294117651</v>
      </c>
      <c r="KM8" s="955">
        <v>16.049549915838032</v>
      </c>
      <c r="KN8" s="955">
        <v>0</v>
      </c>
      <c r="KO8" s="955">
        <v>0</v>
      </c>
      <c r="KP8" s="955">
        <v>68.595764705882374</v>
      </c>
      <c r="KQ8" s="956">
        <v>163.56347835630029</v>
      </c>
      <c r="KR8" s="954">
        <v>19.841060541176475</v>
      </c>
      <c r="KS8" s="955">
        <v>4.2967516342561969E-2</v>
      </c>
      <c r="KT8" s="955">
        <v>18.813423529411764</v>
      </c>
      <c r="KU8" s="955">
        <v>31.21070819431403</v>
      </c>
      <c r="KV8" s="955">
        <v>13.929893312376475</v>
      </c>
      <c r="KW8" s="955">
        <v>0</v>
      </c>
      <c r="KX8" s="955">
        <v>13.295470588235297</v>
      </c>
      <c r="KY8" s="955">
        <v>21.150837694250466</v>
      </c>
      <c r="KZ8" s="955">
        <v>0</v>
      </c>
      <c r="LA8" s="955">
        <v>0</v>
      </c>
      <c r="LB8" s="955">
        <v>69.727529411764721</v>
      </c>
      <c r="LC8" s="956">
        <v>198.33621435241901</v>
      </c>
      <c r="LD8" s="954">
        <v>20.719717811764706</v>
      </c>
      <c r="LE8" s="955">
        <v>4.6672320124431286</v>
      </c>
      <c r="LF8" s="955">
        <v>16.921685294117651</v>
      </c>
      <c r="LG8" s="955">
        <v>18.862571784821565</v>
      </c>
      <c r="LH8" s="955">
        <v>14.516103886682355</v>
      </c>
      <c r="LI8" s="955">
        <v>2.7372230088052305</v>
      </c>
      <c r="LJ8" s="955">
        <v>11.928205882352945</v>
      </c>
      <c r="LK8" s="955">
        <v>12.385598196413532</v>
      </c>
      <c r="LL8" s="955">
        <v>0</v>
      </c>
      <c r="LM8" s="955">
        <v>0</v>
      </c>
      <c r="LN8" s="955">
        <v>63.163294117647069</v>
      </c>
      <c r="LO8" s="956">
        <v>139.9718670931978</v>
      </c>
      <c r="LP8" s="954">
        <v>15.028055882352939</v>
      </c>
      <c r="LQ8" s="955">
        <v>0</v>
      </c>
      <c r="LR8" s="955">
        <v>19.204817647058828</v>
      </c>
      <c r="LS8" s="955">
        <v>29.368180467050493</v>
      </c>
      <c r="LT8" s="955">
        <v>10.888174305882353</v>
      </c>
      <c r="LU8" s="955">
        <v>0</v>
      </c>
      <c r="LV8" s="955">
        <v>13.578352941176474</v>
      </c>
      <c r="LW8" s="955">
        <v>18.344627174941117</v>
      </c>
      <c r="LX8" s="955">
        <v>0</v>
      </c>
      <c r="LY8" s="955">
        <v>0</v>
      </c>
      <c r="LZ8" s="955">
        <v>71.08564705882354</v>
      </c>
      <c r="MA8" s="956">
        <v>209.3086668938586</v>
      </c>
      <c r="MB8" s="954">
        <v>20.591371105882359</v>
      </c>
      <c r="MC8" s="955">
        <v>1.5396588985863009</v>
      </c>
      <c r="MD8" s="955">
        <v>19.400514705882358</v>
      </c>
      <c r="ME8" s="955">
        <v>26.249061132717131</v>
      </c>
      <c r="MF8" s="955">
        <v>14.567656967905886</v>
      </c>
      <c r="MG8" s="955">
        <v>0.70448849231874</v>
      </c>
      <c r="MH8" s="955">
        <v>13.719794117647062</v>
      </c>
      <c r="MI8" s="955">
        <v>17.591684754947117</v>
      </c>
      <c r="MJ8" s="955">
        <v>0</v>
      </c>
      <c r="MK8" s="955">
        <v>0</v>
      </c>
      <c r="ML8" s="955">
        <v>71.764705882352956</v>
      </c>
      <c r="MM8" s="956">
        <v>171.43143826425109</v>
      </c>
      <c r="MN8" s="954">
        <v>16.806737058823533</v>
      </c>
      <c r="MO8" s="955">
        <v>0</v>
      </c>
      <c r="MP8" s="955">
        <v>25.597588235294118</v>
      </c>
      <c r="MQ8" s="955">
        <v>34.642399166577668</v>
      </c>
      <c r="MR8" s="955">
        <v>11.816553609411764</v>
      </c>
      <c r="MS8" s="955">
        <v>0</v>
      </c>
      <c r="MT8" s="955">
        <v>18.198764705882358</v>
      </c>
      <c r="MU8" s="955">
        <v>19.189446273746125</v>
      </c>
      <c r="MV8" s="955">
        <v>0</v>
      </c>
      <c r="MW8" s="955">
        <v>0</v>
      </c>
      <c r="MX8" s="955">
        <v>93.268235294117687</v>
      </c>
      <c r="MY8" s="956">
        <v>270.59535382936315</v>
      </c>
      <c r="MZ8" s="954">
        <v>15.230842352941183</v>
      </c>
      <c r="NA8" s="955">
        <v>0</v>
      </c>
      <c r="NB8" s="955">
        <v>21.227020588235291</v>
      </c>
      <c r="NC8" s="955">
        <v>34.882135721003813</v>
      </c>
      <c r="ND8" s="955">
        <v>10.69463269647059</v>
      </c>
      <c r="NE8" s="955">
        <v>0</v>
      </c>
      <c r="NF8" s="955">
        <v>15.039911764705884</v>
      </c>
      <c r="NG8" s="955">
        <v>20.792803476423213</v>
      </c>
      <c r="NH8" s="955">
        <v>0</v>
      </c>
      <c r="NI8" s="955">
        <v>0</v>
      </c>
      <c r="NJ8" s="955">
        <v>78.102588235294135</v>
      </c>
      <c r="NK8" s="956">
        <v>256.67861260969477</v>
      </c>
      <c r="NL8" s="954">
        <v>18.907178188235296</v>
      </c>
      <c r="NM8" s="955">
        <v>0.5254452426804187</v>
      </c>
      <c r="NN8" s="955">
        <v>20.183302941176475</v>
      </c>
      <c r="NO8" s="955">
        <v>26.318083790551025</v>
      </c>
      <c r="NP8" s="955">
        <v>13.26283448884706</v>
      </c>
      <c r="NQ8" s="955">
        <v>1.7421341179890939E-2</v>
      </c>
      <c r="NR8" s="955">
        <v>14.285558823529415</v>
      </c>
      <c r="NS8" s="955">
        <v>16.969367939108519</v>
      </c>
      <c r="NT8" s="955">
        <v>0</v>
      </c>
      <c r="NU8" s="955">
        <v>0</v>
      </c>
      <c r="NV8" s="955">
        <v>74.480941176470594</v>
      </c>
      <c r="NW8" s="956">
        <v>180.70023976371928</v>
      </c>
      <c r="NX8" s="954">
        <v>18.668668023529417</v>
      </c>
      <c r="NY8" s="955">
        <v>1.8329418925721837</v>
      </c>
      <c r="NZ8" s="955">
        <v>19.009120588235294</v>
      </c>
      <c r="OA8" s="955">
        <v>27.821374605584577</v>
      </c>
      <c r="OB8" s="955">
        <v>13.070551505694121</v>
      </c>
      <c r="OC8" s="955">
        <v>0.91048240675972847</v>
      </c>
      <c r="OD8" s="955">
        <v>13.436911764705886</v>
      </c>
      <c r="OE8" s="955">
        <v>18.956956501697537</v>
      </c>
      <c r="OF8" s="955">
        <v>0</v>
      </c>
      <c r="OG8" s="955">
        <v>0</v>
      </c>
      <c r="OH8" s="955">
        <v>70.406588235294123</v>
      </c>
      <c r="OI8" s="956">
        <v>172.0753022476033</v>
      </c>
      <c r="OJ8" s="954">
        <v>18.988183529411767</v>
      </c>
      <c r="OK8" s="955">
        <v>0</v>
      </c>
      <c r="OL8" s="955">
        <v>21.944576470588235</v>
      </c>
      <c r="OM8" s="955">
        <v>28.57332671241425</v>
      </c>
      <c r="ON8" s="955">
        <v>13.328872320000002</v>
      </c>
      <c r="OO8" s="955">
        <v>0</v>
      </c>
      <c r="OP8" s="955">
        <v>15.558529411764709</v>
      </c>
      <c r="OQ8" s="955">
        <v>16.727983261729499</v>
      </c>
      <c r="OR8" s="955">
        <v>0</v>
      </c>
      <c r="OS8" s="955">
        <v>0</v>
      </c>
      <c r="OT8" s="955">
        <v>80.592470588235315</v>
      </c>
      <c r="OU8" s="956">
        <v>218.39409314484482</v>
      </c>
      <c r="OV8" s="954">
        <v>19.51664823529412</v>
      </c>
      <c r="OW8" s="955">
        <v>3.9104157433325377</v>
      </c>
      <c r="OX8" s="955">
        <v>18.030635294117651</v>
      </c>
      <c r="OY8" s="955">
        <v>21.294068715103219</v>
      </c>
      <c r="OZ8" s="955">
        <v>13.665292367058825</v>
      </c>
      <c r="PA8" s="955">
        <v>2.1982785558642135</v>
      </c>
      <c r="PB8" s="955">
        <v>12.729705882352945</v>
      </c>
      <c r="PC8" s="955">
        <v>13.548647182017914</v>
      </c>
      <c r="PD8" s="955">
        <v>0</v>
      </c>
      <c r="PE8" s="955">
        <v>0</v>
      </c>
      <c r="PF8" s="955">
        <v>67.011294117647068</v>
      </c>
      <c r="PG8" s="956">
        <v>151.65547181612672</v>
      </c>
      <c r="PH8" s="954">
        <v>18.034877058823533</v>
      </c>
      <c r="PI8" s="955">
        <v>0</v>
      </c>
      <c r="PJ8" s="955">
        <v>24.684335294117652</v>
      </c>
      <c r="PK8" s="955">
        <v>32.913495197140477</v>
      </c>
      <c r="PL8" s="955">
        <v>12.651657289411768</v>
      </c>
      <c r="PM8" s="955">
        <v>0</v>
      </c>
      <c r="PN8" s="955">
        <v>17.538705882352946</v>
      </c>
      <c r="PO8" s="955">
        <v>19.856767974485511</v>
      </c>
      <c r="PP8" s="955">
        <v>0</v>
      </c>
      <c r="PQ8" s="955">
        <v>0</v>
      </c>
      <c r="PR8" s="955">
        <v>90.099294117647091</v>
      </c>
      <c r="PS8" s="956">
        <v>242.5107552959291</v>
      </c>
      <c r="PT8" s="954">
        <v>20.954588870588239</v>
      </c>
      <c r="PU8" s="955">
        <v>1.6659319871321829</v>
      </c>
      <c r="PV8" s="955">
        <v>19.204817647058828</v>
      </c>
      <c r="PW8" s="955">
        <v>22.981145349970163</v>
      </c>
      <c r="PX8" s="955">
        <v>15.300456477741182</v>
      </c>
      <c r="PY8" s="955">
        <v>0.79092085266695344</v>
      </c>
      <c r="PZ8" s="955">
        <v>13.578352941176474</v>
      </c>
      <c r="QA8" s="955">
        <v>15.076822475739409</v>
      </c>
      <c r="QB8" s="955">
        <v>0</v>
      </c>
      <c r="QC8" s="955">
        <v>0</v>
      </c>
      <c r="QD8" s="955">
        <v>71.08564705882354</v>
      </c>
      <c r="QE8" s="956">
        <v>158.8006236819472</v>
      </c>
      <c r="QF8" s="954">
        <v>20.878403905882358</v>
      </c>
      <c r="QG8" s="955">
        <v>1.8163740772686539</v>
      </c>
      <c r="QH8" s="955">
        <v>18.878655882352945</v>
      </c>
      <c r="QI8" s="955">
        <v>26.463129069761258</v>
      </c>
      <c r="QJ8" s="955">
        <v>14.61849180687059</v>
      </c>
      <c r="QK8" s="955">
        <v>0.90079836891369036</v>
      </c>
      <c r="QL8" s="955">
        <v>13.342617647058827</v>
      </c>
      <c r="QM8" s="955">
        <v>17.630275686251863</v>
      </c>
      <c r="QN8" s="955">
        <v>0</v>
      </c>
      <c r="QO8" s="955">
        <v>0</v>
      </c>
      <c r="QP8" s="955">
        <v>69.953882352941193</v>
      </c>
      <c r="QQ8" s="956">
        <v>171.32251510456294</v>
      </c>
      <c r="QR8" s="954">
        <v>14.939030000000002</v>
      </c>
      <c r="QS8" s="955">
        <v>0</v>
      </c>
      <c r="QT8" s="955">
        <v>21.357485294117648</v>
      </c>
      <c r="QU8" s="955">
        <v>30.846870231800093</v>
      </c>
      <c r="QV8" s="955">
        <v>10.637010032941177</v>
      </c>
      <c r="QW8" s="955">
        <v>0</v>
      </c>
      <c r="QX8" s="955">
        <v>15.134205882352946</v>
      </c>
      <c r="QY8" s="955">
        <v>17.228834385274602</v>
      </c>
      <c r="QZ8" s="955">
        <v>0</v>
      </c>
      <c r="RA8" s="955">
        <v>0</v>
      </c>
      <c r="RB8" s="955">
        <v>78.55529411764708</v>
      </c>
      <c r="RC8" s="956">
        <v>246.0942078040182</v>
      </c>
      <c r="RD8" s="954">
        <v>25.275138611764707</v>
      </c>
      <c r="RE8" s="955">
        <v>2.3211354711725374</v>
      </c>
      <c r="RF8" s="955">
        <v>19.139585294117651</v>
      </c>
      <c r="RG8" s="955">
        <v>24.824098493735296</v>
      </c>
      <c r="RH8" s="955">
        <v>20.49559355294118</v>
      </c>
      <c r="RI8" s="955">
        <v>1.1800439608525024</v>
      </c>
      <c r="RJ8" s="955">
        <v>13.531205882352944</v>
      </c>
      <c r="RK8" s="955">
        <v>16.344668295438023</v>
      </c>
      <c r="RL8" s="955">
        <v>0</v>
      </c>
      <c r="RM8" s="955">
        <v>0</v>
      </c>
      <c r="RN8" s="955">
        <v>70.859294117647067</v>
      </c>
      <c r="RO8" s="956">
        <v>165.48540371006678</v>
      </c>
      <c r="RP8" s="954">
        <v>20.075569623529418</v>
      </c>
      <c r="RQ8" s="955">
        <v>1.9700502433015938</v>
      </c>
      <c r="RR8" s="955">
        <v>19.009120588235294</v>
      </c>
      <c r="RS8" s="955">
        <v>24.217696734376666</v>
      </c>
      <c r="RT8" s="955">
        <v>14.053562640188236</v>
      </c>
      <c r="RU8" s="955">
        <v>1.0097607654588956</v>
      </c>
      <c r="RV8" s="955">
        <v>13.436911764705886</v>
      </c>
      <c r="RW8" s="955">
        <v>15.880890965221152</v>
      </c>
      <c r="RX8" s="955">
        <v>0</v>
      </c>
      <c r="RY8" s="955">
        <v>0</v>
      </c>
      <c r="RZ8" s="955">
        <v>70.406588235294123</v>
      </c>
      <c r="SA8" s="956">
        <v>164.9364473976139</v>
      </c>
    </row>
    <row r="9" spans="1:495">
      <c r="A9" s="957">
        <f>[3]Eingabedaten!A11</f>
        <v>2.0099999999999998</v>
      </c>
      <c r="B9" s="958" t="str">
        <f>[3]Eingabedaten!C11</f>
        <v xml:space="preserve">Hotelzimmer </v>
      </c>
      <c r="C9" s="985">
        <f t="shared" ref="C9:C51" si="1">C8+1</f>
        <v>3</v>
      </c>
      <c r="D9" s="954" cm="1">
        <f t="array" ref="D9">INDEX($P$7:$SA$51,$C9,$G$3-1+D$2)</f>
        <v>21.769929411764707</v>
      </c>
      <c r="E9" s="955" cm="1">
        <f t="array" ref="E9">INDEX($P$7:$SA$51,$C9,$G$3-1+E$2)</f>
        <v>6.171230830811707</v>
      </c>
      <c r="F9" s="955" cm="1">
        <f t="array" ref="F9">INDEX($P$7:$SA$51,$C9,$G$3-1+F$2)</f>
        <v>15.500120588235296</v>
      </c>
      <c r="G9" s="955" cm="1">
        <f t="array" ref="G9">INDEX($P$7:$SA$51,$C9,$G$3-1+G$2)</f>
        <v>16.01682655712278</v>
      </c>
      <c r="H9" s="955" cm="1">
        <f t="array" ref="H9">INDEX($P$7:$SA$51,$C9,$G$3-1+H$2)</f>
        <v>14.746732330039215</v>
      </c>
      <c r="I9" s="955" cm="1">
        <f t="array" ref="I9">INDEX($P$7:$SA$51,$C9,$G$3-1+I$2)</f>
        <v>4.0834655005850102</v>
      </c>
      <c r="J9" s="955" cm="1">
        <f t="array" ref="J9">INDEX($P$7:$SA$51,$C9,$G$3-1+J$2)</f>
        <v>11.59279411764706</v>
      </c>
      <c r="K9" s="955" cm="1">
        <f t="array" ref="K9">INDEX($P$7:$SA$51,$C9,$G$3-1+K$2)</f>
        <v>10.473669295744653</v>
      </c>
      <c r="L9" s="955" cm="1">
        <f t="array" ref="L9">INDEX($P$7:$SA$51,$C9,$G$3-1+L$2)</f>
        <v>0</v>
      </c>
      <c r="M9" s="955" cm="1">
        <f t="array" ref="M9">INDEX($P$7:$SA$51,$C9,$G$3-1+M$2)</f>
        <v>0</v>
      </c>
      <c r="N9" s="955" cm="1">
        <f t="array" ref="N9">INDEX($P$7:$SA$51,$C9,$G$3-1+N$2)</f>
        <v>48.78964705882354</v>
      </c>
      <c r="O9" s="956" cm="1">
        <f t="array" ref="O9">INDEX($P$7:$SA$51,$C9,$G$3-1+O$2)</f>
        <v>102.50188967825707</v>
      </c>
      <c r="P9" s="954">
        <v>14.893408823529414</v>
      </c>
      <c r="Q9" s="955">
        <v>0</v>
      </c>
      <c r="R9" s="955">
        <v>16.964394117647061</v>
      </c>
      <c r="S9" s="955">
        <v>16.900630540042975</v>
      </c>
      <c r="T9" s="955">
        <v>12.395252941176469</v>
      </c>
      <c r="U9" s="955">
        <v>0</v>
      </c>
      <c r="V9" s="955">
        <v>12.691058823529412</v>
      </c>
      <c r="W9" s="955">
        <v>9.3889239926069088</v>
      </c>
      <c r="X9" s="955">
        <v>0</v>
      </c>
      <c r="Y9" s="955">
        <v>0</v>
      </c>
      <c r="Z9" s="955">
        <v>53.071529411764715</v>
      </c>
      <c r="AA9" s="956">
        <v>136.73166903476474</v>
      </c>
      <c r="AB9" s="954">
        <v>23.167008941176473</v>
      </c>
      <c r="AC9" s="955">
        <v>6.2286997515175901</v>
      </c>
      <c r="AD9" s="955">
        <v>14.415473529411766</v>
      </c>
      <c r="AE9" s="955">
        <v>15.225900792313643</v>
      </c>
      <c r="AF9" s="955">
        <v>16.011769281254907</v>
      </c>
      <c r="AG9" s="955">
        <v>4.1403086034045105</v>
      </c>
      <c r="AH9" s="955">
        <v>10.779264705882355</v>
      </c>
      <c r="AI9" s="955">
        <v>10.099006081205676</v>
      </c>
      <c r="AJ9" s="955">
        <v>0</v>
      </c>
      <c r="AK9" s="955">
        <v>0</v>
      </c>
      <c r="AL9" s="955">
        <v>45.617882352941187</v>
      </c>
      <c r="AM9" s="956">
        <v>98.511311363220472</v>
      </c>
      <c r="AN9" s="954">
        <v>23.418160274509805</v>
      </c>
      <c r="AO9" s="955">
        <v>4.5725348467332774</v>
      </c>
      <c r="AP9" s="955">
        <v>14.469705882352944</v>
      </c>
      <c r="AQ9" s="955">
        <v>17.872233291212513</v>
      </c>
      <c r="AR9" s="955">
        <v>15.893941176470591</v>
      </c>
      <c r="AS9" s="955">
        <v>2.9473471670553311</v>
      </c>
      <c r="AT9" s="955">
        <v>10.819941176470589</v>
      </c>
      <c r="AU9" s="955">
        <v>12.363164763547903</v>
      </c>
      <c r="AV9" s="955">
        <v>0</v>
      </c>
      <c r="AW9" s="955">
        <v>0</v>
      </c>
      <c r="AX9" s="955">
        <v>45.776470588235298</v>
      </c>
      <c r="AY9" s="956">
        <v>106.12661283165167</v>
      </c>
      <c r="AZ9" s="954">
        <v>24.960259058823535</v>
      </c>
      <c r="BA9" s="955">
        <v>8.5265102346478585</v>
      </c>
      <c r="BB9" s="955">
        <v>14.957797058823532</v>
      </c>
      <c r="BC9" s="955">
        <v>13.434036401045724</v>
      </c>
      <c r="BD9" s="955">
        <v>17.171861485176471</v>
      </c>
      <c r="BE9" s="955">
        <v>5.5244690658940332</v>
      </c>
      <c r="BF9" s="955">
        <v>11.186029411764707</v>
      </c>
      <c r="BG9" s="955">
        <v>8.7237972762634683</v>
      </c>
      <c r="BH9" s="955">
        <v>41.940658823529418</v>
      </c>
      <c r="BI9" s="955">
        <v>1.0719961796089115</v>
      </c>
      <c r="BJ9" s="955">
        <v>47.203764705882357</v>
      </c>
      <c r="BK9" s="956">
        <v>91.148690285109268</v>
      </c>
      <c r="BL9" s="954">
        <v>22.013865058823537</v>
      </c>
      <c r="BM9" s="955">
        <v>6.1860975025764127</v>
      </c>
      <c r="BN9" s="955">
        <v>15.44588823529412</v>
      </c>
      <c r="BO9" s="955">
        <v>16.358868413888068</v>
      </c>
      <c r="BP9" s="955">
        <v>15.087405906196084</v>
      </c>
      <c r="BQ9" s="955">
        <v>4.0932704346422213</v>
      </c>
      <c r="BR9" s="955">
        <v>11.552117647058823</v>
      </c>
      <c r="BS9" s="955">
        <v>10.588412488585469</v>
      </c>
      <c r="BT9" s="955">
        <v>0</v>
      </c>
      <c r="BU9" s="955">
        <v>0</v>
      </c>
      <c r="BV9" s="955">
        <v>48.631058823529422</v>
      </c>
      <c r="BW9" s="956">
        <v>104.94939192236116</v>
      </c>
      <c r="BX9" s="954">
        <v>21.06702164705883</v>
      </c>
      <c r="BY9" s="955">
        <v>6.5811703859049109</v>
      </c>
      <c r="BZ9" s="955">
        <v>15.283191176470591</v>
      </c>
      <c r="CA9" s="955">
        <v>17.811547214933544</v>
      </c>
      <c r="CB9" s="955">
        <v>14.52249411764706</v>
      </c>
      <c r="CC9" s="955">
        <v>4.3479935394080025</v>
      </c>
      <c r="CD9" s="955">
        <v>11.430088235294118</v>
      </c>
      <c r="CE9" s="955">
        <v>12.158772001120827</v>
      </c>
      <c r="CF9" s="955">
        <v>0</v>
      </c>
      <c r="CG9" s="955">
        <v>0</v>
      </c>
      <c r="CH9" s="955">
        <v>48.155294117647074</v>
      </c>
      <c r="CI9" s="956">
        <v>105.29833049098559</v>
      </c>
      <c r="CJ9" s="954">
        <v>22.33442450980392</v>
      </c>
      <c r="CK9" s="955">
        <v>5.1621509409685702</v>
      </c>
      <c r="CL9" s="955">
        <v>15.337423529411765</v>
      </c>
      <c r="CM9" s="955">
        <v>13.840953965830478</v>
      </c>
      <c r="CN9" s="955">
        <v>14.26359711372549</v>
      </c>
      <c r="CO9" s="955">
        <v>3.3659777567503331</v>
      </c>
      <c r="CP9" s="955">
        <v>11.470764705882353</v>
      </c>
      <c r="CQ9" s="955">
        <v>8.5246351054992466</v>
      </c>
      <c r="CR9" s="955">
        <v>0</v>
      </c>
      <c r="CS9" s="955">
        <v>0</v>
      </c>
      <c r="CT9" s="955">
        <v>48.313882352941185</v>
      </c>
      <c r="CU9" s="956">
        <v>98.668176416436893</v>
      </c>
      <c r="CV9" s="954">
        <v>14.143500000000005</v>
      </c>
      <c r="CW9" s="955">
        <v>0</v>
      </c>
      <c r="CX9" s="955">
        <v>18.537132352941178</v>
      </c>
      <c r="CY9" s="955">
        <v>19.950006786597761</v>
      </c>
      <c r="CZ9" s="955">
        <v>10.225229411764705</v>
      </c>
      <c r="DA9" s="955">
        <v>0</v>
      </c>
      <c r="DB9" s="955">
        <v>13.870676470588236</v>
      </c>
      <c r="DC9" s="955">
        <v>10.931606643625029</v>
      </c>
      <c r="DD9" s="955">
        <v>0</v>
      </c>
      <c r="DE9" s="955">
        <v>0</v>
      </c>
      <c r="DF9" s="955">
        <v>57.670588235294133</v>
      </c>
      <c r="DG9" s="956">
        <v>154.11097291613507</v>
      </c>
      <c r="DH9" s="954">
        <v>19.441944588235298</v>
      </c>
      <c r="DI9" s="955">
        <v>0.82818630822562289</v>
      </c>
      <c r="DJ9" s="955">
        <v>16.693232352941177</v>
      </c>
      <c r="DK9" s="955">
        <v>15.258091309049366</v>
      </c>
      <c r="DL9" s="955">
        <v>13.428564705882357</v>
      </c>
      <c r="DM9" s="955">
        <v>0.33275117255734471</v>
      </c>
      <c r="DN9" s="955">
        <v>12.487676470588235</v>
      </c>
      <c r="DO9" s="955">
        <v>8.5260341398578205</v>
      </c>
      <c r="DP9" s="955">
        <v>0</v>
      </c>
      <c r="DQ9" s="955">
        <v>0</v>
      </c>
      <c r="DR9" s="955">
        <v>52.278588235294123</v>
      </c>
      <c r="DS9" s="956">
        <v>123.94493742356755</v>
      </c>
      <c r="DT9" s="954">
        <v>21.182480352941184</v>
      </c>
      <c r="DU9" s="955">
        <v>0.15637824579424986</v>
      </c>
      <c r="DV9" s="955">
        <v>17.506717647058828</v>
      </c>
      <c r="DW9" s="955">
        <v>23.247115945660443</v>
      </c>
      <c r="DX9" s="955">
        <v>14.548409407372551</v>
      </c>
      <c r="DY9" s="955">
        <v>0</v>
      </c>
      <c r="DZ9" s="955">
        <v>13.097823529411766</v>
      </c>
      <c r="EA9" s="955">
        <v>15.250964828891219</v>
      </c>
      <c r="EB9" s="955">
        <v>0</v>
      </c>
      <c r="EC9" s="955">
        <v>0</v>
      </c>
      <c r="ED9" s="955">
        <v>54.657411764705898</v>
      </c>
      <c r="EE9" s="956">
        <v>139.9900990775717</v>
      </c>
      <c r="EF9" s="954">
        <v>23.350423921568627</v>
      </c>
      <c r="EG9" s="955">
        <v>9.9102179528831531</v>
      </c>
      <c r="EH9" s="955">
        <v>13.710452941176474</v>
      </c>
      <c r="EI9" s="955">
        <v>12.959465059476244</v>
      </c>
      <c r="EJ9" s="955">
        <v>15.852533917490195</v>
      </c>
      <c r="EK9" s="955">
        <v>6.5327775932570491</v>
      </c>
      <c r="EL9" s="955">
        <v>10.250470588235295</v>
      </c>
      <c r="EM9" s="955">
        <v>8.3730100551272759</v>
      </c>
      <c r="EN9" s="955">
        <v>39.384015686274509</v>
      </c>
      <c r="EO9" s="955">
        <v>2.7452154182232915</v>
      </c>
      <c r="EP9" s="955">
        <v>43.556235294117656</v>
      </c>
      <c r="EQ9" s="956">
        <v>88.78321260208935</v>
      </c>
      <c r="ER9" s="954">
        <v>23.079478509803927</v>
      </c>
      <c r="ES9" s="955">
        <v>3.424821131399943</v>
      </c>
      <c r="ET9" s="955">
        <v>15.879747058823533</v>
      </c>
      <c r="EU9" s="955">
        <v>22.990971575590837</v>
      </c>
      <c r="EV9" s="955">
        <v>14.507710013071897</v>
      </c>
      <c r="EW9" s="955">
        <v>2.1050548840519725</v>
      </c>
      <c r="EX9" s="955">
        <v>11.877529411764707</v>
      </c>
      <c r="EY9" s="955">
        <v>16.189965021083736</v>
      </c>
      <c r="EZ9" s="955">
        <v>0</v>
      </c>
      <c r="FA9" s="955">
        <v>0</v>
      </c>
      <c r="FB9" s="955">
        <v>49.899764705882362</v>
      </c>
      <c r="FC9" s="956">
        <v>122.76610327039856</v>
      </c>
      <c r="FD9" s="954">
        <v>14.439088235294122</v>
      </c>
      <c r="FE9" s="955">
        <v>0</v>
      </c>
      <c r="FF9" s="955">
        <v>19.784476470588238</v>
      </c>
      <c r="FG9" s="955">
        <v>24.571630840606964</v>
      </c>
      <c r="FH9" s="955">
        <v>9.7300993254901975</v>
      </c>
      <c r="FI9" s="955">
        <v>0</v>
      </c>
      <c r="FJ9" s="955">
        <v>14.806235294117648</v>
      </c>
      <c r="FK9" s="955">
        <v>13.602390534050421</v>
      </c>
      <c r="FL9" s="955">
        <v>0</v>
      </c>
      <c r="FM9" s="955">
        <v>0</v>
      </c>
      <c r="FN9" s="955">
        <v>61.318117647058834</v>
      </c>
      <c r="FO9" s="956">
        <v>186.9682771352536</v>
      </c>
      <c r="FP9" s="954">
        <v>21.584790196078433</v>
      </c>
      <c r="FQ9" s="955">
        <v>6.0362989406548451</v>
      </c>
      <c r="FR9" s="955">
        <v>15.228958823529414</v>
      </c>
      <c r="FS9" s="955">
        <v>17.982361721260109</v>
      </c>
      <c r="FT9" s="955">
        <v>19.253105160784315</v>
      </c>
      <c r="FU9" s="955">
        <v>3.9862443246009924</v>
      </c>
      <c r="FV9" s="955">
        <v>11.389411764705883</v>
      </c>
      <c r="FW9" s="955">
        <v>12.168751291207984</v>
      </c>
      <c r="FX9" s="955">
        <v>0</v>
      </c>
      <c r="FY9" s="955">
        <v>0</v>
      </c>
      <c r="FZ9" s="955">
        <v>47.996705882352956</v>
      </c>
      <c r="GA9" s="956">
        <v>107.11946918764367</v>
      </c>
      <c r="GB9" s="954">
        <v>19.719072823529416</v>
      </c>
      <c r="GC9" s="955">
        <v>4.5009511704195511</v>
      </c>
      <c r="GD9" s="955">
        <v>15.228958823529414</v>
      </c>
      <c r="GE9" s="955">
        <v>18.328519481432952</v>
      </c>
      <c r="GF9" s="955">
        <v>13.495805018980395</v>
      </c>
      <c r="GG9" s="955">
        <v>2.8779254698544166</v>
      </c>
      <c r="GH9" s="955">
        <v>11.389411764705883</v>
      </c>
      <c r="GI9" s="955">
        <v>12.052171058852577</v>
      </c>
      <c r="GJ9" s="955">
        <v>0</v>
      </c>
      <c r="GK9" s="955">
        <v>0</v>
      </c>
      <c r="GL9" s="955">
        <v>47.996705882352956</v>
      </c>
      <c r="GM9" s="956">
        <v>112.18037011709002</v>
      </c>
      <c r="GN9" s="954">
        <v>19.35197294117647</v>
      </c>
      <c r="GO9" s="955">
        <v>1.3826445045001308</v>
      </c>
      <c r="GP9" s="955">
        <v>16.584767647058825</v>
      </c>
      <c r="GQ9" s="955">
        <v>17.408767428248805</v>
      </c>
      <c r="GR9" s="955">
        <v>13.253702381176472</v>
      </c>
      <c r="GS9" s="955">
        <v>0.72458646910784086</v>
      </c>
      <c r="GT9" s="955">
        <v>12.406323529411765</v>
      </c>
      <c r="GU9" s="955">
        <v>10.251553316830307</v>
      </c>
      <c r="GV9" s="955">
        <v>0</v>
      </c>
      <c r="GW9" s="955">
        <v>0</v>
      </c>
      <c r="GX9" s="955">
        <v>51.961411764705886</v>
      </c>
      <c r="GY9" s="956">
        <v>126.00277709986831</v>
      </c>
      <c r="GZ9" s="954">
        <v>19.083360784313726</v>
      </c>
      <c r="HA9" s="955">
        <v>0.4694803952452295</v>
      </c>
      <c r="HB9" s="955">
        <v>16.639000000000003</v>
      </c>
      <c r="HC9" s="955">
        <v>21.891464017971348</v>
      </c>
      <c r="HD9" s="955">
        <v>13.109083796078432</v>
      </c>
      <c r="HE9" s="955">
        <v>6.0548828860996648E-2</v>
      </c>
      <c r="HF9" s="955">
        <v>12.447000000000001</v>
      </c>
      <c r="HG9" s="955">
        <v>13.746799886314941</v>
      </c>
      <c r="HH9" s="955">
        <v>0</v>
      </c>
      <c r="HI9" s="955">
        <v>0</v>
      </c>
      <c r="HJ9" s="955">
        <v>52.120000000000012</v>
      </c>
      <c r="HK9" s="956">
        <v>138.57715646259049</v>
      </c>
      <c r="HL9" s="954">
        <v>21.657030392156866</v>
      </c>
      <c r="HM9" s="955">
        <v>12.650177824490999</v>
      </c>
      <c r="HN9" s="955">
        <v>12.137714705882354</v>
      </c>
      <c r="HO9" s="955">
        <v>8.2668001363558616</v>
      </c>
      <c r="HP9" s="955">
        <v>14.948111764705883</v>
      </c>
      <c r="HQ9" s="955">
        <v>8.5521446160744006</v>
      </c>
      <c r="HR9" s="955">
        <v>9.0708529411764722</v>
      </c>
      <c r="HS9" s="955">
        <v>4.7564032346992269</v>
      </c>
      <c r="HT9" s="955">
        <v>34.179262745098043</v>
      </c>
      <c r="HU9" s="955">
        <v>5.9935946566546674</v>
      </c>
      <c r="HV9" s="955">
        <v>38.957176470588244</v>
      </c>
      <c r="HW9" s="956">
        <v>72.252312542016242</v>
      </c>
      <c r="HX9" s="954">
        <v>23.045527764705884</v>
      </c>
      <c r="HY9" s="955">
        <v>13.423445092922371</v>
      </c>
      <c r="HZ9" s="955">
        <v>11.866552941176472</v>
      </c>
      <c r="IA9" s="955">
        <v>7.5401473678071955</v>
      </c>
      <c r="IB9" s="955">
        <v>15.848076050823529</v>
      </c>
      <c r="IC9" s="955">
        <v>9.112755237473138</v>
      </c>
      <c r="ID9" s="955">
        <v>8.8674705882352942</v>
      </c>
      <c r="IE9" s="955">
        <v>4.1635289139247771</v>
      </c>
      <c r="IF9" s="955">
        <v>37.324800000000003</v>
      </c>
      <c r="IG9" s="955">
        <v>7.1185307698662346</v>
      </c>
      <c r="IH9" s="955">
        <v>38.16423529411766</v>
      </c>
      <c r="II9" s="956">
        <v>71.586252421807401</v>
      </c>
      <c r="IJ9" s="954">
        <v>23.180405058823535</v>
      </c>
      <c r="IK9" s="955">
        <v>6.0379810794391595</v>
      </c>
      <c r="IL9" s="955">
        <v>14.903564705882353</v>
      </c>
      <c r="IM9" s="955">
        <v>17.286747438214149</v>
      </c>
      <c r="IN9" s="955">
        <v>15.902365523450984</v>
      </c>
      <c r="IO9" s="955">
        <v>4.0007702371979565</v>
      </c>
      <c r="IP9" s="955">
        <v>11.145352941176471</v>
      </c>
      <c r="IQ9" s="955">
        <v>11.689228405684164</v>
      </c>
      <c r="IR9" s="955">
        <v>0</v>
      </c>
      <c r="IS9" s="955">
        <v>0</v>
      </c>
      <c r="IT9" s="955">
        <v>47.045176470588238</v>
      </c>
      <c r="IU9" s="956">
        <v>105.01126836114506</v>
      </c>
      <c r="IV9" s="954">
        <v>22.447323529411769</v>
      </c>
      <c r="IW9" s="955">
        <v>12.628184219353745</v>
      </c>
      <c r="IX9" s="955">
        <v>13.059664705882355</v>
      </c>
      <c r="IY9" s="955">
        <v>11.346022747761712</v>
      </c>
      <c r="IZ9" s="955">
        <v>15.523461709803923</v>
      </c>
      <c r="JA9" s="955">
        <v>8.5380902697659131</v>
      </c>
      <c r="JB9" s="955">
        <v>9.76235294117647</v>
      </c>
      <c r="JC9" s="955">
        <v>6.8897792902356159</v>
      </c>
      <c r="JD9" s="955">
        <v>36.16746666666667</v>
      </c>
      <c r="JE9" s="955">
        <v>6.1010986547289772</v>
      </c>
      <c r="JF9" s="955">
        <v>41.653176470588242</v>
      </c>
      <c r="JG9" s="956">
        <v>82.759402096190044</v>
      </c>
      <c r="JH9" s="954">
        <v>20.119964705882357</v>
      </c>
      <c r="JI9" s="955">
        <v>1.0895020735197392</v>
      </c>
      <c r="JJ9" s="955">
        <v>16.639000000000003</v>
      </c>
      <c r="JK9" s="955">
        <v>13.790441740851705</v>
      </c>
      <c r="JL9" s="955">
        <v>13.834310211764706</v>
      </c>
      <c r="JM9" s="955">
        <v>0.50678647397354049</v>
      </c>
      <c r="JN9" s="955">
        <v>12.447000000000001</v>
      </c>
      <c r="JO9" s="955">
        <v>7.2241023226584247</v>
      </c>
      <c r="JP9" s="955">
        <v>0</v>
      </c>
      <c r="JQ9" s="955">
        <v>0</v>
      </c>
      <c r="JR9" s="955">
        <v>52.120000000000012</v>
      </c>
      <c r="JS9" s="956">
        <v>120.43228174297731</v>
      </c>
      <c r="JT9" s="954">
        <v>21.43123235294118</v>
      </c>
      <c r="JU9" s="955">
        <v>7.6616652411576638</v>
      </c>
      <c r="JV9" s="955">
        <v>14.361241176470589</v>
      </c>
      <c r="JW9" s="955">
        <v>15.623387033370484</v>
      </c>
      <c r="JX9" s="955">
        <v>13.353611764705883</v>
      </c>
      <c r="JY9" s="955">
        <v>5.0111803024789126</v>
      </c>
      <c r="JZ9" s="955">
        <v>10.738588235294118</v>
      </c>
      <c r="KA9" s="955">
        <v>10.59018244979549</v>
      </c>
      <c r="KB9" s="955">
        <v>30.680988235294119</v>
      </c>
      <c r="KC9" s="955">
        <v>0.9736868369945334</v>
      </c>
      <c r="KD9" s="955">
        <v>45.459294117647069</v>
      </c>
      <c r="KE9" s="956">
        <v>97.605821156097804</v>
      </c>
      <c r="KF9" s="954">
        <v>24.111196000000003</v>
      </c>
      <c r="KG9" s="955">
        <v>6.8161569380666105</v>
      </c>
      <c r="KH9" s="955">
        <v>15.066261764705883</v>
      </c>
      <c r="KI9" s="955">
        <v>16.283989977544053</v>
      </c>
      <c r="KJ9" s="955">
        <v>16.572701167686276</v>
      </c>
      <c r="KK9" s="955">
        <v>4.549961512390678</v>
      </c>
      <c r="KL9" s="955">
        <v>11.267382352941176</v>
      </c>
      <c r="KM9" s="955">
        <v>10.801919158812748</v>
      </c>
      <c r="KN9" s="955">
        <v>0</v>
      </c>
      <c r="KO9" s="955">
        <v>0</v>
      </c>
      <c r="KP9" s="955">
        <v>47.520941176470593</v>
      </c>
      <c r="KQ9" s="956">
        <v>101.91519358916013</v>
      </c>
      <c r="KR9" s="954">
        <v>21.25699494117648</v>
      </c>
      <c r="KS9" s="955">
        <v>2.8940791593607269</v>
      </c>
      <c r="KT9" s="955">
        <v>15.337423529411765</v>
      </c>
      <c r="KU9" s="955">
        <v>21.670824272486442</v>
      </c>
      <c r="KV9" s="955">
        <v>14.627230649098042</v>
      </c>
      <c r="KW9" s="955">
        <v>1.7068759956553827</v>
      </c>
      <c r="KX9" s="955">
        <v>11.470764705882353</v>
      </c>
      <c r="KY9" s="955">
        <v>14.861920182750204</v>
      </c>
      <c r="KZ9" s="955">
        <v>0</v>
      </c>
      <c r="LA9" s="955">
        <v>0</v>
      </c>
      <c r="LB9" s="955">
        <v>48.313882352941185</v>
      </c>
      <c r="LC9" s="956">
        <v>125.45040092978242</v>
      </c>
      <c r="LD9" s="954">
        <v>23.147214862745098</v>
      </c>
      <c r="LE9" s="955">
        <v>10.169828264216488</v>
      </c>
      <c r="LF9" s="955">
        <v>13.764685294117649</v>
      </c>
      <c r="LG9" s="955">
        <v>11.856071272161318</v>
      </c>
      <c r="LH9" s="955">
        <v>15.209505112470591</v>
      </c>
      <c r="LI9" s="955">
        <v>6.720683018773701</v>
      </c>
      <c r="LJ9" s="955">
        <v>10.29114705882353</v>
      </c>
      <c r="LK9" s="955">
        <v>7.553365294609641</v>
      </c>
      <c r="LL9" s="955">
        <v>36.293694117647064</v>
      </c>
      <c r="LM9" s="955">
        <v>2.8158036535174147</v>
      </c>
      <c r="LN9" s="955">
        <v>43.714823529411774</v>
      </c>
      <c r="LO9" s="956">
        <v>85.197799510821326</v>
      </c>
      <c r="LP9" s="954">
        <v>16.267888235294116</v>
      </c>
      <c r="LQ9" s="955">
        <v>1.1636135705393464</v>
      </c>
      <c r="LR9" s="955">
        <v>15.662817647058827</v>
      </c>
      <c r="LS9" s="955">
        <v>19.242620086048426</v>
      </c>
      <c r="LT9" s="955">
        <v>11.965176470588235</v>
      </c>
      <c r="LU9" s="955">
        <v>0.58159587308742766</v>
      </c>
      <c r="LV9" s="955">
        <v>11.714823529411765</v>
      </c>
      <c r="LW9" s="955">
        <v>11.822485980758373</v>
      </c>
      <c r="LX9" s="955">
        <v>0</v>
      </c>
      <c r="LY9" s="955">
        <v>0</v>
      </c>
      <c r="LZ9" s="955">
        <v>49.265411764705895</v>
      </c>
      <c r="MA9" s="956">
        <v>129.67001168103306</v>
      </c>
      <c r="MB9" s="954">
        <v>23.079478509803927</v>
      </c>
      <c r="MC9" s="955">
        <v>5.4959757401450418</v>
      </c>
      <c r="MD9" s="955">
        <v>15.825514705882355</v>
      </c>
      <c r="ME9" s="955">
        <v>17.549283605231764</v>
      </c>
      <c r="MF9" s="955">
        <v>15.097826891294119</v>
      </c>
      <c r="MG9" s="955">
        <v>3.5895256970561356</v>
      </c>
      <c r="MH9" s="955">
        <v>11.83685294117647</v>
      </c>
      <c r="MI9" s="955">
        <v>11.759333462268181</v>
      </c>
      <c r="MJ9" s="955">
        <v>0</v>
      </c>
      <c r="MK9" s="955">
        <v>0</v>
      </c>
      <c r="ML9" s="955">
        <v>49.741176470588243</v>
      </c>
      <c r="MM9" s="956">
        <v>107.29537450295652</v>
      </c>
      <c r="MN9" s="954">
        <v>17.528297058823529</v>
      </c>
      <c r="MO9" s="955">
        <v>0</v>
      </c>
      <c r="MP9" s="955">
        <v>20.977588235294125</v>
      </c>
      <c r="MQ9" s="955">
        <v>24.446808171465904</v>
      </c>
      <c r="MR9" s="955">
        <v>12.045839482352942</v>
      </c>
      <c r="MS9" s="955">
        <v>0</v>
      </c>
      <c r="MT9" s="955">
        <v>15.701117647058826</v>
      </c>
      <c r="MU9" s="955">
        <v>13.451196605374518</v>
      </c>
      <c r="MV9" s="955">
        <v>0</v>
      </c>
      <c r="MW9" s="955">
        <v>0</v>
      </c>
      <c r="MX9" s="955">
        <v>64.807058823529431</v>
      </c>
      <c r="MY9" s="956">
        <v>171.24100659934388</v>
      </c>
      <c r="MZ9" s="954">
        <v>15.917223529411766</v>
      </c>
      <c r="NA9" s="955">
        <v>0</v>
      </c>
      <c r="NB9" s="955">
        <v>17.344020588235296</v>
      </c>
      <c r="NC9" s="955">
        <v>23.474327475288767</v>
      </c>
      <c r="ND9" s="955">
        <v>10.96849411764706</v>
      </c>
      <c r="NE9" s="955">
        <v>0</v>
      </c>
      <c r="NF9" s="955">
        <v>12.975794117647059</v>
      </c>
      <c r="NG9" s="955">
        <v>14.09169713570795</v>
      </c>
      <c r="NH9" s="955">
        <v>0</v>
      </c>
      <c r="NI9" s="955">
        <v>0</v>
      </c>
      <c r="NJ9" s="955">
        <v>54.181647058823543</v>
      </c>
      <c r="NK9" s="956">
        <v>163.63123487286836</v>
      </c>
      <c r="NL9" s="954">
        <v>20.323112588235297</v>
      </c>
      <c r="NM9" s="955">
        <v>3.993490924066609</v>
      </c>
      <c r="NN9" s="955">
        <v>16.476302941176474</v>
      </c>
      <c r="NO9" s="955">
        <v>17.408280651528592</v>
      </c>
      <c r="NP9" s="955">
        <v>13.960171825568629</v>
      </c>
      <c r="NQ9" s="955">
        <v>2.4921701133024423</v>
      </c>
      <c r="NR9" s="955">
        <v>12.324970588235294</v>
      </c>
      <c r="NS9" s="955">
        <v>11.1907479373318</v>
      </c>
      <c r="NT9" s="955">
        <v>0</v>
      </c>
      <c r="NU9" s="955">
        <v>0</v>
      </c>
      <c r="NV9" s="955">
        <v>51.644235294117657</v>
      </c>
      <c r="NW9" s="956">
        <v>112.44146473454968</v>
      </c>
      <c r="NX9" s="954">
        <v>20.30224215686275</v>
      </c>
      <c r="NY9" s="955">
        <v>6.0786432074783745</v>
      </c>
      <c r="NZ9" s="955">
        <v>15.500120588235296</v>
      </c>
      <c r="OA9" s="955">
        <v>18.819431806237901</v>
      </c>
      <c r="OB9" s="955">
        <v>13.765805018980394</v>
      </c>
      <c r="OC9" s="955">
        <v>4.0239801077452313</v>
      </c>
      <c r="OD9" s="955">
        <v>11.59279411764706</v>
      </c>
      <c r="OE9" s="955">
        <v>12.810129769273896</v>
      </c>
      <c r="OF9" s="955">
        <v>0</v>
      </c>
      <c r="OG9" s="955">
        <v>0</v>
      </c>
      <c r="OH9" s="955">
        <v>48.78964705882354</v>
      </c>
      <c r="OI9" s="956">
        <v>109.1546601074723</v>
      </c>
      <c r="OJ9" s="954">
        <v>20.905090196078437</v>
      </c>
      <c r="OK9" s="955">
        <v>0.86667236344130805</v>
      </c>
      <c r="OL9" s="955">
        <v>17.940576470588237</v>
      </c>
      <c r="OM9" s="955">
        <v>19.453535370051263</v>
      </c>
      <c r="ON9" s="955">
        <v>14.387511654901962</v>
      </c>
      <c r="OO9" s="955">
        <v>0.35351117644990399</v>
      </c>
      <c r="OP9" s="955">
        <v>13.423235294117648</v>
      </c>
      <c r="OQ9" s="955">
        <v>11.401453537573278</v>
      </c>
      <c r="OR9" s="955">
        <v>0</v>
      </c>
      <c r="OS9" s="955">
        <v>0</v>
      </c>
      <c r="OT9" s="955">
        <v>55.926117647058831</v>
      </c>
      <c r="OU9" s="956">
        <v>134.46375180384953</v>
      </c>
      <c r="OV9" s="954">
        <v>22.221525490196083</v>
      </c>
      <c r="OW9" s="955">
        <v>9.2386850377066807</v>
      </c>
      <c r="OX9" s="955">
        <v>14.68663529411765</v>
      </c>
      <c r="OY9" s="955">
        <v>14.065251667217254</v>
      </c>
      <c r="OZ9" s="955">
        <v>14.359503968627454</v>
      </c>
      <c r="PA9" s="955">
        <v>6.0489592275370621</v>
      </c>
      <c r="PB9" s="955">
        <v>10.982647058823529</v>
      </c>
      <c r="PC9" s="955">
        <v>8.7419273701965086</v>
      </c>
      <c r="PD9" s="955">
        <v>34.019607843137265</v>
      </c>
      <c r="PE9" s="955">
        <v>1.2121722349291708</v>
      </c>
      <c r="PF9" s="955">
        <v>46.410823529411772</v>
      </c>
      <c r="PG9" s="956">
        <v>93.839490841703835</v>
      </c>
      <c r="PH9" s="954">
        <v>19.854863725490198</v>
      </c>
      <c r="PI9" s="955">
        <v>0.15373400164222159</v>
      </c>
      <c r="PJ9" s="955">
        <v>20.218335294117651</v>
      </c>
      <c r="PK9" s="955">
        <v>23.761443821038775</v>
      </c>
      <c r="PL9" s="955">
        <v>13.643051749019609</v>
      </c>
      <c r="PM9" s="955">
        <v>0</v>
      </c>
      <c r="PN9" s="955">
        <v>15.131647058823532</v>
      </c>
      <c r="PO9" s="955">
        <v>14.209739351308752</v>
      </c>
      <c r="PP9" s="955">
        <v>0</v>
      </c>
      <c r="PQ9" s="955">
        <v>0</v>
      </c>
      <c r="PR9" s="955">
        <v>62.586823529411781</v>
      </c>
      <c r="PS9" s="956">
        <v>151.25045065277033</v>
      </c>
      <c r="PT9" s="954">
        <v>24.298732862745098</v>
      </c>
      <c r="PU9" s="955">
        <v>6.0938420144539309</v>
      </c>
      <c r="PV9" s="955">
        <v>15.662817647058827</v>
      </c>
      <c r="PW9" s="955">
        <v>14.914911109321734</v>
      </c>
      <c r="PX9" s="955">
        <v>15.42727848366013</v>
      </c>
      <c r="PY9" s="955">
        <v>3.9003293592138037</v>
      </c>
      <c r="PZ9" s="955">
        <v>11.714823529411765</v>
      </c>
      <c r="QA9" s="955">
        <v>9.6530637939474637</v>
      </c>
      <c r="QB9" s="955">
        <v>0</v>
      </c>
      <c r="QC9" s="955">
        <v>0</v>
      </c>
      <c r="QD9" s="955">
        <v>49.265411764705895</v>
      </c>
      <c r="QE9" s="956">
        <v>98.09319206555729</v>
      </c>
      <c r="QF9" s="954">
        <v>22.324128705882359</v>
      </c>
      <c r="QG9" s="955">
        <v>6.0505528073999431</v>
      </c>
      <c r="QH9" s="955">
        <v>15.391655882352945</v>
      </c>
      <c r="QI9" s="955">
        <v>17.90044529735313</v>
      </c>
      <c r="QJ9" s="955">
        <v>15.310851120941178</v>
      </c>
      <c r="QK9" s="955">
        <v>3.9947431491035443</v>
      </c>
      <c r="QL9" s="955">
        <v>11.511441176470591</v>
      </c>
      <c r="QM9" s="955">
        <v>11.99549978931431</v>
      </c>
      <c r="QN9" s="955">
        <v>0</v>
      </c>
      <c r="QO9" s="955">
        <v>0</v>
      </c>
      <c r="QP9" s="955">
        <v>48.472470588235304</v>
      </c>
      <c r="QQ9" s="956">
        <v>107.800359561314</v>
      </c>
      <c r="QR9" s="954">
        <v>14.125650000000002</v>
      </c>
      <c r="QS9" s="955">
        <v>0</v>
      </c>
      <c r="QT9" s="955">
        <v>17.45248529411765</v>
      </c>
      <c r="QU9" s="955">
        <v>19.889456061501289</v>
      </c>
      <c r="QV9" s="955">
        <v>11.638611764705882</v>
      </c>
      <c r="QW9" s="955">
        <v>0</v>
      </c>
      <c r="QX9" s="955">
        <v>13.05714705882353</v>
      </c>
      <c r="QY9" s="955">
        <v>10.907482486126399</v>
      </c>
      <c r="QZ9" s="955">
        <v>0</v>
      </c>
      <c r="RA9" s="955">
        <v>0</v>
      </c>
      <c r="RB9" s="955">
        <v>54.49882352941178</v>
      </c>
      <c r="RC9" s="956">
        <v>154.61924535593559</v>
      </c>
      <c r="RD9" s="954">
        <v>22.999543411764712</v>
      </c>
      <c r="RE9" s="955">
        <v>6.6086682211205963</v>
      </c>
      <c r="RF9" s="955">
        <v>15.608585294117649</v>
      </c>
      <c r="RG9" s="955">
        <v>16.541140166444347</v>
      </c>
      <c r="RH9" s="955">
        <v>19.731099136627456</v>
      </c>
      <c r="RI9" s="955">
        <v>4.3944059905847412</v>
      </c>
      <c r="RJ9" s="955">
        <v>11.674147058823529</v>
      </c>
      <c r="RK9" s="955">
        <v>10.873741271682162</v>
      </c>
      <c r="RL9" s="955">
        <v>0</v>
      </c>
      <c r="RM9" s="955">
        <v>0</v>
      </c>
      <c r="RN9" s="955">
        <v>49.106823529411777</v>
      </c>
      <c r="RO9" s="956">
        <v>103.48554721624807</v>
      </c>
      <c r="RP9" s="954">
        <v>21.769929411764707</v>
      </c>
      <c r="RQ9" s="955">
        <v>6.171230830811707</v>
      </c>
      <c r="RR9" s="955">
        <v>15.500120588235296</v>
      </c>
      <c r="RS9" s="955">
        <v>16.01682655712278</v>
      </c>
      <c r="RT9" s="955">
        <v>14.746732330039215</v>
      </c>
      <c r="RU9" s="955">
        <v>4.0834655005850102</v>
      </c>
      <c r="RV9" s="955">
        <v>11.59279411764706</v>
      </c>
      <c r="RW9" s="955">
        <v>10.473669295744653</v>
      </c>
      <c r="RX9" s="955">
        <v>0</v>
      </c>
      <c r="RY9" s="955">
        <v>0</v>
      </c>
      <c r="RZ9" s="955">
        <v>48.78964705882354</v>
      </c>
      <c r="SA9" s="956">
        <v>102.50188967825707</v>
      </c>
    </row>
    <row r="10" spans="1:495">
      <c r="A10" s="959">
        <f>[3]Eingabedaten!A12</f>
        <v>2.02</v>
      </c>
      <c r="B10" s="960" t="str">
        <f>[3]Eingabedaten!C12</f>
        <v>Empfang, Lobby</v>
      </c>
      <c r="C10" s="986">
        <f t="shared" si="1"/>
        <v>4</v>
      </c>
      <c r="D10" s="954" cm="1">
        <f t="array" ref="D10">INDEX($P$7:$SA$51,$C10,$G$3-1+D$2)</f>
        <v>41.711546771241842</v>
      </c>
      <c r="E10" s="955" cm="1">
        <f t="array" ref="E10">INDEX($P$7:$SA$51,$C10,$G$3-1+E$2)</f>
        <v>20.63311217112328</v>
      </c>
      <c r="F10" s="955" cm="1">
        <f t="array" ref="F10">INDEX($P$7:$SA$51,$C10,$G$3-1+F$2)</f>
        <v>14.852167320261438</v>
      </c>
      <c r="G10" s="955" cm="1">
        <f t="array" ref="G10">INDEX($P$7:$SA$51,$C10,$G$3-1+G$2)</f>
        <v>9.9544986308410159</v>
      </c>
      <c r="H10" s="955" cm="1">
        <f t="array" ref="H10">INDEX($P$7:$SA$51,$C10,$G$3-1+H$2)</f>
        <v>32.945477228758172</v>
      </c>
      <c r="I10" s="955" cm="1">
        <f t="array" ref="I10">INDEX($P$7:$SA$51,$C10,$G$3-1+I$2)</f>
        <v>16.739145452144246</v>
      </c>
      <c r="J10" s="955" cm="1">
        <f t="array" ref="J10">INDEX($P$7:$SA$51,$C10,$G$3-1+J$2)</f>
        <v>11.84407843137255</v>
      </c>
      <c r="K10" s="955" cm="1">
        <f t="array" ref="K10">INDEX($P$7:$SA$51,$C10,$G$3-1+K$2)</f>
        <v>4.2585957132921832</v>
      </c>
      <c r="L10" s="955" cm="1">
        <f t="array" ref="L10">INDEX($P$7:$SA$51,$C10,$G$3-1+L$2)</f>
        <v>60.058373856209151</v>
      </c>
      <c r="M10" s="955" cm="1">
        <f t="array" ref="M10">INDEX($P$7:$SA$51,$C10,$G$3-1+M$2)</f>
        <v>8.8984902707223377</v>
      </c>
      <c r="N10" s="955" cm="1">
        <f t="array" ref="N10">INDEX($P$7:$SA$51,$C10,$G$3-1+N$2)</f>
        <v>39.164554248366009</v>
      </c>
      <c r="O10" s="956" cm="1">
        <f t="array" ref="O10">INDEX($P$7:$SA$51,$C10,$G$3-1+O$2)</f>
        <v>59.359122937777826</v>
      </c>
      <c r="P10" s="954">
        <v>24.400909803921571</v>
      </c>
      <c r="Q10" s="955">
        <v>5.6579770248811823</v>
      </c>
      <c r="R10" s="955">
        <v>16.238237908496732</v>
      </c>
      <c r="S10" s="955">
        <v>10.945270017565695</v>
      </c>
      <c r="T10" s="955">
        <v>20.898969934640526</v>
      </c>
      <c r="U10" s="955">
        <v>5.7011874166741165</v>
      </c>
      <c r="V10" s="955">
        <v>12.966149019607844</v>
      </c>
      <c r="W10" s="955">
        <v>3.8376179239682147</v>
      </c>
      <c r="X10" s="955">
        <v>0</v>
      </c>
      <c r="Y10" s="955">
        <v>0</v>
      </c>
      <c r="Z10" s="955">
        <v>42.608413071895413</v>
      </c>
      <c r="AA10" s="956">
        <v>75.509085670058099</v>
      </c>
      <c r="AB10" s="954">
        <v>40.181248418300655</v>
      </c>
      <c r="AC10" s="955">
        <v>21.173851794147456</v>
      </c>
      <c r="AD10" s="955">
        <v>13.825448366013072</v>
      </c>
      <c r="AE10" s="955">
        <v>9.0544994129042262</v>
      </c>
      <c r="AF10" s="955">
        <v>35.64763064052287</v>
      </c>
      <c r="AG10" s="955">
        <v>17.412588266189633</v>
      </c>
      <c r="AH10" s="955">
        <v>11.012915032679739</v>
      </c>
      <c r="AI10" s="955">
        <v>3.8869873594622777</v>
      </c>
      <c r="AJ10" s="955">
        <v>55.05752679738562</v>
      </c>
      <c r="AK10" s="955">
        <v>9.8210675117247561</v>
      </c>
      <c r="AL10" s="955">
        <v>36.613547712418296</v>
      </c>
      <c r="AM10" s="956">
        <v>55.923097218633472</v>
      </c>
      <c r="AN10" s="954">
        <v>34.192444758169941</v>
      </c>
      <c r="AO10" s="955">
        <v>18.684897454086219</v>
      </c>
      <c r="AP10" s="955">
        <v>13.876784313725491</v>
      </c>
      <c r="AQ10" s="955">
        <v>10.865412691617209</v>
      </c>
      <c r="AR10" s="955">
        <v>27.528230968996148</v>
      </c>
      <c r="AS10" s="955">
        <v>15.382819906883437</v>
      </c>
      <c r="AT10" s="955">
        <v>11.05447320261438</v>
      </c>
      <c r="AU10" s="955">
        <v>5.1657518039133778</v>
      </c>
      <c r="AV10" s="955">
        <v>48.249689262371618</v>
      </c>
      <c r="AW10" s="955">
        <v>6.6665654680911324</v>
      </c>
      <c r="AX10" s="955">
        <v>36.741098039215686</v>
      </c>
      <c r="AY10" s="956">
        <v>61.553171928309226</v>
      </c>
      <c r="AZ10" s="954">
        <v>45.946894849673207</v>
      </c>
      <c r="BA10" s="955">
        <v>24.061894752888339</v>
      </c>
      <c r="BB10" s="955">
        <v>14.338807843137255</v>
      </c>
      <c r="BC10" s="955">
        <v>7.5573765578076806</v>
      </c>
      <c r="BD10" s="955">
        <v>36.131200209150329</v>
      </c>
      <c r="BE10" s="955">
        <v>19.954349363635778</v>
      </c>
      <c r="BF10" s="955">
        <v>11.428496732026145</v>
      </c>
      <c r="BG10" s="955">
        <v>3.0531249865777408</v>
      </c>
      <c r="BH10" s="955">
        <v>67.327989542483678</v>
      </c>
      <c r="BI10" s="955">
        <v>13.21477349846502</v>
      </c>
      <c r="BJ10" s="955">
        <v>37.889050980392156</v>
      </c>
      <c r="BK10" s="956">
        <v>50.64642552393498</v>
      </c>
      <c r="BL10" s="954">
        <v>43.672922143790849</v>
      </c>
      <c r="BM10" s="955">
        <v>20.431584362946541</v>
      </c>
      <c r="BN10" s="955">
        <v>14.80083137254902</v>
      </c>
      <c r="BO10" s="955">
        <v>10.408911547011607</v>
      </c>
      <c r="BP10" s="955">
        <v>34.438159267973859</v>
      </c>
      <c r="BQ10" s="955">
        <v>16.578261371936915</v>
      </c>
      <c r="BR10" s="955">
        <v>11.802520261437909</v>
      </c>
      <c r="BS10" s="955">
        <v>4.4261338191530779</v>
      </c>
      <c r="BT10" s="955">
        <v>63.556977777777782</v>
      </c>
      <c r="BU10" s="955">
        <v>8.8792347226213444</v>
      </c>
      <c r="BV10" s="955">
        <v>39.037003921568626</v>
      </c>
      <c r="BW10" s="956">
        <v>61.177131822338055</v>
      </c>
      <c r="BX10" s="954">
        <v>39.276306614379088</v>
      </c>
      <c r="BY10" s="955">
        <v>21.383757763901681</v>
      </c>
      <c r="BZ10" s="955">
        <v>14.646823529411765</v>
      </c>
      <c r="CA10" s="955">
        <v>11.241598080293336</v>
      </c>
      <c r="CB10" s="955">
        <v>31.366494326797387</v>
      </c>
      <c r="CC10" s="955">
        <v>17.222042942567587</v>
      </c>
      <c r="CD10" s="955">
        <v>11.677845751633988</v>
      </c>
      <c r="CE10" s="955">
        <v>5.2532344405465539</v>
      </c>
      <c r="CF10" s="955">
        <v>57.798577777777787</v>
      </c>
      <c r="CG10" s="955">
        <v>10.0718955674207</v>
      </c>
      <c r="CH10" s="955">
        <v>38.654352941176469</v>
      </c>
      <c r="CI10" s="956">
        <v>62.203909877453228</v>
      </c>
      <c r="CJ10" s="954">
        <v>33.641613071895421</v>
      </c>
      <c r="CK10" s="955">
        <v>19.599394950032224</v>
      </c>
      <c r="CL10" s="955">
        <v>14.698159477124182</v>
      </c>
      <c r="CM10" s="955">
        <v>8.2589970308468033</v>
      </c>
      <c r="CN10" s="955">
        <v>28.017322875816994</v>
      </c>
      <c r="CO10" s="955">
        <v>16.210486757605302</v>
      </c>
      <c r="CP10" s="955">
        <v>11.719403921568629</v>
      </c>
      <c r="CQ10" s="955">
        <v>3.1860617618846723</v>
      </c>
      <c r="CR10" s="955">
        <v>47.534408491503264</v>
      </c>
      <c r="CS10" s="955">
        <v>7.4696183670172625</v>
      </c>
      <c r="CT10" s="955">
        <v>38.78190326797386</v>
      </c>
      <c r="CU10" s="956">
        <v>55.086791314073444</v>
      </c>
      <c r="CV10" s="954">
        <v>22.63533268496732</v>
      </c>
      <c r="CW10" s="955">
        <v>3.4022984693050358</v>
      </c>
      <c r="CX10" s="955">
        <v>17.726980392156861</v>
      </c>
      <c r="CY10" s="955">
        <v>15.047745262741135</v>
      </c>
      <c r="CZ10" s="955">
        <v>17.344773856209152</v>
      </c>
      <c r="DA10" s="955">
        <v>3.8122055248211839</v>
      </c>
      <c r="DB10" s="955">
        <v>14.17133594771242</v>
      </c>
      <c r="DC10" s="955">
        <v>5.5240108879218077</v>
      </c>
      <c r="DD10" s="955">
        <v>0</v>
      </c>
      <c r="DE10" s="955">
        <v>0</v>
      </c>
      <c r="DF10" s="955">
        <v>46.307372549019611</v>
      </c>
      <c r="DG10" s="956">
        <v>89.525324033479933</v>
      </c>
      <c r="DH10" s="954">
        <v>30.881933144261442</v>
      </c>
      <c r="DI10" s="955">
        <v>8.9561583821482582</v>
      </c>
      <c r="DJ10" s="955">
        <v>15.98155816993464</v>
      </c>
      <c r="DK10" s="955">
        <v>9.8764031027949422</v>
      </c>
      <c r="DL10" s="955">
        <v>23.931305411764708</v>
      </c>
      <c r="DM10" s="955">
        <v>8.5911815219729064</v>
      </c>
      <c r="DN10" s="955">
        <v>12.758358169934642</v>
      </c>
      <c r="DO10" s="955">
        <v>3.4397992824741115</v>
      </c>
      <c r="DP10" s="955">
        <v>0</v>
      </c>
      <c r="DQ10" s="955">
        <v>0</v>
      </c>
      <c r="DR10" s="955">
        <v>41.97066143790849</v>
      </c>
      <c r="DS10" s="956">
        <v>68.866238995329425</v>
      </c>
      <c r="DT10" s="954">
        <v>32.824849995712412</v>
      </c>
      <c r="DU10" s="955">
        <v>7.6016403091216675</v>
      </c>
      <c r="DV10" s="955">
        <v>16.751597385620919</v>
      </c>
      <c r="DW10" s="955">
        <v>16.520486730805263</v>
      </c>
      <c r="DX10" s="955">
        <v>26.077819607843136</v>
      </c>
      <c r="DY10" s="955">
        <v>7.641839756265413</v>
      </c>
      <c r="DZ10" s="955">
        <v>13.381730718954252</v>
      </c>
      <c r="EA10" s="955">
        <v>7.8742171940608063</v>
      </c>
      <c r="EB10" s="955">
        <v>0</v>
      </c>
      <c r="EC10" s="955">
        <v>0</v>
      </c>
      <c r="ED10" s="955">
        <v>43.883916339869288</v>
      </c>
      <c r="EE10" s="956">
        <v>83.732124673469613</v>
      </c>
      <c r="EF10" s="954">
        <v>45.033808732026145</v>
      </c>
      <c r="EG10" s="955">
        <v>26.045375351359468</v>
      </c>
      <c r="EH10" s="955">
        <v>13.158081045751633</v>
      </c>
      <c r="EI10" s="955">
        <v>7.2695212771865672</v>
      </c>
      <c r="EJ10" s="955">
        <v>35.547770562091507</v>
      </c>
      <c r="EK10" s="955">
        <v>21.324327601847976</v>
      </c>
      <c r="EL10" s="955">
        <v>10.472658823529413</v>
      </c>
      <c r="EM10" s="955">
        <v>2.915216294589603</v>
      </c>
      <c r="EN10" s="955">
        <v>66.546060130718956</v>
      </c>
      <c r="EO10" s="955">
        <v>15.357651429509341</v>
      </c>
      <c r="EP10" s="955">
        <v>34.955393464052285</v>
      </c>
      <c r="EQ10" s="956">
        <v>49.10438959623739</v>
      </c>
      <c r="ER10" s="954">
        <v>35.561954091503267</v>
      </c>
      <c r="ES10" s="955">
        <v>15.858389750560288</v>
      </c>
      <c r="ET10" s="955">
        <v>15.211518954248366</v>
      </c>
      <c r="EU10" s="955">
        <v>15.125962327652209</v>
      </c>
      <c r="EV10" s="955">
        <v>28.514702849673203</v>
      </c>
      <c r="EW10" s="955">
        <v>13.342466029813092</v>
      </c>
      <c r="EX10" s="955">
        <v>12.134985620915034</v>
      </c>
      <c r="EY10" s="955">
        <v>7.5927286878459581</v>
      </c>
      <c r="EZ10" s="955">
        <v>50.982975163398699</v>
      </c>
      <c r="FA10" s="955">
        <v>3.9043350794818239</v>
      </c>
      <c r="FB10" s="955">
        <v>40.057406535947706</v>
      </c>
      <c r="FC10" s="956">
        <v>74.91991245799187</v>
      </c>
      <c r="FD10" s="954">
        <v>16.768206347712418</v>
      </c>
      <c r="FE10" s="955">
        <v>0</v>
      </c>
      <c r="FF10" s="955">
        <v>18.907707189542482</v>
      </c>
      <c r="FG10" s="955">
        <v>20.663211165139181</v>
      </c>
      <c r="FH10" s="955">
        <v>13.182504575163403</v>
      </c>
      <c r="FI10" s="955">
        <v>0.20474010159664324</v>
      </c>
      <c r="FJ10" s="955">
        <v>15.127173856209151</v>
      </c>
      <c r="FK10" s="955">
        <v>8.3454833267893118</v>
      </c>
      <c r="FL10" s="955">
        <v>0</v>
      </c>
      <c r="FM10" s="955">
        <v>0</v>
      </c>
      <c r="FN10" s="955">
        <v>49.241030065359475</v>
      </c>
      <c r="FO10" s="956">
        <v>112.78319878437334</v>
      </c>
      <c r="FP10" s="954">
        <v>41.011202928104581</v>
      </c>
      <c r="FQ10" s="955">
        <v>20.353916894485891</v>
      </c>
      <c r="FR10" s="955">
        <v>14.595487581699347</v>
      </c>
      <c r="FS10" s="955">
        <v>11.523127944098748</v>
      </c>
      <c r="FT10" s="955">
        <v>35.773448366013078</v>
      </c>
      <c r="FU10" s="955">
        <v>16.519999584229556</v>
      </c>
      <c r="FV10" s="955">
        <v>11.636287581699348</v>
      </c>
      <c r="FW10" s="955">
        <v>5.3412503293839659</v>
      </c>
      <c r="FX10" s="955">
        <v>58.883722875816993</v>
      </c>
      <c r="FY10" s="955">
        <v>8.64003077951471</v>
      </c>
      <c r="FZ10" s="955">
        <v>38.526802614379086</v>
      </c>
      <c r="GA10" s="956">
        <v>63.551558114697322</v>
      </c>
      <c r="GB10" s="954">
        <v>37.036868392156862</v>
      </c>
      <c r="GC10" s="955">
        <v>17.676829308492604</v>
      </c>
      <c r="GD10" s="955">
        <v>14.595487581699347</v>
      </c>
      <c r="GE10" s="955">
        <v>11.990583653539295</v>
      </c>
      <c r="GF10" s="955">
        <v>29.438305254901962</v>
      </c>
      <c r="GG10" s="955">
        <v>14.638520747675301</v>
      </c>
      <c r="GH10" s="955">
        <v>11.636287581699348</v>
      </c>
      <c r="GI10" s="955">
        <v>5.3655471966500237</v>
      </c>
      <c r="GJ10" s="955">
        <v>52.103090196078433</v>
      </c>
      <c r="GK10" s="955">
        <v>5.5901666377489327</v>
      </c>
      <c r="GL10" s="955">
        <v>38.526802614379086</v>
      </c>
      <c r="GM10" s="956">
        <v>66.405686188865374</v>
      </c>
      <c r="GN10" s="954">
        <v>38.282913673202614</v>
      </c>
      <c r="GO10" s="955">
        <v>9.5940136599352535</v>
      </c>
      <c r="GP10" s="955">
        <v>15.878886274509805</v>
      </c>
      <c r="GQ10" s="955">
        <v>11.519691236893907</v>
      </c>
      <c r="GR10" s="955">
        <v>30.313054326797388</v>
      </c>
      <c r="GS10" s="955">
        <v>9.0677486027962999</v>
      </c>
      <c r="GT10" s="955">
        <v>12.67524183006536</v>
      </c>
      <c r="GU10" s="955">
        <v>4.4044822364986587</v>
      </c>
      <c r="GV10" s="955">
        <v>0</v>
      </c>
      <c r="GW10" s="955">
        <v>0</v>
      </c>
      <c r="GX10" s="955">
        <v>41.715560784313723</v>
      </c>
      <c r="GY10" s="956">
        <v>72.552489093386498</v>
      </c>
      <c r="GZ10" s="954">
        <v>34.580052287581701</v>
      </c>
      <c r="HA10" s="955">
        <v>7.4103375180536197</v>
      </c>
      <c r="HB10" s="955">
        <v>15.930222222222223</v>
      </c>
      <c r="HC10" s="955">
        <v>14.81997252051573</v>
      </c>
      <c r="HD10" s="955">
        <v>26.943712418300656</v>
      </c>
      <c r="HE10" s="955">
        <v>7.1363899723404858</v>
      </c>
      <c r="HF10" s="955">
        <v>12.716800000000001</v>
      </c>
      <c r="HG10" s="955">
        <v>6.4059448859470365</v>
      </c>
      <c r="HH10" s="955">
        <v>0</v>
      </c>
      <c r="HI10" s="955">
        <v>0</v>
      </c>
      <c r="HJ10" s="955">
        <v>41.843111111111114</v>
      </c>
      <c r="HK10" s="956">
        <v>82.646509744015972</v>
      </c>
      <c r="HL10" s="954">
        <v>38.920922562091512</v>
      </c>
      <c r="HM10" s="955">
        <v>31.436131214093283</v>
      </c>
      <c r="HN10" s="955">
        <v>11.669338562091504</v>
      </c>
      <c r="HO10" s="955">
        <v>3.7324975712182913</v>
      </c>
      <c r="HP10" s="955">
        <v>30.845191320261442</v>
      </c>
      <c r="HQ10" s="955">
        <v>25.159902964992057</v>
      </c>
      <c r="HR10" s="955">
        <v>9.267471895424837</v>
      </c>
      <c r="HS10" s="955">
        <v>1.1807173950720018</v>
      </c>
      <c r="HT10" s="955">
        <v>55.259022222222228</v>
      </c>
      <c r="HU10" s="955">
        <v>21.538321978959484</v>
      </c>
      <c r="HV10" s="955">
        <v>31.256433986928101</v>
      </c>
      <c r="HW10" s="956">
        <v>36.008709045229779</v>
      </c>
      <c r="HX10" s="954">
        <v>39.688976941176477</v>
      </c>
      <c r="HY10" s="955">
        <v>32.389913978051922</v>
      </c>
      <c r="HZ10" s="955">
        <v>11.412658823529412</v>
      </c>
      <c r="IA10" s="955">
        <v>3.4035002337223803</v>
      </c>
      <c r="IB10" s="955">
        <v>31.355593411764712</v>
      </c>
      <c r="IC10" s="955">
        <v>25.794798853636316</v>
      </c>
      <c r="ID10" s="955">
        <v>9.0596810457516348</v>
      </c>
      <c r="IE10" s="955">
        <v>1.0327948673216001</v>
      </c>
      <c r="IF10" s="955">
        <v>56.06597647058824</v>
      </c>
      <c r="IG10" s="955">
        <v>23.201406979424164</v>
      </c>
      <c r="IH10" s="955">
        <v>30.618682352941178</v>
      </c>
      <c r="II10" s="956">
        <v>34.956605374383471</v>
      </c>
      <c r="IJ10" s="954">
        <v>40.643818248366017</v>
      </c>
      <c r="IK10" s="955">
        <v>20.619815785637115</v>
      </c>
      <c r="IL10" s="955">
        <v>14.287471895424837</v>
      </c>
      <c r="IM10" s="955">
        <v>10.838586314140811</v>
      </c>
      <c r="IN10" s="955">
        <v>32.190455633986929</v>
      </c>
      <c r="IO10" s="955">
        <v>16.721055201001082</v>
      </c>
      <c r="IP10" s="955">
        <v>11.386938562091505</v>
      </c>
      <c r="IQ10" s="955">
        <v>4.9652750074888834</v>
      </c>
      <c r="IR10" s="955">
        <v>58.591100653594779</v>
      </c>
      <c r="IS10" s="955">
        <v>9.3440688056565335</v>
      </c>
      <c r="IT10" s="955">
        <v>37.761500653594766</v>
      </c>
      <c r="IU10" s="956">
        <v>61.362961166912982</v>
      </c>
      <c r="IV10" s="954">
        <v>36.859583163398696</v>
      </c>
      <c r="IW10" s="955">
        <v>30.867087050100267</v>
      </c>
      <c r="IX10" s="955">
        <v>12.542049673202614</v>
      </c>
      <c r="IY10" s="955">
        <v>6.3136234897987888</v>
      </c>
      <c r="IZ10" s="955">
        <v>31.523853594771246</v>
      </c>
      <c r="JA10" s="955">
        <v>24.730989150869188</v>
      </c>
      <c r="JB10" s="955">
        <v>9.973960784313725</v>
      </c>
      <c r="JC10" s="955">
        <v>2.341734579196534</v>
      </c>
      <c r="JD10" s="955">
        <v>52.430358169934642</v>
      </c>
      <c r="JE10" s="955">
        <v>21.590546822189676</v>
      </c>
      <c r="JF10" s="955">
        <v>33.424789542483659</v>
      </c>
      <c r="JG10" s="956">
        <v>44.877693759082931</v>
      </c>
      <c r="JH10" s="954">
        <v>32.089103184313728</v>
      </c>
      <c r="JI10" s="955">
        <v>8.8997901857554726</v>
      </c>
      <c r="JJ10" s="955">
        <v>15.930222222222223</v>
      </c>
      <c r="JK10" s="955">
        <v>9.1214022158873025</v>
      </c>
      <c r="JL10" s="955">
        <v>24.40453333333333</v>
      </c>
      <c r="JM10" s="955">
        <v>8.5502945291489745</v>
      </c>
      <c r="JN10" s="955">
        <v>12.716800000000001</v>
      </c>
      <c r="JO10" s="955">
        <v>2.9000164291553086</v>
      </c>
      <c r="JP10" s="955">
        <v>0</v>
      </c>
      <c r="JQ10" s="955">
        <v>0</v>
      </c>
      <c r="JR10" s="955">
        <v>41.843111111111114</v>
      </c>
      <c r="JS10" s="956">
        <v>66.938439437974452</v>
      </c>
      <c r="JT10" s="954">
        <v>34.876705464052293</v>
      </c>
      <c r="JU10" s="955">
        <v>23.120698359842859</v>
      </c>
      <c r="JV10" s="955">
        <v>13.774112418300653</v>
      </c>
      <c r="JW10" s="955">
        <v>9.298995157439343</v>
      </c>
      <c r="JX10" s="955">
        <v>29.004857516339872</v>
      </c>
      <c r="JY10" s="955">
        <v>18.875142017599384</v>
      </c>
      <c r="JZ10" s="955">
        <v>10.971356862745099</v>
      </c>
      <c r="KA10" s="955">
        <v>4.1441413444648907</v>
      </c>
      <c r="KB10" s="955">
        <v>49.133249673202613</v>
      </c>
      <c r="KC10" s="955">
        <v>12.419187955421776</v>
      </c>
      <c r="KD10" s="955">
        <v>36.485997385620912</v>
      </c>
      <c r="KE10" s="956">
        <v>55.921429233906821</v>
      </c>
      <c r="KF10" s="954">
        <v>44.549410718954249</v>
      </c>
      <c r="KG10" s="955">
        <v>21.662666970732467</v>
      </c>
      <c r="KH10" s="955">
        <v>14.441479738562091</v>
      </c>
      <c r="KI10" s="955">
        <v>10.28496198409878</v>
      </c>
      <c r="KJ10" s="955">
        <v>35.117713986928109</v>
      </c>
      <c r="KK10" s="955">
        <v>17.478061865707907</v>
      </c>
      <c r="KL10" s="955">
        <v>11.511613071895425</v>
      </c>
      <c r="KM10" s="955">
        <v>4.5138404251221216</v>
      </c>
      <c r="KN10" s="955">
        <v>65.21547712418301</v>
      </c>
      <c r="KO10" s="955">
        <v>10.22929882296247</v>
      </c>
      <c r="KP10" s="955">
        <v>38.144151633986922</v>
      </c>
      <c r="KQ10" s="956">
        <v>59.379511636843617</v>
      </c>
      <c r="KR10" s="954">
        <v>34.301626143790848</v>
      </c>
      <c r="KS10" s="955">
        <v>13.787253740438882</v>
      </c>
      <c r="KT10" s="955">
        <v>14.698159477124182</v>
      </c>
      <c r="KU10" s="955">
        <v>15.201415603763651</v>
      </c>
      <c r="KV10" s="955">
        <v>27.523691503267973</v>
      </c>
      <c r="KW10" s="955">
        <v>11.934398055638768</v>
      </c>
      <c r="KX10" s="955">
        <v>11.719403921568629</v>
      </c>
      <c r="KY10" s="955">
        <v>7.6847124551089401</v>
      </c>
      <c r="KZ10" s="955">
        <v>47.053725845751636</v>
      </c>
      <c r="LA10" s="955">
        <v>3.0051460075081433</v>
      </c>
      <c r="LB10" s="955">
        <v>38.78190326797386</v>
      </c>
      <c r="LC10" s="956">
        <v>75.345514140542463</v>
      </c>
      <c r="LD10" s="954">
        <v>42.656777411764701</v>
      </c>
      <c r="LE10" s="955">
        <v>26.603484065062126</v>
      </c>
      <c r="LF10" s="955">
        <v>13.209416993464053</v>
      </c>
      <c r="LG10" s="955">
        <v>6.3095841131811286</v>
      </c>
      <c r="LH10" s="955">
        <v>33.681775058823526</v>
      </c>
      <c r="LI10" s="955">
        <v>21.754420485999862</v>
      </c>
      <c r="LJ10" s="955">
        <v>10.514216993464053</v>
      </c>
      <c r="LK10" s="955">
        <v>2.4284940301266453</v>
      </c>
      <c r="LL10" s="955">
        <v>61.873129411764708</v>
      </c>
      <c r="LM10" s="955">
        <v>15.318788038271093</v>
      </c>
      <c r="LN10" s="955">
        <v>35.082943790849676</v>
      </c>
      <c r="LO10" s="956">
        <v>46.082093113751419</v>
      </c>
      <c r="LP10" s="954">
        <v>25.321051105882351</v>
      </c>
      <c r="LQ10" s="955">
        <v>10.00909568719177</v>
      </c>
      <c r="LR10" s="955">
        <v>15.006175163398693</v>
      </c>
      <c r="LS10" s="955">
        <v>12.90765176748142</v>
      </c>
      <c r="LT10" s="955">
        <v>20.166954248366014</v>
      </c>
      <c r="LU10" s="955">
        <v>9.3041522852883745</v>
      </c>
      <c r="LV10" s="955">
        <v>11.968752941176472</v>
      </c>
      <c r="LW10" s="955">
        <v>5.3412417629222633</v>
      </c>
      <c r="LX10" s="955">
        <v>35.364768752941181</v>
      </c>
      <c r="LY10" s="955">
        <v>0.15817417010916263</v>
      </c>
      <c r="LZ10" s="955">
        <v>39.547205228758173</v>
      </c>
      <c r="MA10" s="956">
        <v>75.403068585953889</v>
      </c>
      <c r="MB10" s="954">
        <v>42.322677751633996</v>
      </c>
      <c r="MC10" s="955">
        <v>19.054251693864344</v>
      </c>
      <c r="MD10" s="955">
        <v>15.160183006535949</v>
      </c>
      <c r="ME10" s="955">
        <v>11.091584211171256</v>
      </c>
      <c r="MF10" s="955">
        <v>33.496623895424833</v>
      </c>
      <c r="MG10" s="955">
        <v>15.622439536223375</v>
      </c>
      <c r="MH10" s="955">
        <v>12.093427450980395</v>
      </c>
      <c r="MI10" s="955">
        <v>5.0179634865994434</v>
      </c>
      <c r="MJ10" s="955">
        <v>61.802216993464057</v>
      </c>
      <c r="MK10" s="955">
        <v>7.2152810524553512</v>
      </c>
      <c r="ML10" s="955">
        <v>39.92985620915033</v>
      </c>
      <c r="MM10" s="956">
        <v>62.907685672433125</v>
      </c>
      <c r="MN10" s="954">
        <v>27.833775309803926</v>
      </c>
      <c r="MO10" s="955">
        <v>2.9244102825414031</v>
      </c>
      <c r="MP10" s="955">
        <v>20.037098039215685</v>
      </c>
      <c r="MQ10" s="955">
        <v>20.525939009443878</v>
      </c>
      <c r="MR10" s="955">
        <v>21.134713725490194</v>
      </c>
      <c r="MS10" s="955">
        <v>3.4919043003877972</v>
      </c>
      <c r="MT10" s="955">
        <v>16.041453594771244</v>
      </c>
      <c r="MU10" s="955">
        <v>8.0281556069596469</v>
      </c>
      <c r="MV10" s="955">
        <v>0</v>
      </c>
      <c r="MW10" s="955">
        <v>0</v>
      </c>
      <c r="MX10" s="955">
        <v>52.047137254901955</v>
      </c>
      <c r="MY10" s="956">
        <v>105.02396549500686</v>
      </c>
      <c r="MZ10" s="954">
        <v>25.850028925490204</v>
      </c>
      <c r="NA10" s="955">
        <v>3.109144951278711</v>
      </c>
      <c r="NB10" s="955">
        <v>16.597589542483657</v>
      </c>
      <c r="NC10" s="955">
        <v>17.243511664915363</v>
      </c>
      <c r="ND10" s="955">
        <v>19.696815686274512</v>
      </c>
      <c r="NE10" s="955">
        <v>3.5887480637774001</v>
      </c>
      <c r="NF10" s="955">
        <v>13.257056209150328</v>
      </c>
      <c r="NG10" s="955">
        <v>7.1156687551597466</v>
      </c>
      <c r="NH10" s="955">
        <v>0</v>
      </c>
      <c r="NI10" s="955">
        <v>0</v>
      </c>
      <c r="NJ10" s="955">
        <v>43.501265359477117</v>
      </c>
      <c r="NK10" s="956">
        <v>96.926115235118218</v>
      </c>
      <c r="NL10" s="954">
        <v>40.931011764705886</v>
      </c>
      <c r="NM10" s="955">
        <v>16.191346938990055</v>
      </c>
      <c r="NN10" s="955">
        <v>15.776214379084967</v>
      </c>
      <c r="NO10" s="955">
        <v>11.255422944611391</v>
      </c>
      <c r="NP10" s="955">
        <v>32.537129411764703</v>
      </c>
      <c r="NQ10" s="955">
        <v>13.640376072811209</v>
      </c>
      <c r="NR10" s="955">
        <v>12.592125490196079</v>
      </c>
      <c r="NS10" s="955">
        <v>4.8366707156520166</v>
      </c>
      <c r="NT10" s="955">
        <v>55.888564705882352</v>
      </c>
      <c r="NU10" s="955">
        <v>4.2208322820179447</v>
      </c>
      <c r="NV10" s="955">
        <v>41.460460130718957</v>
      </c>
      <c r="NW10" s="956">
        <v>65.723255049249246</v>
      </c>
      <c r="NX10" s="954">
        <v>34.528651084967322</v>
      </c>
      <c r="NY10" s="955">
        <v>20.534717662699695</v>
      </c>
      <c r="NZ10" s="955">
        <v>14.852167320261438</v>
      </c>
      <c r="OA10" s="955">
        <v>12.164115478412425</v>
      </c>
      <c r="OB10" s="955">
        <v>27.966907256577844</v>
      </c>
      <c r="OC10" s="955">
        <v>16.628141165838471</v>
      </c>
      <c r="OD10" s="955">
        <v>11.84407843137255</v>
      </c>
      <c r="OE10" s="955">
        <v>5.7476797498597572</v>
      </c>
      <c r="OF10" s="955">
        <v>48.926295424836603</v>
      </c>
      <c r="OG10" s="955">
        <v>9.1014955475340518</v>
      </c>
      <c r="OH10" s="955">
        <v>39.164554248366009</v>
      </c>
      <c r="OI10" s="956">
        <v>65.261492755761779</v>
      </c>
      <c r="OJ10" s="954">
        <v>33.128216010457521</v>
      </c>
      <c r="OK10" s="955">
        <v>9.0834744292986738</v>
      </c>
      <c r="OL10" s="955">
        <v>17.162284967320264</v>
      </c>
      <c r="OM10" s="955">
        <v>14.674299341420223</v>
      </c>
      <c r="ON10" s="955">
        <v>25.174671895424844</v>
      </c>
      <c r="OO10" s="955">
        <v>8.7058170921516602</v>
      </c>
      <c r="OP10" s="955">
        <v>13.714196078431375</v>
      </c>
      <c r="OQ10" s="955">
        <v>5.9574650582252664</v>
      </c>
      <c r="OR10" s="955">
        <v>0</v>
      </c>
      <c r="OS10" s="955">
        <v>0</v>
      </c>
      <c r="OT10" s="955">
        <v>44.904318954248367</v>
      </c>
      <c r="OU10" s="956">
        <v>80.030361164541645</v>
      </c>
      <c r="OV10" s="954">
        <v>37.694207581699345</v>
      </c>
      <c r="OW10" s="955">
        <v>25.229876739968564</v>
      </c>
      <c r="OX10" s="955">
        <v>14.082128104575164</v>
      </c>
      <c r="OY10" s="955">
        <v>8.8291862048651293</v>
      </c>
      <c r="OZ10" s="955">
        <v>29.991891241830068</v>
      </c>
      <c r="PA10" s="955">
        <v>20.688528982630675</v>
      </c>
      <c r="PB10" s="955">
        <v>11.220705882352942</v>
      </c>
      <c r="PC10" s="955">
        <v>3.5746715657298918</v>
      </c>
      <c r="PD10" s="955">
        <v>53.680732026143794</v>
      </c>
      <c r="PE10" s="955">
        <v>13.854340830332868</v>
      </c>
      <c r="PF10" s="955">
        <v>37.251299346405226</v>
      </c>
      <c r="PG10" s="956">
        <v>53.78360103214095</v>
      </c>
      <c r="PH10" s="954">
        <v>31.836234332026145</v>
      </c>
      <c r="PI10" s="955">
        <v>6.671624831677585</v>
      </c>
      <c r="PJ10" s="955">
        <v>19.318394771241834</v>
      </c>
      <c r="PK10" s="955">
        <v>19.333169950700572</v>
      </c>
      <c r="PL10" s="955">
        <v>24.230891503267976</v>
      </c>
      <c r="PM10" s="955">
        <v>6.3312353407088997</v>
      </c>
      <c r="PN10" s="955">
        <v>15.459639215686277</v>
      </c>
      <c r="PO10" s="955">
        <v>8.265881189109173</v>
      </c>
      <c r="PP10" s="955">
        <v>0</v>
      </c>
      <c r="PQ10" s="955">
        <v>0</v>
      </c>
      <c r="PR10" s="955">
        <v>50.261432679738562</v>
      </c>
      <c r="PS10" s="956">
        <v>92.881019792232465</v>
      </c>
      <c r="PT10" s="954">
        <v>39.961664209150328</v>
      </c>
      <c r="PU10" s="955">
        <v>20.979280677592786</v>
      </c>
      <c r="PV10" s="955">
        <v>15.006175163398693</v>
      </c>
      <c r="PW10" s="955">
        <v>8.9183487312937135</v>
      </c>
      <c r="PX10" s="955">
        <v>31.794902379084967</v>
      </c>
      <c r="PY10" s="955">
        <v>17.464465648122211</v>
      </c>
      <c r="PZ10" s="955">
        <v>11.968752941176472</v>
      </c>
      <c r="QA10" s="955">
        <v>3.7161852101398769</v>
      </c>
      <c r="QB10" s="955">
        <v>58.313233986928111</v>
      </c>
      <c r="QC10" s="955">
        <v>8.8788582918064112</v>
      </c>
      <c r="QD10" s="955">
        <v>39.547205228758173</v>
      </c>
      <c r="QE10" s="956">
        <v>55.722725418551278</v>
      </c>
      <c r="QF10" s="954">
        <v>43.132705254901964</v>
      </c>
      <c r="QG10" s="955">
        <v>20.207478940141538</v>
      </c>
      <c r="QH10" s="955">
        <v>14.749495424836601</v>
      </c>
      <c r="QI10" s="955">
        <v>11.664991023134242</v>
      </c>
      <c r="QJ10" s="955">
        <v>33.907098980392163</v>
      </c>
      <c r="QK10" s="955">
        <v>16.4238017751154</v>
      </c>
      <c r="QL10" s="955">
        <v>11.76096209150327</v>
      </c>
      <c r="QM10" s="955">
        <v>5.3471716552842237</v>
      </c>
      <c r="QN10" s="955">
        <v>61.682227450980399</v>
      </c>
      <c r="QO10" s="955">
        <v>8.5740921892563158</v>
      </c>
      <c r="QP10" s="955">
        <v>38.909453594771236</v>
      </c>
      <c r="QQ10" s="956">
        <v>64.021567559003969</v>
      </c>
      <c r="QR10" s="954">
        <v>23.9346432</v>
      </c>
      <c r="QS10" s="955">
        <v>3.9995045579722412</v>
      </c>
      <c r="QT10" s="955">
        <v>16.700261437908495</v>
      </c>
      <c r="QU10" s="955">
        <v>14.317347435641876</v>
      </c>
      <c r="QV10" s="955">
        <v>20.142975163398688</v>
      </c>
      <c r="QW10" s="955">
        <v>4.2009780187760599</v>
      </c>
      <c r="QX10" s="955">
        <v>13.340172549019609</v>
      </c>
      <c r="QY10" s="955">
        <v>5.1921611744118108</v>
      </c>
      <c r="QZ10" s="955">
        <v>0</v>
      </c>
      <c r="RA10" s="955">
        <v>0</v>
      </c>
      <c r="RB10" s="955">
        <v>43.756366013071897</v>
      </c>
      <c r="RC10" s="956">
        <v>89.178964157096374</v>
      </c>
      <c r="RD10" s="954">
        <v>42.278424679738556</v>
      </c>
      <c r="RE10" s="955">
        <v>21.353749494796656</v>
      </c>
      <c r="RF10" s="955">
        <v>14.954839215686274</v>
      </c>
      <c r="RG10" s="955">
        <v>10.436875276545313</v>
      </c>
      <c r="RH10" s="955">
        <v>37.497055790849679</v>
      </c>
      <c r="RI10" s="955">
        <v>17.218779608232641</v>
      </c>
      <c r="RJ10" s="955">
        <v>11.927194771241831</v>
      </c>
      <c r="RK10" s="955">
        <v>4.5428932919360028</v>
      </c>
      <c r="RL10" s="955">
        <v>59.926818300653601</v>
      </c>
      <c r="RM10" s="955">
        <v>9.882251742600932</v>
      </c>
      <c r="RN10" s="955">
        <v>39.419654901960783</v>
      </c>
      <c r="RO10" s="956">
        <v>60.55642666540701</v>
      </c>
      <c r="RP10" s="954">
        <v>41.711546771241842</v>
      </c>
      <c r="RQ10" s="955">
        <v>20.63311217112328</v>
      </c>
      <c r="RR10" s="955">
        <v>14.852167320261438</v>
      </c>
      <c r="RS10" s="955">
        <v>9.9544986308410159</v>
      </c>
      <c r="RT10" s="955">
        <v>32.945477228758172</v>
      </c>
      <c r="RU10" s="955">
        <v>16.739145452144246</v>
      </c>
      <c r="RV10" s="955">
        <v>11.84407843137255</v>
      </c>
      <c r="RW10" s="955">
        <v>4.2585957132921832</v>
      </c>
      <c r="RX10" s="955">
        <v>60.058373856209151</v>
      </c>
      <c r="RY10" s="955">
        <v>8.8984902707223377</v>
      </c>
      <c r="RZ10" s="955">
        <v>39.164554248366009</v>
      </c>
      <c r="SA10" s="956">
        <v>59.359122937777826</v>
      </c>
    </row>
    <row r="11" spans="1:495">
      <c r="A11" s="957">
        <f>[3]Eingabedaten!A13</f>
        <v>3.01</v>
      </c>
      <c r="B11" s="958" t="str">
        <f>[3]Eingabedaten!C13</f>
        <v>Einzel-, Gruppenbüro</v>
      </c>
      <c r="C11" s="985">
        <f t="shared" si="1"/>
        <v>5</v>
      </c>
      <c r="D11" s="954" cm="1">
        <f t="array" ref="D11">INDEX($P$7:$SA$51,$C11,$G$3-1+D$2)</f>
        <v>43.656469243697479</v>
      </c>
      <c r="E11" s="955" cm="1">
        <f t="array" ref="E11">INDEX($P$7:$SA$51,$C11,$G$3-1+E$2)</f>
        <v>14.430134539350295</v>
      </c>
      <c r="F11" s="955" cm="1">
        <f t="array" ref="F11">INDEX($P$7:$SA$51,$C11,$G$3-1+F$2)</f>
        <v>19.82335098039216</v>
      </c>
      <c r="G11" s="955" cm="1">
        <f t="array" ref="G11">INDEX($P$7:$SA$51,$C11,$G$3-1+G$2)</f>
        <v>10.76159676840914</v>
      </c>
      <c r="H11" s="955" cm="1">
        <f t="array" ref="H11">INDEX($P$7:$SA$51,$C11,$G$3-1+H$2)</f>
        <v>31.311380168067227</v>
      </c>
      <c r="I11" s="955" cm="1">
        <f t="array" ref="I11">INDEX($P$7:$SA$51,$C11,$G$3-1+I$2)</f>
        <v>5.2320633783383244</v>
      </c>
      <c r="J11" s="955" cm="1">
        <f t="array" ref="J11">INDEX($P$7:$SA$51,$C11,$G$3-1+J$2)</f>
        <v>15.144684313725492</v>
      </c>
      <c r="K11" s="955" cm="1">
        <f t="array" ref="K11">INDEX($P$7:$SA$51,$C11,$G$3-1+K$2)</f>
        <v>9.8054468506331105</v>
      </c>
      <c r="L11" s="955" cm="1">
        <f t="array" ref="L11">INDEX($P$7:$SA$51,$C11,$G$3-1+L$2)</f>
        <v>65.611632492997202</v>
      </c>
      <c r="M11" s="955" cm="1">
        <f t="array" ref="M11">INDEX($P$7:$SA$51,$C11,$G$3-1+M$2)</f>
        <v>4.5630273875502505</v>
      </c>
      <c r="N11" s="955" cm="1">
        <f t="array" ref="N11">INDEX($P$7:$SA$51,$C11,$G$3-1+N$2)</f>
        <v>50.167131372549022</v>
      </c>
      <c r="O11" s="956" cm="1">
        <f t="array" ref="O11">INDEX($P$7:$SA$51,$C11,$G$3-1+O$2)</f>
        <v>67.095197137449262</v>
      </c>
      <c r="P11" s="954">
        <v>36.357765826330535</v>
      </c>
      <c r="Q11" s="955">
        <v>1.959338850831664</v>
      </c>
      <c r="R11" s="955">
        <v>21.643256862745101</v>
      </c>
      <c r="S11" s="955">
        <v>8.5133593278041673</v>
      </c>
      <c r="T11" s="955">
        <v>27.378797759103641</v>
      </c>
      <c r="U11" s="955">
        <v>0</v>
      </c>
      <c r="V11" s="955">
        <v>16.568590196078432</v>
      </c>
      <c r="W11" s="955">
        <v>6.5644258745602873</v>
      </c>
      <c r="X11" s="955">
        <v>0</v>
      </c>
      <c r="Y11" s="955">
        <v>0</v>
      </c>
      <c r="Z11" s="955">
        <v>54.555319607843138</v>
      </c>
      <c r="AA11" s="956">
        <v>79.285548038515088</v>
      </c>
      <c r="AB11" s="954">
        <v>46.138538711484607</v>
      </c>
      <c r="AC11" s="955">
        <v>13.981122971502012</v>
      </c>
      <c r="AD11" s="955">
        <v>18.475272549019611</v>
      </c>
      <c r="AE11" s="955">
        <v>10.292433522817534</v>
      </c>
      <c r="AF11" s="955">
        <v>33.1630518767507</v>
      </c>
      <c r="AG11" s="955">
        <v>4.9663216938943293</v>
      </c>
      <c r="AH11" s="955">
        <v>14.089939215686277</v>
      </c>
      <c r="AI11" s="955">
        <v>9.6645637872650063</v>
      </c>
      <c r="AJ11" s="955">
        <v>69.617503641456594</v>
      </c>
      <c r="AK11" s="955">
        <v>4.5712470812866446</v>
      </c>
      <c r="AL11" s="955">
        <v>46.916621568627455</v>
      </c>
      <c r="AM11" s="956">
        <v>64.743492838948796</v>
      </c>
      <c r="AN11" s="954">
        <v>40.313070252100843</v>
      </c>
      <c r="AO11" s="955">
        <v>10.721363094584323</v>
      </c>
      <c r="AP11" s="955">
        <v>18.542676470588241</v>
      </c>
      <c r="AQ11" s="955">
        <v>13.316378333377068</v>
      </c>
      <c r="AR11" s="955">
        <v>34.12632739495799</v>
      </c>
      <c r="AS11" s="955">
        <v>3.2059851240420616</v>
      </c>
      <c r="AT11" s="955">
        <v>14.142676470588238</v>
      </c>
      <c r="AU11" s="955">
        <v>12.814945091087543</v>
      </c>
      <c r="AV11" s="955">
        <v>61.358666666666672</v>
      </c>
      <c r="AW11" s="955">
        <v>1.8353751285996436</v>
      </c>
      <c r="AX11" s="955">
        <v>47.079147058823537</v>
      </c>
      <c r="AY11" s="956">
        <v>73.635915057006443</v>
      </c>
      <c r="AZ11" s="954">
        <v>47.668058935574244</v>
      </c>
      <c r="BA11" s="955">
        <v>17.653789175901693</v>
      </c>
      <c r="BB11" s="955">
        <v>19.149311764705885</v>
      </c>
      <c r="BC11" s="955">
        <v>8.4685663512902725</v>
      </c>
      <c r="BD11" s="955">
        <v>34.350934005602241</v>
      </c>
      <c r="BE11" s="955">
        <v>7.1870032162373692</v>
      </c>
      <c r="BF11" s="955">
        <v>14.617311764705885</v>
      </c>
      <c r="BG11" s="955">
        <v>7.9825278046062662</v>
      </c>
      <c r="BH11" s="955">
        <v>72.970402240896362</v>
      </c>
      <c r="BI11" s="955">
        <v>8.7856754948901816</v>
      </c>
      <c r="BJ11" s="955">
        <v>48.541876470588235</v>
      </c>
      <c r="BK11" s="956">
        <v>58.325718809055125</v>
      </c>
      <c r="BL11" s="954">
        <v>44.44871305322129</v>
      </c>
      <c r="BM11" s="955">
        <v>14.284875270691835</v>
      </c>
      <c r="BN11" s="955">
        <v>19.755947058823534</v>
      </c>
      <c r="BO11" s="955">
        <v>10.866572628023134</v>
      </c>
      <c r="BP11" s="955">
        <v>31.917423417366951</v>
      </c>
      <c r="BQ11" s="955">
        <v>5.2669863881489611</v>
      </c>
      <c r="BR11" s="955">
        <v>15.091947058823532</v>
      </c>
      <c r="BS11" s="955">
        <v>9.704678030688763</v>
      </c>
      <c r="BT11" s="955">
        <v>67.023390476190485</v>
      </c>
      <c r="BU11" s="955">
        <v>4.6659685640208393</v>
      </c>
      <c r="BV11" s="955">
        <v>50.004605882352941</v>
      </c>
      <c r="BW11" s="956">
        <v>68.413330465333146</v>
      </c>
      <c r="BX11" s="954">
        <v>44.241610308123249</v>
      </c>
      <c r="BY11" s="955">
        <v>14.688563035149992</v>
      </c>
      <c r="BZ11" s="955">
        <v>19.553735294117651</v>
      </c>
      <c r="CA11" s="955">
        <v>13.163457995218641</v>
      </c>
      <c r="CB11" s="955">
        <v>31.839763809523813</v>
      </c>
      <c r="CC11" s="955">
        <v>5.4172655201333697</v>
      </c>
      <c r="CD11" s="955">
        <v>14.93373529411765</v>
      </c>
      <c r="CE11" s="955">
        <v>12.360233258098539</v>
      </c>
      <c r="CF11" s="955">
        <v>67.588064985994407</v>
      </c>
      <c r="CG11" s="955">
        <v>5.1835911658246774</v>
      </c>
      <c r="CH11" s="955">
        <v>49.51702941176471</v>
      </c>
      <c r="CI11" s="956">
        <v>72.461967611618292</v>
      </c>
      <c r="CJ11" s="954">
        <v>44.572656358543419</v>
      </c>
      <c r="CK11" s="955">
        <v>12.367272539226429</v>
      </c>
      <c r="CL11" s="955">
        <v>19.621139215686277</v>
      </c>
      <c r="CM11" s="955">
        <v>8.1119920335412878</v>
      </c>
      <c r="CN11" s="955">
        <v>32.015993053221287</v>
      </c>
      <c r="CO11" s="955">
        <v>3.9613052779844447</v>
      </c>
      <c r="CP11" s="955">
        <v>14.986472549019611</v>
      </c>
      <c r="CQ11" s="955">
        <v>7.1382563509430437</v>
      </c>
      <c r="CR11" s="955">
        <v>67.323385994397768</v>
      </c>
      <c r="CS11" s="955">
        <v>2.7377319698714251</v>
      </c>
      <c r="CT11" s="955">
        <v>49.679554901960785</v>
      </c>
      <c r="CU11" s="956">
        <v>61.433100722297155</v>
      </c>
      <c r="CV11" s="954">
        <v>35.257428571428576</v>
      </c>
      <c r="CW11" s="955">
        <v>1.1316313371767774</v>
      </c>
      <c r="CX11" s="955">
        <v>23.597970588235299</v>
      </c>
      <c r="CY11" s="955">
        <v>10.5734364298086</v>
      </c>
      <c r="CZ11" s="955">
        <v>24.37625210084034</v>
      </c>
      <c r="DA11" s="955">
        <v>0</v>
      </c>
      <c r="DB11" s="955">
        <v>18.097970588235299</v>
      </c>
      <c r="DC11" s="955">
        <v>7.4658699929588659</v>
      </c>
      <c r="DD11" s="955">
        <v>0</v>
      </c>
      <c r="DE11" s="955">
        <v>0</v>
      </c>
      <c r="DF11" s="955">
        <v>59.268558823529425</v>
      </c>
      <c r="DG11" s="956">
        <v>86.317033546027631</v>
      </c>
      <c r="DH11" s="954">
        <v>43.369040448179277</v>
      </c>
      <c r="DI11" s="955">
        <v>4.4790951043852516</v>
      </c>
      <c r="DJ11" s="955">
        <v>21.306237254901966</v>
      </c>
      <c r="DK11" s="955">
        <v>7.7690537989302255</v>
      </c>
      <c r="DL11" s="955">
        <v>31.025764257703084</v>
      </c>
      <c r="DM11" s="955">
        <v>0.40900145680389388</v>
      </c>
      <c r="DN11" s="955">
        <v>16.304903921568631</v>
      </c>
      <c r="DO11" s="955">
        <v>6.0845817228273757</v>
      </c>
      <c r="DP11" s="955">
        <v>0</v>
      </c>
      <c r="DQ11" s="955">
        <v>0</v>
      </c>
      <c r="DR11" s="955">
        <v>53.742692156862745</v>
      </c>
      <c r="DS11" s="956">
        <v>71.310141830609709</v>
      </c>
      <c r="DT11" s="954">
        <v>43.705598207282918</v>
      </c>
      <c r="DU11" s="955">
        <v>3.2976208851491484</v>
      </c>
      <c r="DV11" s="955">
        <v>22.317296078431379</v>
      </c>
      <c r="DW11" s="955">
        <v>16.874219569742397</v>
      </c>
      <c r="DX11" s="955">
        <v>31.289714733893561</v>
      </c>
      <c r="DY11" s="955">
        <v>0</v>
      </c>
      <c r="DZ11" s="955">
        <v>17.095962745098042</v>
      </c>
      <c r="EA11" s="955">
        <v>14.762373862656762</v>
      </c>
      <c r="EB11" s="955">
        <v>0</v>
      </c>
      <c r="EC11" s="955">
        <v>0</v>
      </c>
      <c r="ED11" s="955">
        <v>56.180574509803932</v>
      </c>
      <c r="EE11" s="956">
        <v>92.414747687331015</v>
      </c>
      <c r="EF11" s="954">
        <v>45.82361456582634</v>
      </c>
      <c r="EG11" s="955">
        <v>19.292200247207095</v>
      </c>
      <c r="EH11" s="955">
        <v>17.599021568627453</v>
      </c>
      <c r="EI11" s="955">
        <v>8.0815272542832037</v>
      </c>
      <c r="EJ11" s="955">
        <v>32.989844257703083</v>
      </c>
      <c r="EK11" s="955">
        <v>8.4122718288179517</v>
      </c>
      <c r="EL11" s="955">
        <v>13.404354901960787</v>
      </c>
      <c r="EM11" s="955">
        <v>7.5971832353392283</v>
      </c>
      <c r="EN11" s="955">
        <v>70.093938375350149</v>
      </c>
      <c r="EO11" s="955">
        <v>10.887759823955683</v>
      </c>
      <c r="EP11" s="955">
        <v>44.803790196078431</v>
      </c>
      <c r="EQ11" s="956">
        <v>55.891602283890066</v>
      </c>
      <c r="ER11" s="954">
        <v>44.079366498599441</v>
      </c>
      <c r="ES11" s="955">
        <v>8.5989225992388629</v>
      </c>
      <c r="ET11" s="955">
        <v>20.295178431372552</v>
      </c>
      <c r="EU11" s="955">
        <v>17.883989002192912</v>
      </c>
      <c r="EV11" s="955">
        <v>31.683720560224092</v>
      </c>
      <c r="EW11" s="955">
        <v>2.3156321382799074</v>
      </c>
      <c r="EX11" s="955">
        <v>15.513845098039219</v>
      </c>
      <c r="EY11" s="955">
        <v>16.919526976976961</v>
      </c>
      <c r="EZ11" s="955">
        <v>66.864553501400565</v>
      </c>
      <c r="FA11" s="955">
        <v>0.16152279399752956</v>
      </c>
      <c r="FB11" s="955">
        <v>51.304809803921572</v>
      </c>
      <c r="FC11" s="956">
        <v>89.157604201638335</v>
      </c>
      <c r="FD11" s="954">
        <v>33.119932773109248</v>
      </c>
      <c r="FE11" s="955">
        <v>0</v>
      </c>
      <c r="FF11" s="955">
        <v>25.148260784313727</v>
      </c>
      <c r="FG11" s="955">
        <v>14.362500615998231</v>
      </c>
      <c r="FH11" s="955">
        <v>23.707071148459381</v>
      </c>
      <c r="FI11" s="955">
        <v>0</v>
      </c>
      <c r="FJ11" s="955">
        <v>19.310927450980394</v>
      </c>
      <c r="FK11" s="955">
        <v>10.220924726063972</v>
      </c>
      <c r="FL11" s="955">
        <v>0</v>
      </c>
      <c r="FM11" s="955">
        <v>0</v>
      </c>
      <c r="FN11" s="955">
        <v>63.006645098039222</v>
      </c>
      <c r="FO11" s="956">
        <v>100.02597447717199</v>
      </c>
      <c r="FP11" s="954">
        <v>43.624552156862755</v>
      </c>
      <c r="FQ11" s="955">
        <v>14.089857846197537</v>
      </c>
      <c r="FR11" s="955">
        <v>19.486331372549024</v>
      </c>
      <c r="FS11" s="955">
        <v>13.170101827408194</v>
      </c>
      <c r="FT11" s="955">
        <v>31.263485490196082</v>
      </c>
      <c r="FU11" s="955">
        <v>5.0892289198485328</v>
      </c>
      <c r="FV11" s="955">
        <v>14.88099803921569</v>
      </c>
      <c r="FW11" s="955">
        <v>12.228257950589203</v>
      </c>
      <c r="FX11" s="955">
        <v>65.046949019607851</v>
      </c>
      <c r="FY11" s="955">
        <v>4.2412639816996744</v>
      </c>
      <c r="FZ11" s="955">
        <v>49.354503921568629</v>
      </c>
      <c r="GA11" s="956">
        <v>72.943354134951122</v>
      </c>
      <c r="GB11" s="954">
        <v>41.904596078431382</v>
      </c>
      <c r="GC11" s="955">
        <v>10.94047920939841</v>
      </c>
      <c r="GD11" s="955">
        <v>19.486331372549024</v>
      </c>
      <c r="GE11" s="955">
        <v>12.771988285849416</v>
      </c>
      <c r="GF11" s="955">
        <v>29.964674509803924</v>
      </c>
      <c r="GG11" s="955">
        <v>3.5077456071994604</v>
      </c>
      <c r="GH11" s="955">
        <v>14.88099803921569</v>
      </c>
      <c r="GI11" s="955">
        <v>11.465236732571665</v>
      </c>
      <c r="GJ11" s="955">
        <v>61.729333333333336</v>
      </c>
      <c r="GK11" s="955">
        <v>1.904216858456206</v>
      </c>
      <c r="GL11" s="955">
        <v>49.354503921568629</v>
      </c>
      <c r="GM11" s="956">
        <v>75.069247069855848</v>
      </c>
      <c r="GN11" s="954">
        <v>41.174944761904769</v>
      </c>
      <c r="GO11" s="955">
        <v>5.844232590420706</v>
      </c>
      <c r="GP11" s="955">
        <v>21.171429411764709</v>
      </c>
      <c r="GQ11" s="955">
        <v>9.9505833198242613</v>
      </c>
      <c r="GR11" s="955">
        <v>29.673660504201681</v>
      </c>
      <c r="GS11" s="955">
        <v>1.158064458472575</v>
      </c>
      <c r="GT11" s="955">
        <v>16.199429411764708</v>
      </c>
      <c r="GU11" s="955">
        <v>8.1132098968543982</v>
      </c>
      <c r="GV11" s="955">
        <v>0</v>
      </c>
      <c r="GW11" s="955">
        <v>0</v>
      </c>
      <c r="GX11" s="955">
        <v>53.417641176470596</v>
      </c>
      <c r="GY11" s="956">
        <v>76.519751017481326</v>
      </c>
      <c r="GZ11" s="954">
        <v>41.168499719887954</v>
      </c>
      <c r="HA11" s="955">
        <v>4.1554847951919713</v>
      </c>
      <c r="HB11" s="955">
        <v>21.238833333333336</v>
      </c>
      <c r="HC11" s="955">
        <v>14.365795467612999</v>
      </c>
      <c r="HD11" s="955">
        <v>29.380421288515407</v>
      </c>
      <c r="HE11" s="955">
        <v>0.32014674549782263</v>
      </c>
      <c r="HF11" s="955">
        <v>16.252166666666671</v>
      </c>
      <c r="HG11" s="955">
        <v>12.352503742540954</v>
      </c>
      <c r="HH11" s="955">
        <v>0</v>
      </c>
      <c r="HI11" s="955">
        <v>0</v>
      </c>
      <c r="HJ11" s="955">
        <v>53.58016666666667</v>
      </c>
      <c r="HK11" s="956">
        <v>89.866694586684147</v>
      </c>
      <c r="HL11" s="954">
        <v>43.878822184873954</v>
      </c>
      <c r="HM11" s="955">
        <v>21.860479687482449</v>
      </c>
      <c r="HN11" s="955">
        <v>15.644307843137259</v>
      </c>
      <c r="HO11" s="955">
        <v>3.6695485834149819</v>
      </c>
      <c r="HP11" s="955">
        <v>32.516426666666675</v>
      </c>
      <c r="HQ11" s="955">
        <v>10.357021757062647</v>
      </c>
      <c r="HR11" s="955">
        <v>11.874974509803925</v>
      </c>
      <c r="HS11" s="955">
        <v>3.4656438342085649</v>
      </c>
      <c r="HT11" s="955">
        <v>65.717526050420176</v>
      </c>
      <c r="HU11" s="955">
        <v>14.840453374723495</v>
      </c>
      <c r="HV11" s="955">
        <v>40.090550980392159</v>
      </c>
      <c r="HW11" s="956">
        <v>41.929031871388339</v>
      </c>
      <c r="HX11" s="954">
        <v>46.467798095238095</v>
      </c>
      <c r="HY11" s="955">
        <v>22.786313201467713</v>
      </c>
      <c r="HZ11" s="955">
        <v>15.307288235294122</v>
      </c>
      <c r="IA11" s="955">
        <v>3.1334812347695666</v>
      </c>
      <c r="IB11" s="955">
        <v>33.344568963585438</v>
      </c>
      <c r="IC11" s="955">
        <v>11.10246135339961</v>
      </c>
      <c r="ID11" s="955">
        <v>11.61128823529412</v>
      </c>
      <c r="IE11" s="955">
        <v>2.8495263577725494</v>
      </c>
      <c r="IF11" s="955">
        <v>69.723397198879553</v>
      </c>
      <c r="IG11" s="955">
        <v>16.232379842245084</v>
      </c>
      <c r="IH11" s="955">
        <v>39.277923529411765</v>
      </c>
      <c r="II11" s="956">
        <v>40.294537229531109</v>
      </c>
      <c r="IJ11" s="954">
        <v>45.739758431372557</v>
      </c>
      <c r="IK11" s="955">
        <v>13.464133845949808</v>
      </c>
      <c r="IL11" s="955">
        <v>19.081907843137259</v>
      </c>
      <c r="IM11" s="955">
        <v>12.499685357154814</v>
      </c>
      <c r="IN11" s="955">
        <v>32.943460392156865</v>
      </c>
      <c r="IO11" s="955">
        <v>4.8093223259477824</v>
      </c>
      <c r="IP11" s="955">
        <v>14.564574509803924</v>
      </c>
      <c r="IQ11" s="955">
        <v>11.685545829063667</v>
      </c>
      <c r="IR11" s="955">
        <v>69.846886274509814</v>
      </c>
      <c r="IS11" s="955">
        <v>4.3688967401737173</v>
      </c>
      <c r="IT11" s="955">
        <v>48.379350980392154</v>
      </c>
      <c r="IU11" s="956">
        <v>71.239566551604682</v>
      </c>
      <c r="IV11" s="954">
        <v>44.819301288515405</v>
      </c>
      <c r="IW11" s="955">
        <v>21.682559370033161</v>
      </c>
      <c r="IX11" s="955">
        <v>16.790174509803926</v>
      </c>
      <c r="IY11" s="955">
        <v>6.2622390771009817</v>
      </c>
      <c r="IZ11" s="955">
        <v>33.170878655462189</v>
      </c>
      <c r="JA11" s="955">
        <v>10.29581555868298</v>
      </c>
      <c r="JB11" s="955">
        <v>12.771507843137258</v>
      </c>
      <c r="JC11" s="955">
        <v>5.5744315632410881</v>
      </c>
      <c r="JD11" s="955">
        <v>67.552802240896369</v>
      </c>
      <c r="JE11" s="955">
        <v>14.987471773334756</v>
      </c>
      <c r="JF11" s="955">
        <v>42.853484313725495</v>
      </c>
      <c r="JG11" s="956">
        <v>50.825887366562377</v>
      </c>
      <c r="JH11" s="954">
        <v>43.930337254901957</v>
      </c>
      <c r="JI11" s="955">
        <v>5.5280117924743468</v>
      </c>
      <c r="JJ11" s="955">
        <v>21.238833333333336</v>
      </c>
      <c r="JK11" s="955">
        <v>6.2055866312957395</v>
      </c>
      <c r="JL11" s="955">
        <v>31.546180392156863</v>
      </c>
      <c r="JM11" s="955">
        <v>0.98707281475111364</v>
      </c>
      <c r="JN11" s="955">
        <v>16.252166666666671</v>
      </c>
      <c r="JO11" s="955">
        <v>4.4563821322200896</v>
      </c>
      <c r="JP11" s="955">
        <v>0</v>
      </c>
      <c r="JQ11" s="955">
        <v>0</v>
      </c>
      <c r="JR11" s="955">
        <v>53.58016666666667</v>
      </c>
      <c r="JS11" s="956">
        <v>65.162244291288971</v>
      </c>
      <c r="JT11" s="954">
        <v>41.510957535014015</v>
      </c>
      <c r="JU11" s="955">
        <v>16.072467461990328</v>
      </c>
      <c r="JV11" s="955">
        <v>18.407868627450984</v>
      </c>
      <c r="JW11" s="955">
        <v>11.067541162580319</v>
      </c>
      <c r="JX11" s="955">
        <v>30.239473389355744</v>
      </c>
      <c r="JY11" s="955">
        <v>6.1020404460713378</v>
      </c>
      <c r="JZ11" s="955">
        <v>14.037201960784316</v>
      </c>
      <c r="KA11" s="955">
        <v>10.579474522879519</v>
      </c>
      <c r="KB11" s="955">
        <v>61.658727170868353</v>
      </c>
      <c r="KC11" s="955">
        <v>7.3264672167734544</v>
      </c>
      <c r="KD11" s="955">
        <v>46.754096078431374</v>
      </c>
      <c r="KE11" s="956">
        <v>65.307118543881145</v>
      </c>
      <c r="KF11" s="954">
        <v>45.498255238095247</v>
      </c>
      <c r="KG11" s="955">
        <v>15.659114700373667</v>
      </c>
      <c r="KH11" s="955">
        <v>19.284119607843138</v>
      </c>
      <c r="KI11" s="955">
        <v>11.301754445129246</v>
      </c>
      <c r="KJ11" s="955">
        <v>32.755900056022412</v>
      </c>
      <c r="KK11" s="955">
        <v>5.8763896511660203</v>
      </c>
      <c r="KL11" s="955">
        <v>14.722786274509806</v>
      </c>
      <c r="KM11" s="955">
        <v>10.339439208213047</v>
      </c>
      <c r="KN11" s="955">
        <v>69.317481232493009</v>
      </c>
      <c r="KO11" s="955">
        <v>5.8726703070297015</v>
      </c>
      <c r="KP11" s="955">
        <v>48.866927450980391</v>
      </c>
      <c r="KQ11" s="956">
        <v>66.935178835890667</v>
      </c>
      <c r="KR11" s="954">
        <v>44.283289187675074</v>
      </c>
      <c r="KS11" s="955">
        <v>7.5648644689497715</v>
      </c>
      <c r="KT11" s="955">
        <v>19.621139215686277</v>
      </c>
      <c r="KU11" s="955">
        <v>16.890265538551972</v>
      </c>
      <c r="KV11" s="955">
        <v>31.632080224089641</v>
      </c>
      <c r="KW11" s="955">
        <v>2.0874260407248424</v>
      </c>
      <c r="KX11" s="955">
        <v>14.986472549019611</v>
      </c>
      <c r="KY11" s="955">
        <v>15.377497772764228</v>
      </c>
      <c r="KZ11" s="955">
        <v>64.447007282913177</v>
      </c>
      <c r="LA11" s="955">
        <v>5.2705764744622741E-2</v>
      </c>
      <c r="LB11" s="955">
        <v>49.679554901960785</v>
      </c>
      <c r="LC11" s="956">
        <v>84.722311729563089</v>
      </c>
      <c r="LD11" s="954">
        <v>43.955968179271714</v>
      </c>
      <c r="LE11" s="955">
        <v>19.642208004494766</v>
      </c>
      <c r="LF11" s="955">
        <v>17.666425490196083</v>
      </c>
      <c r="LG11" s="955">
        <v>7.0202524561396382</v>
      </c>
      <c r="LH11" s="955">
        <v>31.548860056022413</v>
      </c>
      <c r="LI11" s="955">
        <v>8.6690837970982386</v>
      </c>
      <c r="LJ11" s="955">
        <v>13.457092156862746</v>
      </c>
      <c r="LK11" s="955">
        <v>6.6713663308863422</v>
      </c>
      <c r="LL11" s="955">
        <v>65.823410644257706</v>
      </c>
      <c r="LM11" s="955">
        <v>10.893263928350763</v>
      </c>
      <c r="LN11" s="955">
        <v>44.966315686274513</v>
      </c>
      <c r="LO11" s="956">
        <v>52.848186519995394</v>
      </c>
      <c r="LP11" s="954">
        <v>39.324104201680676</v>
      </c>
      <c r="LQ11" s="955">
        <v>4.9502984778373031</v>
      </c>
      <c r="LR11" s="955">
        <v>20.025562745098043</v>
      </c>
      <c r="LS11" s="955">
        <v>11.94377891876074</v>
      </c>
      <c r="LT11" s="955">
        <v>27.546927731092438</v>
      </c>
      <c r="LU11" s="955">
        <v>0.61253344136808996</v>
      </c>
      <c r="LV11" s="955">
        <v>15.302896078431377</v>
      </c>
      <c r="LW11" s="955">
        <v>10.042683825280834</v>
      </c>
      <c r="LX11" s="955">
        <v>0</v>
      </c>
      <c r="LY11" s="955">
        <v>0</v>
      </c>
      <c r="LZ11" s="955">
        <v>50.65470784313726</v>
      </c>
      <c r="MA11" s="956">
        <v>82.278286497709416</v>
      </c>
      <c r="MB11" s="954">
        <v>45.142547226890763</v>
      </c>
      <c r="MC11" s="955">
        <v>13.007899938633134</v>
      </c>
      <c r="MD11" s="955">
        <v>20.227774509803925</v>
      </c>
      <c r="ME11" s="955">
        <v>12.513918030764493</v>
      </c>
      <c r="MF11" s="955">
        <v>32.463212773109248</v>
      </c>
      <c r="MG11" s="955">
        <v>4.6739257692838008</v>
      </c>
      <c r="MH11" s="955">
        <v>15.461107843137258</v>
      </c>
      <c r="MI11" s="955">
        <v>11.583169190602712</v>
      </c>
      <c r="MJ11" s="955">
        <v>68.629250420168077</v>
      </c>
      <c r="MK11" s="955">
        <v>3.5477436701573701</v>
      </c>
      <c r="ML11" s="955">
        <v>51.142284313725497</v>
      </c>
      <c r="MM11" s="956">
        <v>72.022178463041996</v>
      </c>
      <c r="MN11" s="954">
        <v>40.17482464985995</v>
      </c>
      <c r="MO11" s="955">
        <v>0.94415882974521337</v>
      </c>
      <c r="MP11" s="955">
        <v>26.631147058823533</v>
      </c>
      <c r="MQ11" s="955">
        <v>13.703161632483161</v>
      </c>
      <c r="MR11" s="955">
        <v>28.198903081232491</v>
      </c>
      <c r="MS11" s="955">
        <v>0</v>
      </c>
      <c r="MT11" s="955">
        <v>20.471147058823533</v>
      </c>
      <c r="MU11" s="955">
        <v>9.0857703431568737</v>
      </c>
      <c r="MV11" s="955">
        <v>0</v>
      </c>
      <c r="MW11" s="955">
        <v>0</v>
      </c>
      <c r="MX11" s="955">
        <v>66.582205882352952</v>
      </c>
      <c r="MY11" s="956">
        <v>97.971227284357695</v>
      </c>
      <c r="MZ11" s="954">
        <v>38.476648739495808</v>
      </c>
      <c r="NA11" s="955">
        <v>0.64658460461363509</v>
      </c>
      <c r="NB11" s="955">
        <v>22.115084313725493</v>
      </c>
      <c r="NC11" s="955">
        <v>14.501282675411126</v>
      </c>
      <c r="ND11" s="955">
        <v>26.808648739495805</v>
      </c>
      <c r="NE11" s="955">
        <v>0</v>
      </c>
      <c r="NF11" s="955">
        <v>16.93775098039216</v>
      </c>
      <c r="NG11" s="955">
        <v>11.583857666922897</v>
      </c>
      <c r="NH11" s="955">
        <v>0</v>
      </c>
      <c r="NI11" s="955">
        <v>0</v>
      </c>
      <c r="NJ11" s="955">
        <v>55.692998039215688</v>
      </c>
      <c r="NK11" s="956">
        <v>99.005041633173278</v>
      </c>
      <c r="NL11" s="954">
        <v>42.72184425770309</v>
      </c>
      <c r="NM11" s="955">
        <v>10.48594997719351</v>
      </c>
      <c r="NN11" s="955">
        <v>21.036621568627453</v>
      </c>
      <c r="NO11" s="955">
        <v>11.6076978702822</v>
      </c>
      <c r="NP11" s="955">
        <v>30.793765826330535</v>
      </c>
      <c r="NQ11" s="955">
        <v>3.3962495701366073</v>
      </c>
      <c r="NR11" s="955">
        <v>16.093954901960789</v>
      </c>
      <c r="NS11" s="955">
        <v>10.309239611617423</v>
      </c>
      <c r="NT11" s="955">
        <v>61.429360224089642</v>
      </c>
      <c r="NU11" s="955">
        <v>1.156593200204566</v>
      </c>
      <c r="NV11" s="955">
        <v>53.092590196078433</v>
      </c>
      <c r="NW11" s="956">
        <v>72.931501251590305</v>
      </c>
      <c r="NX11" s="954">
        <v>41.767014229691881</v>
      </c>
      <c r="NY11" s="955">
        <v>13.768969457050538</v>
      </c>
      <c r="NZ11" s="955">
        <v>19.82335098039216</v>
      </c>
      <c r="OA11" s="955">
        <v>13.978879901719342</v>
      </c>
      <c r="OB11" s="955">
        <v>30.366242016806723</v>
      </c>
      <c r="OC11" s="955">
        <v>4.9811725237083246</v>
      </c>
      <c r="OD11" s="955">
        <v>15.144684313725492</v>
      </c>
      <c r="OE11" s="955">
        <v>12.974714039501265</v>
      </c>
      <c r="OF11" s="955">
        <v>61.958731652661072</v>
      </c>
      <c r="OG11" s="955">
        <v>4.2306679462149281</v>
      </c>
      <c r="OH11" s="955">
        <v>50.167131372549022</v>
      </c>
      <c r="OI11" s="956">
        <v>75.636233971271409</v>
      </c>
      <c r="OJ11" s="954">
        <v>43.493410644257708</v>
      </c>
      <c r="OK11" s="955">
        <v>4.9137973557373842</v>
      </c>
      <c r="OL11" s="955">
        <v>22.856527450980394</v>
      </c>
      <c r="OM11" s="955">
        <v>11.771791901938325</v>
      </c>
      <c r="ON11" s="955">
        <v>31.306979271708691</v>
      </c>
      <c r="OO11" s="955">
        <v>0.59720814182672532</v>
      </c>
      <c r="OP11" s="955">
        <v>17.517860784313729</v>
      </c>
      <c r="OQ11" s="955">
        <v>8.9934559855864791</v>
      </c>
      <c r="OR11" s="955">
        <v>0</v>
      </c>
      <c r="OS11" s="955">
        <v>0</v>
      </c>
      <c r="OT11" s="955">
        <v>57.480778431372556</v>
      </c>
      <c r="OU11" s="956">
        <v>80.365298866590848</v>
      </c>
      <c r="OV11" s="954">
        <v>43.563201344537816</v>
      </c>
      <c r="OW11" s="955">
        <v>18.311983584824912</v>
      </c>
      <c r="OX11" s="955">
        <v>18.812292156862746</v>
      </c>
      <c r="OY11" s="955">
        <v>8.6222457113925408</v>
      </c>
      <c r="OZ11" s="955">
        <v>31.22970218487395</v>
      </c>
      <c r="PA11" s="955">
        <v>7.7006732964992564</v>
      </c>
      <c r="PB11" s="955">
        <v>14.353625490196082</v>
      </c>
      <c r="PC11" s="955">
        <v>7.4398387937979473</v>
      </c>
      <c r="PD11" s="955">
        <v>65.082238655462191</v>
      </c>
      <c r="PE11" s="955">
        <v>9.0985280213338307</v>
      </c>
      <c r="PF11" s="955">
        <v>47.729249019607842</v>
      </c>
      <c r="PG11" s="956">
        <v>59.21363154541551</v>
      </c>
      <c r="PH11" s="954">
        <v>42.550021288515403</v>
      </c>
      <c r="PI11" s="955">
        <v>3.5190357577378446</v>
      </c>
      <c r="PJ11" s="955">
        <v>25.687492156862753</v>
      </c>
      <c r="PK11" s="955">
        <v>15.181628625569321</v>
      </c>
      <c r="PL11" s="955">
        <v>30.350402240896361</v>
      </c>
      <c r="PM11" s="955">
        <v>0.10813428534795783</v>
      </c>
      <c r="PN11" s="955">
        <v>19.732825490196085</v>
      </c>
      <c r="PO11" s="955">
        <v>11.205970737671594</v>
      </c>
      <c r="PP11" s="955">
        <v>0</v>
      </c>
      <c r="PQ11" s="955">
        <v>0</v>
      </c>
      <c r="PR11" s="955">
        <v>64.306849019607853</v>
      </c>
      <c r="PS11" s="956">
        <v>90.561026947329978</v>
      </c>
      <c r="PT11" s="954">
        <v>46.22487820728292</v>
      </c>
      <c r="PU11" s="955">
        <v>13.886200426766894</v>
      </c>
      <c r="PV11" s="955">
        <v>20.025562745098043</v>
      </c>
      <c r="PW11" s="955">
        <v>9.6518296942480575</v>
      </c>
      <c r="PX11" s="955">
        <v>33.271441792717091</v>
      </c>
      <c r="PY11" s="955">
        <v>4.8187397998647716</v>
      </c>
      <c r="PZ11" s="955">
        <v>15.302896078431377</v>
      </c>
      <c r="QA11" s="955">
        <v>8.8611294720075442</v>
      </c>
      <c r="QB11" s="955">
        <v>70.605705322128856</v>
      </c>
      <c r="QC11" s="955">
        <v>3.8318431167713896</v>
      </c>
      <c r="QD11" s="955">
        <v>50.65470784313726</v>
      </c>
      <c r="QE11" s="956">
        <v>63.927614580755495</v>
      </c>
      <c r="QF11" s="954">
        <v>44.387362240896358</v>
      </c>
      <c r="QG11" s="955">
        <v>14.107036731268103</v>
      </c>
      <c r="QH11" s="955">
        <v>19.688543137254904</v>
      </c>
      <c r="QI11" s="955">
        <v>12.948432725634101</v>
      </c>
      <c r="QJ11" s="955">
        <v>31.883640112044819</v>
      </c>
      <c r="QK11" s="955">
        <v>5.1417952969865945</v>
      </c>
      <c r="QL11" s="955">
        <v>15.039209803921572</v>
      </c>
      <c r="QM11" s="955">
        <v>11.84337460983369</v>
      </c>
      <c r="QN11" s="955">
        <v>67.058680112044826</v>
      </c>
      <c r="QO11" s="955">
        <v>4.2006783464691004</v>
      </c>
      <c r="QP11" s="955">
        <v>49.842080392156866</v>
      </c>
      <c r="QQ11" s="956">
        <v>72.502169390383315</v>
      </c>
      <c r="QR11" s="954">
        <v>36.148228571428575</v>
      </c>
      <c r="QS11" s="955">
        <v>1.0593938359685346</v>
      </c>
      <c r="QT11" s="955">
        <v>22.249892156862749</v>
      </c>
      <c r="QU11" s="955">
        <v>10.325949971174543</v>
      </c>
      <c r="QV11" s="955">
        <v>26.16949131652661</v>
      </c>
      <c r="QW11" s="955">
        <v>0</v>
      </c>
      <c r="QX11" s="955">
        <v>17.043225490196082</v>
      </c>
      <c r="QY11" s="955">
        <v>7.5332215372904257</v>
      </c>
      <c r="QZ11" s="955">
        <v>0</v>
      </c>
      <c r="RA11" s="955">
        <v>0</v>
      </c>
      <c r="RB11" s="955">
        <v>56.018049019607851</v>
      </c>
      <c r="RC11" s="956">
        <v>89.506138598074216</v>
      </c>
      <c r="RD11" s="954">
        <v>44.709366498599437</v>
      </c>
      <c r="RE11" s="955">
        <v>15.15583679997974</v>
      </c>
      <c r="RF11" s="955">
        <v>19.958158823529416</v>
      </c>
      <c r="RG11" s="955">
        <v>11.318780414228383</v>
      </c>
      <c r="RH11" s="955">
        <v>32.133720560224084</v>
      </c>
      <c r="RI11" s="955">
        <v>5.644064763999876</v>
      </c>
      <c r="RJ11" s="955">
        <v>15.250158823529414</v>
      </c>
      <c r="RK11" s="955">
        <v>10.298276792225009</v>
      </c>
      <c r="RL11" s="955">
        <v>67.764553501400556</v>
      </c>
      <c r="RM11" s="955">
        <v>5.3542263261958114</v>
      </c>
      <c r="RN11" s="955">
        <v>50.492182352941178</v>
      </c>
      <c r="RO11" s="956">
        <v>68.436057707891663</v>
      </c>
      <c r="RP11" s="954">
        <v>43.656469243697479</v>
      </c>
      <c r="RQ11" s="955">
        <v>14.430134539350295</v>
      </c>
      <c r="RR11" s="955">
        <v>19.82335098039216</v>
      </c>
      <c r="RS11" s="955">
        <v>10.76159676840914</v>
      </c>
      <c r="RT11" s="955">
        <v>31.311380168067227</v>
      </c>
      <c r="RU11" s="955">
        <v>5.2320633783383244</v>
      </c>
      <c r="RV11" s="955">
        <v>15.144684313725492</v>
      </c>
      <c r="RW11" s="955">
        <v>9.8054468506331105</v>
      </c>
      <c r="RX11" s="955">
        <v>65.611632492997202</v>
      </c>
      <c r="RY11" s="955">
        <v>4.5630273875502505</v>
      </c>
      <c r="RZ11" s="955">
        <v>50.167131372549022</v>
      </c>
      <c r="SA11" s="956">
        <v>67.095197137449262</v>
      </c>
    </row>
    <row r="12" spans="1:495">
      <c r="A12" s="961">
        <f>[3]Eingabedaten!A14</f>
        <v>3.02</v>
      </c>
      <c r="B12" s="169" t="str">
        <f>[3]Eingabedaten!C14</f>
        <v>Grossraumbüro</v>
      </c>
      <c r="C12" s="987">
        <f t="shared" si="1"/>
        <v>6</v>
      </c>
      <c r="D12" s="954" cm="1">
        <f t="array" ref="D12">INDEX($P$7:$SA$51,$C12,$G$3-1+D$2)</f>
        <v>38.024635764705877</v>
      </c>
      <c r="E12" s="955" cm="1">
        <f t="array" ref="E12">INDEX($P$7:$SA$51,$C12,$G$3-1+E$2)</f>
        <v>22.522730030268949</v>
      </c>
      <c r="F12" s="955" cm="1">
        <f t="array" ref="F12">INDEX($P$7:$SA$51,$C12,$G$3-1+F$2)</f>
        <v>12.556125490196077</v>
      </c>
      <c r="G12" s="955" cm="1">
        <f t="array" ref="G12">INDEX($P$7:$SA$51,$C12,$G$3-1+G$2)</f>
        <v>1.8931654459333342</v>
      </c>
      <c r="H12" s="955" cm="1">
        <f t="array" ref="H12">INDEX($P$7:$SA$51,$C12,$G$3-1+H$2)</f>
        <v>29.068722823529409</v>
      </c>
      <c r="I12" s="955" cm="1">
        <f t="array" ref="I12">INDEX($P$7:$SA$51,$C12,$G$3-1+I$2)</f>
        <v>12.273826949554088</v>
      </c>
      <c r="J12" s="955" cm="1">
        <f t="array" ref="J12">INDEX($P$7:$SA$51,$C12,$G$3-1+J$2)</f>
        <v>9.8051176470588253</v>
      </c>
      <c r="K12" s="955" cm="1">
        <f t="array" ref="K12">INDEX($P$7:$SA$51,$C12,$G$3-1+K$2)</f>
        <v>1.9991640367702697</v>
      </c>
      <c r="L12" s="955" cm="1">
        <f t="array" ref="L12">INDEX($P$7:$SA$51,$C12,$G$3-1+L$2)</f>
        <v>52.367529411764707</v>
      </c>
      <c r="M12" s="955" cm="1">
        <f t="array" ref="M12">INDEX($P$7:$SA$51,$C12,$G$3-1+M$2)</f>
        <v>6.1460743125130044</v>
      </c>
      <c r="N12" s="955" cm="1">
        <f t="array" ref="N12">INDEX($P$7:$SA$51,$C12,$G$3-1+N$2)</f>
        <v>37.292386274509802</v>
      </c>
      <c r="O12" s="956" cm="1">
        <f t="array" ref="O12">INDEX($P$7:$SA$51,$C12,$G$3-1+O$2)</f>
        <v>48.529661339641557</v>
      </c>
      <c r="P12" s="954">
        <v>31.99796862745098</v>
      </c>
      <c r="Q12" s="955">
        <v>10.660854292659492</v>
      </c>
      <c r="R12" s="955">
        <v>13.744178431372548</v>
      </c>
      <c r="S12" s="955">
        <v>1.6965066610165123</v>
      </c>
      <c r="T12" s="955">
        <v>24.091537254901958</v>
      </c>
      <c r="U12" s="955">
        <v>4.5485983845837108</v>
      </c>
      <c r="V12" s="955">
        <v>10.734023529411765</v>
      </c>
      <c r="W12" s="955">
        <v>1.3867543153518991</v>
      </c>
      <c r="X12" s="955">
        <v>0</v>
      </c>
      <c r="Y12" s="955">
        <v>0</v>
      </c>
      <c r="Z12" s="955">
        <v>40.574103921568629</v>
      </c>
      <c r="AA12" s="956">
        <v>61.689485136695261</v>
      </c>
      <c r="AB12" s="954">
        <v>38.067984392156866</v>
      </c>
      <c r="AC12" s="955">
        <v>23.052910960011094</v>
      </c>
      <c r="AD12" s="955">
        <v>11.676086274509803</v>
      </c>
      <c r="AE12" s="955">
        <v>1.6275367576900419</v>
      </c>
      <c r="AF12" s="955">
        <v>29.120293019607846</v>
      </c>
      <c r="AG12" s="955">
        <v>12.702782266990964</v>
      </c>
      <c r="AH12" s="955">
        <v>9.1170392156862761</v>
      </c>
      <c r="AI12" s="955">
        <v>1.8098829798305451</v>
      </c>
      <c r="AJ12" s="955">
        <v>52.714196078431371</v>
      </c>
      <c r="AK12" s="955">
        <v>6.8162647106951191</v>
      </c>
      <c r="AL12" s="955">
        <v>34.861484313725484</v>
      </c>
      <c r="AM12" s="956">
        <v>45.890336543442338</v>
      </c>
      <c r="AN12" s="954">
        <v>36.641025411764701</v>
      </c>
      <c r="AO12" s="955">
        <v>20.926843483281036</v>
      </c>
      <c r="AP12" s="955">
        <v>11.720088235294117</v>
      </c>
      <c r="AQ12" s="955">
        <v>2.3263481166742781</v>
      </c>
      <c r="AR12" s="955">
        <v>30.701314823529412</v>
      </c>
      <c r="AS12" s="955">
        <v>11.170259437010174</v>
      </c>
      <c r="AT12" s="955">
        <v>9.151443137254903</v>
      </c>
      <c r="AU12" s="955">
        <v>2.7406913215385544</v>
      </c>
      <c r="AV12" s="955">
        <v>51.080666666666666</v>
      </c>
      <c r="AW12" s="955">
        <v>4.4641360336153513</v>
      </c>
      <c r="AX12" s="955">
        <v>34.983029411764704</v>
      </c>
      <c r="AY12" s="956">
        <v>50.513840680824408</v>
      </c>
      <c r="AZ12" s="954">
        <v>40.019012470588237</v>
      </c>
      <c r="BA12" s="955">
        <v>25.709024495431272</v>
      </c>
      <c r="BB12" s="955">
        <v>12.11610588235294</v>
      </c>
      <c r="BC12" s="955">
        <v>1.1457242477305312</v>
      </c>
      <c r="BD12" s="955">
        <v>30.604554823529412</v>
      </c>
      <c r="BE12" s="955">
        <v>14.520836160784143</v>
      </c>
      <c r="BF12" s="955">
        <v>9.4610784313725489</v>
      </c>
      <c r="BG12" s="955">
        <v>1.2887557834264933</v>
      </c>
      <c r="BH12" s="955">
        <v>56.754235294117649</v>
      </c>
      <c r="BI12" s="955">
        <v>9.3477589868014856</v>
      </c>
      <c r="BJ12" s="955">
        <v>36.076935294117646</v>
      </c>
      <c r="BK12" s="956">
        <v>41.579170301670494</v>
      </c>
      <c r="BL12" s="954">
        <v>38.612817098039216</v>
      </c>
      <c r="BM12" s="955">
        <v>22.181653964652515</v>
      </c>
      <c r="BN12" s="955">
        <v>12.512123529411763</v>
      </c>
      <c r="BO12" s="955">
        <v>2.0455372791056048</v>
      </c>
      <c r="BP12" s="955">
        <v>29.521823372549022</v>
      </c>
      <c r="BQ12" s="955">
        <v>12.025620106348079</v>
      </c>
      <c r="BR12" s="955">
        <v>9.7707137254901966</v>
      </c>
      <c r="BS12" s="955">
        <v>2.0722577084324771</v>
      </c>
      <c r="BT12" s="955">
        <v>53.663372549019606</v>
      </c>
      <c r="BU12" s="955">
        <v>6.1327534005387934</v>
      </c>
      <c r="BV12" s="955">
        <v>37.170841176470589</v>
      </c>
      <c r="BW12" s="956">
        <v>49.965763535117404</v>
      </c>
      <c r="BX12" s="954">
        <v>38.845369725490194</v>
      </c>
      <c r="BY12" s="955">
        <v>22.854582358189983</v>
      </c>
      <c r="BZ12" s="955">
        <v>12.380117647058825</v>
      </c>
      <c r="CA12" s="955">
        <v>2.4489481152142782</v>
      </c>
      <c r="CB12" s="955">
        <v>29.745631686274514</v>
      </c>
      <c r="CC12" s="955">
        <v>12.539756374725318</v>
      </c>
      <c r="CD12" s="955">
        <v>9.667501960784314</v>
      </c>
      <c r="CE12" s="955">
        <v>2.7452577648858334</v>
      </c>
      <c r="CF12" s="955">
        <v>54.792862745098034</v>
      </c>
      <c r="CG12" s="955">
        <v>7.0101389311882683</v>
      </c>
      <c r="CH12" s="955">
        <v>36.806205882352941</v>
      </c>
      <c r="CI12" s="956">
        <v>50.871862343105235</v>
      </c>
      <c r="CJ12" s="954">
        <v>38.722803607843133</v>
      </c>
      <c r="CK12" s="955">
        <v>21.94403428488458</v>
      </c>
      <c r="CL12" s="955">
        <v>12.424119607843135</v>
      </c>
      <c r="CM12" s="955">
        <v>1.3050087851798791</v>
      </c>
      <c r="CN12" s="955">
        <v>29.608627921568626</v>
      </c>
      <c r="CO12" s="955">
        <v>11.885092372742779</v>
      </c>
      <c r="CP12" s="955">
        <v>9.7019058823529427</v>
      </c>
      <c r="CQ12" s="955">
        <v>1.2900913295171232</v>
      </c>
      <c r="CR12" s="955">
        <v>53.934392156862742</v>
      </c>
      <c r="CS12" s="955">
        <v>5.0699000300246926</v>
      </c>
      <c r="CT12" s="955">
        <v>36.927750980392155</v>
      </c>
      <c r="CU12" s="956">
        <v>45.188390847340408</v>
      </c>
      <c r="CV12" s="954">
        <v>30.502000000000006</v>
      </c>
      <c r="CW12" s="955">
        <v>8.2726334259049032</v>
      </c>
      <c r="CX12" s="955">
        <v>15.020235294117647</v>
      </c>
      <c r="CY12" s="955">
        <v>3.1748217722558274</v>
      </c>
      <c r="CZ12" s="955">
        <v>22.629352941176471</v>
      </c>
      <c r="DA12" s="955">
        <v>3.0830677668213684</v>
      </c>
      <c r="DB12" s="955">
        <v>11.731737254901962</v>
      </c>
      <c r="DC12" s="955">
        <v>2.2651691413617057</v>
      </c>
      <c r="DD12" s="955">
        <v>0</v>
      </c>
      <c r="DE12" s="955">
        <v>0</v>
      </c>
      <c r="DF12" s="955">
        <v>44.098911764705882</v>
      </c>
      <c r="DG12" s="956">
        <v>72.047576871148522</v>
      </c>
      <c r="DH12" s="954">
        <v>37.496802509803928</v>
      </c>
      <c r="DI12" s="955">
        <v>13.362150199945553</v>
      </c>
      <c r="DJ12" s="955">
        <v>13.52416862745098</v>
      </c>
      <c r="DK12" s="955">
        <v>1.4889400766024676</v>
      </c>
      <c r="DL12" s="955">
        <v>28.625757019607843</v>
      </c>
      <c r="DM12" s="955">
        <v>6.5290984089592152</v>
      </c>
      <c r="DN12" s="955">
        <v>10.562003921568628</v>
      </c>
      <c r="DO12" s="955">
        <v>1.2259320086419858</v>
      </c>
      <c r="DP12" s="955">
        <v>0</v>
      </c>
      <c r="DQ12" s="955">
        <v>0</v>
      </c>
      <c r="DR12" s="955">
        <v>39.966378431372547</v>
      </c>
      <c r="DS12" s="956">
        <v>56.192403989870556</v>
      </c>
      <c r="DT12" s="954">
        <v>37.246060470588233</v>
      </c>
      <c r="DU12" s="955">
        <v>12.13363553711522</v>
      </c>
      <c r="DV12" s="955">
        <v>14.184198039215687</v>
      </c>
      <c r="DW12" s="955">
        <v>4.4615967494509423</v>
      </c>
      <c r="DX12" s="955">
        <v>28.450776941176471</v>
      </c>
      <c r="DY12" s="955">
        <v>5.8669929907268772</v>
      </c>
      <c r="DZ12" s="955">
        <v>11.078062745098041</v>
      </c>
      <c r="EA12" s="955">
        <v>4.3233246140186443</v>
      </c>
      <c r="EB12" s="955">
        <v>0</v>
      </c>
      <c r="EC12" s="955">
        <v>0</v>
      </c>
      <c r="ED12" s="955">
        <v>41.789554901960784</v>
      </c>
      <c r="EE12" s="956">
        <v>67.715203062679194</v>
      </c>
      <c r="EF12" s="954">
        <v>39.732401568627452</v>
      </c>
      <c r="EG12" s="955">
        <v>27.010887630040461</v>
      </c>
      <c r="EH12" s="955">
        <v>11.104060784313724</v>
      </c>
      <c r="EI12" s="955">
        <v>1.1012668255537856</v>
      </c>
      <c r="EJ12" s="955">
        <v>30.39571137254902</v>
      </c>
      <c r="EK12" s="955">
        <v>15.452028643852637</v>
      </c>
      <c r="EL12" s="955">
        <v>8.6697882352941189</v>
      </c>
      <c r="EM12" s="955">
        <v>1.223343429156905</v>
      </c>
      <c r="EN12" s="955">
        <v>56.28784313725491</v>
      </c>
      <c r="EO12" s="955">
        <v>10.935379042414704</v>
      </c>
      <c r="EP12" s="955">
        <v>33.281398039215688</v>
      </c>
      <c r="EQ12" s="956">
        <v>40.225221016544431</v>
      </c>
      <c r="ER12" s="954">
        <v>38.57218839215686</v>
      </c>
      <c r="ES12" s="955">
        <v>18.288006043166611</v>
      </c>
      <c r="ET12" s="955">
        <v>12.864139215686274</v>
      </c>
      <c r="EU12" s="955">
        <v>3.9451733094937946</v>
      </c>
      <c r="EV12" s="955">
        <v>29.517531137254903</v>
      </c>
      <c r="EW12" s="955">
        <v>9.6013262373339163</v>
      </c>
      <c r="EX12" s="955">
        <v>10.045945098039216</v>
      </c>
      <c r="EY12" s="955">
        <v>4.2880094028297471</v>
      </c>
      <c r="EZ12" s="955">
        <v>53.947019607843139</v>
      </c>
      <c r="FA12" s="955">
        <v>2.5733197469104181</v>
      </c>
      <c r="FB12" s="955">
        <v>38.14320196078431</v>
      </c>
      <c r="FC12" s="956">
        <v>60.983071812482251</v>
      </c>
      <c r="FD12" s="954">
        <v>25.379823529411773</v>
      </c>
      <c r="FE12" s="955">
        <v>2.9816822084772077</v>
      </c>
      <c r="FF12" s="955">
        <v>16.032280392156864</v>
      </c>
      <c r="FG12" s="955">
        <v>5.6208800508038363</v>
      </c>
      <c r="FH12" s="955">
        <v>17.283647058823526</v>
      </c>
      <c r="FI12" s="955">
        <v>0.5662178191608872</v>
      </c>
      <c r="FJ12" s="955">
        <v>12.523027450980393</v>
      </c>
      <c r="FK12" s="955">
        <v>4.0662973295895108</v>
      </c>
      <c r="FL12" s="955">
        <v>0</v>
      </c>
      <c r="FM12" s="955">
        <v>0</v>
      </c>
      <c r="FN12" s="955">
        <v>46.894449019607841</v>
      </c>
      <c r="FO12" s="956">
        <v>89.565605161139274</v>
      </c>
      <c r="FP12" s="954">
        <v>37.888640078431372</v>
      </c>
      <c r="FQ12" s="955">
        <v>22.045572898791111</v>
      </c>
      <c r="FR12" s="955">
        <v>12.336115686274509</v>
      </c>
      <c r="FS12" s="955">
        <v>2.5377051675849689</v>
      </c>
      <c r="FT12" s="955">
        <v>28.950976156862744</v>
      </c>
      <c r="FU12" s="955">
        <v>11.925506004900045</v>
      </c>
      <c r="FV12" s="955">
        <v>9.6330980392156871</v>
      </c>
      <c r="FW12" s="955">
        <v>2.778074094002668</v>
      </c>
      <c r="FX12" s="955">
        <v>51.888509803921565</v>
      </c>
      <c r="FY12" s="955">
        <v>5.9533878015122026</v>
      </c>
      <c r="FZ12" s="955">
        <v>36.684660784313728</v>
      </c>
      <c r="GA12" s="956">
        <v>51.876373474936862</v>
      </c>
      <c r="GB12" s="954">
        <v>36.69255803921569</v>
      </c>
      <c r="GC12" s="955">
        <v>19.920767902291512</v>
      </c>
      <c r="GD12" s="955">
        <v>12.336115686274509</v>
      </c>
      <c r="GE12" s="955">
        <v>2.6477184101590803</v>
      </c>
      <c r="GF12" s="955">
        <v>28.038932549019606</v>
      </c>
      <c r="GG12" s="955">
        <v>10.565593767753201</v>
      </c>
      <c r="GH12" s="955">
        <v>9.6330980392156871</v>
      </c>
      <c r="GI12" s="955">
        <v>2.6914359354529407</v>
      </c>
      <c r="GJ12" s="955">
        <v>49.382549019607836</v>
      </c>
      <c r="GK12" s="955">
        <v>3.7720464195615051</v>
      </c>
      <c r="GL12" s="955">
        <v>36.684660784313728</v>
      </c>
      <c r="GM12" s="956">
        <v>54.131757722704222</v>
      </c>
      <c r="GN12" s="954">
        <v>36.231702666666671</v>
      </c>
      <c r="GO12" s="955">
        <v>13.931183813607117</v>
      </c>
      <c r="GP12" s="955">
        <v>13.436164705882351</v>
      </c>
      <c r="GQ12" s="955">
        <v>2.0842066130114483</v>
      </c>
      <c r="GR12" s="955">
        <v>28.412094117647058</v>
      </c>
      <c r="GS12" s="955">
        <v>6.9440727544414882</v>
      </c>
      <c r="GT12" s="955">
        <v>10.493196078431373</v>
      </c>
      <c r="GU12" s="955">
        <v>1.832133373158866</v>
      </c>
      <c r="GV12" s="955">
        <v>0</v>
      </c>
      <c r="GW12" s="955">
        <v>0</v>
      </c>
      <c r="GX12" s="955">
        <v>39.72328823529412</v>
      </c>
      <c r="GY12" s="956">
        <v>58.977490578413416</v>
      </c>
      <c r="GZ12" s="954">
        <v>35.358358823529407</v>
      </c>
      <c r="HA12" s="955">
        <v>11.884735756994351</v>
      </c>
      <c r="HB12" s="955">
        <v>13.480166666666666</v>
      </c>
      <c r="HC12" s="955">
        <v>3.2751628222316116</v>
      </c>
      <c r="HD12" s="955">
        <v>27.026035294117644</v>
      </c>
      <c r="HE12" s="955">
        <v>5.6452564997444679</v>
      </c>
      <c r="HF12" s="955">
        <v>10.527600000000001</v>
      </c>
      <c r="HG12" s="955">
        <v>3.1488787903428603</v>
      </c>
      <c r="HH12" s="955">
        <v>0</v>
      </c>
      <c r="HI12" s="955">
        <v>0</v>
      </c>
      <c r="HJ12" s="955">
        <v>39.844833333333334</v>
      </c>
      <c r="HK12" s="956">
        <v>66.935440191751155</v>
      </c>
      <c r="HL12" s="954">
        <v>38.135812235294118</v>
      </c>
      <c r="HM12" s="955">
        <v>31.196817320739893</v>
      </c>
      <c r="HN12" s="955">
        <v>9.8280039215686266</v>
      </c>
      <c r="HO12" s="955">
        <v>0.27656205810435885</v>
      </c>
      <c r="HP12" s="955">
        <v>29.14813458823529</v>
      </c>
      <c r="HQ12" s="955">
        <v>18.080980906401322</v>
      </c>
      <c r="HR12" s="955">
        <v>7.672074509803922</v>
      </c>
      <c r="HS12" s="955">
        <v>0.28976581287440334</v>
      </c>
      <c r="HT12" s="955">
        <v>52.526352941176476</v>
      </c>
      <c r="HU12" s="955">
        <v>15.198830491906028</v>
      </c>
      <c r="HV12" s="955">
        <v>29.756590196078431</v>
      </c>
      <c r="HW12" s="956">
        <v>29.885814566696716</v>
      </c>
      <c r="HX12" s="954">
        <v>39.550337333333331</v>
      </c>
      <c r="HY12" s="955">
        <v>31.692692440270381</v>
      </c>
      <c r="HZ12" s="955">
        <v>9.607994117647058</v>
      </c>
      <c r="IA12" s="955">
        <v>0.24036342279085912</v>
      </c>
      <c r="IB12" s="955">
        <v>30.179116549019607</v>
      </c>
      <c r="IC12" s="955">
        <v>18.396213615761244</v>
      </c>
      <c r="ID12" s="955">
        <v>7.5000549019607847</v>
      </c>
      <c r="IE12" s="955">
        <v>0.23436656805550571</v>
      </c>
      <c r="IF12" s="955">
        <v>54.831843137254907</v>
      </c>
      <c r="IG12" s="955">
        <v>16.434749959722303</v>
      </c>
      <c r="IH12" s="955">
        <v>29.148864705882353</v>
      </c>
      <c r="II12" s="956">
        <v>29.115599323186764</v>
      </c>
      <c r="IJ12" s="954">
        <v>39.159179764705883</v>
      </c>
      <c r="IK12" s="955">
        <v>22.304585261411574</v>
      </c>
      <c r="IL12" s="955">
        <v>12.072103921568626</v>
      </c>
      <c r="IM12" s="955">
        <v>2.2941699804426827</v>
      </c>
      <c r="IN12" s="955">
        <v>29.978024470588231</v>
      </c>
      <c r="IO12" s="955">
        <v>12.151208847312347</v>
      </c>
      <c r="IP12" s="955">
        <v>9.426674509803922</v>
      </c>
      <c r="IQ12" s="955">
        <v>2.5367136627824136</v>
      </c>
      <c r="IR12" s="955">
        <v>55.355058823529404</v>
      </c>
      <c r="IS12" s="955">
        <v>6.4630733941568455</v>
      </c>
      <c r="IT12" s="955">
        <v>35.955390196078426</v>
      </c>
      <c r="IU12" s="956">
        <v>50.229724776589748</v>
      </c>
      <c r="IV12" s="954">
        <v>38.798111215686276</v>
      </c>
      <c r="IW12" s="955">
        <v>30.477097607698802</v>
      </c>
      <c r="IX12" s="955">
        <v>10.57603725490196</v>
      </c>
      <c r="IY12" s="955">
        <v>0.870960582716094</v>
      </c>
      <c r="IZ12" s="955">
        <v>29.65417631372549</v>
      </c>
      <c r="JA12" s="955">
        <v>17.609322107163411</v>
      </c>
      <c r="JB12" s="955">
        <v>8.2569411764705887</v>
      </c>
      <c r="JC12" s="955">
        <v>0.87365211302984169</v>
      </c>
      <c r="JD12" s="955">
        <v>53.928078431372548</v>
      </c>
      <c r="JE12" s="955">
        <v>15.23572026782222</v>
      </c>
      <c r="JF12" s="955">
        <v>31.822856862745098</v>
      </c>
      <c r="JG12" s="956">
        <v>36.807111549427823</v>
      </c>
      <c r="JH12" s="954">
        <v>37.810968627450976</v>
      </c>
      <c r="JI12" s="955">
        <v>13.550687152841604</v>
      </c>
      <c r="JJ12" s="955">
        <v>13.480166666666666</v>
      </c>
      <c r="JK12" s="955">
        <v>1.2112271505680989</v>
      </c>
      <c r="JL12" s="955">
        <v>29.087184313725491</v>
      </c>
      <c r="JM12" s="955">
        <v>6.6710802689354427</v>
      </c>
      <c r="JN12" s="955">
        <v>10.527600000000001</v>
      </c>
      <c r="JO12" s="955">
        <v>0.88682972492198353</v>
      </c>
      <c r="JP12" s="955">
        <v>0</v>
      </c>
      <c r="JQ12" s="955">
        <v>0</v>
      </c>
      <c r="JR12" s="955">
        <v>39.844833333333334</v>
      </c>
      <c r="JS12" s="956">
        <v>54.340546020473141</v>
      </c>
      <c r="JT12" s="954">
        <v>36.687798196078433</v>
      </c>
      <c r="JU12" s="955">
        <v>24.429828651938568</v>
      </c>
      <c r="JV12" s="955">
        <v>11.632084313725487</v>
      </c>
      <c r="JW12" s="955">
        <v>1.7486450690782964</v>
      </c>
      <c r="JX12" s="955">
        <v>28.068503686274511</v>
      </c>
      <c r="JY12" s="955">
        <v>13.711054513774069</v>
      </c>
      <c r="JZ12" s="955">
        <v>9.0826352941176474</v>
      </c>
      <c r="KA12" s="955">
        <v>2.0250175175246499</v>
      </c>
      <c r="KB12" s="955">
        <v>49.83133333333334</v>
      </c>
      <c r="KC12" s="955">
        <v>8.7464000415960079</v>
      </c>
      <c r="KD12" s="955">
        <v>34.73993921568627</v>
      </c>
      <c r="KE12" s="956">
        <v>45.86547776760095</v>
      </c>
      <c r="KF12" s="954">
        <v>39.208478196078431</v>
      </c>
      <c r="KG12" s="955">
        <v>23.273900815192402</v>
      </c>
      <c r="KH12" s="955">
        <v>12.204109803921567</v>
      </c>
      <c r="KI12" s="955">
        <v>2.0686473727430772</v>
      </c>
      <c r="KJ12" s="955">
        <v>29.992630745098033</v>
      </c>
      <c r="KK12" s="955">
        <v>12.817906953047908</v>
      </c>
      <c r="KL12" s="955">
        <v>9.5298862745098045</v>
      </c>
      <c r="KM12" s="955">
        <v>2.1932630638480775</v>
      </c>
      <c r="KN12" s="955">
        <v>55.140745098039211</v>
      </c>
      <c r="KO12" s="955">
        <v>7.1361486914654684</v>
      </c>
      <c r="KP12" s="955">
        <v>36.320025490196073</v>
      </c>
      <c r="KQ12" s="956">
        <v>48.453493825888422</v>
      </c>
      <c r="KR12" s="954">
        <v>37.381716156862744</v>
      </c>
      <c r="KS12" s="955">
        <v>16.448331412344693</v>
      </c>
      <c r="KT12" s="955">
        <v>12.424119607843135</v>
      </c>
      <c r="KU12" s="955">
        <v>4.3026749596899263</v>
      </c>
      <c r="KV12" s="955">
        <v>28.50646007843137</v>
      </c>
      <c r="KW12" s="955">
        <v>8.7411175060685373</v>
      </c>
      <c r="KX12" s="955">
        <v>9.7019058823529427</v>
      </c>
      <c r="KY12" s="955">
        <v>4.4402604960103025</v>
      </c>
      <c r="KZ12" s="955">
        <v>50.025372549019615</v>
      </c>
      <c r="LA12" s="955">
        <v>1.9139833391940571</v>
      </c>
      <c r="LB12" s="955">
        <v>36.927750980392155</v>
      </c>
      <c r="LC12" s="956">
        <v>61.04577279712607</v>
      </c>
      <c r="LD12" s="954">
        <v>37.795993019607842</v>
      </c>
      <c r="LE12" s="955">
        <v>27.495149553479628</v>
      </c>
      <c r="LF12" s="955">
        <v>11.14806274509804</v>
      </c>
      <c r="LG12" s="955">
        <v>0.8292996043680988</v>
      </c>
      <c r="LH12" s="955">
        <v>28.884799686274508</v>
      </c>
      <c r="LI12" s="955">
        <v>15.743880412539847</v>
      </c>
      <c r="LJ12" s="955">
        <v>8.7041921568627458</v>
      </c>
      <c r="LK12" s="955">
        <v>0.93984950247799004</v>
      </c>
      <c r="LL12" s="955">
        <v>51.756156862745101</v>
      </c>
      <c r="LM12" s="955">
        <v>10.907352248087552</v>
      </c>
      <c r="LN12" s="955">
        <v>33.402943137254901</v>
      </c>
      <c r="LO12" s="956">
        <v>37.8796212488108</v>
      </c>
      <c r="LP12" s="954">
        <v>33.346023529411767</v>
      </c>
      <c r="LQ12" s="955">
        <v>13.675082892944205</v>
      </c>
      <c r="LR12" s="955">
        <v>12.688131372549019</v>
      </c>
      <c r="LS12" s="955">
        <v>2.7272548143503474</v>
      </c>
      <c r="LT12" s="955">
        <v>24.998200000000001</v>
      </c>
      <c r="LU12" s="955">
        <v>6.9563765405328137</v>
      </c>
      <c r="LV12" s="955">
        <v>9.9083294117647061</v>
      </c>
      <c r="LW12" s="955">
        <v>2.4783283709884318</v>
      </c>
      <c r="LX12" s="955">
        <v>0</v>
      </c>
      <c r="LY12" s="955">
        <v>0</v>
      </c>
      <c r="LZ12" s="955">
        <v>37.657021568627449</v>
      </c>
      <c r="MA12" s="956">
        <v>61.35937937242425</v>
      </c>
      <c r="MB12" s="954">
        <v>39.199808470588245</v>
      </c>
      <c r="MC12" s="955">
        <v>21.20949034131165</v>
      </c>
      <c r="MD12" s="955">
        <v>12.820137254901962</v>
      </c>
      <c r="ME12" s="955">
        <v>2.3253211173337514</v>
      </c>
      <c r="MF12" s="955">
        <v>29.982316705882354</v>
      </c>
      <c r="MG12" s="955">
        <v>11.390319862100027</v>
      </c>
      <c r="MH12" s="955">
        <v>10.01154117647059</v>
      </c>
      <c r="MI12" s="955">
        <v>2.5312977998196184</v>
      </c>
      <c r="MJ12" s="955">
        <v>55.071411764705886</v>
      </c>
      <c r="MK12" s="955">
        <v>4.8996567526612793</v>
      </c>
      <c r="ML12" s="955">
        <v>38.021656862745097</v>
      </c>
      <c r="MM12" s="956">
        <v>51.386898289297307</v>
      </c>
      <c r="MN12" s="954">
        <v>33.906498039215684</v>
      </c>
      <c r="MO12" s="955">
        <v>7.6587308633408444</v>
      </c>
      <c r="MP12" s="955">
        <v>17.000323529411766</v>
      </c>
      <c r="MQ12" s="955">
        <v>5.5472439594326044</v>
      </c>
      <c r="MR12" s="955">
        <v>25.454772549019605</v>
      </c>
      <c r="MS12" s="955">
        <v>2.9006416416829031</v>
      </c>
      <c r="MT12" s="955">
        <v>13.279913725490196</v>
      </c>
      <c r="MU12" s="955">
        <v>3.6525746394032681</v>
      </c>
      <c r="MV12" s="955">
        <v>0</v>
      </c>
      <c r="MW12" s="955">
        <v>0</v>
      </c>
      <c r="MX12" s="955">
        <v>49.568441176470586</v>
      </c>
      <c r="MY12" s="956">
        <v>83.701863595092107</v>
      </c>
      <c r="MZ12" s="954">
        <v>32.516952941176477</v>
      </c>
      <c r="NA12" s="955">
        <v>7.3072130158484994</v>
      </c>
      <c r="NB12" s="955">
        <v>14.052192156862743</v>
      </c>
      <c r="NC12" s="955">
        <v>4.0741762640985897</v>
      </c>
      <c r="ND12" s="955">
        <v>24.237305882352945</v>
      </c>
      <c r="NE12" s="955">
        <v>2.8768578894735302</v>
      </c>
      <c r="NF12" s="955">
        <v>10.974850980392157</v>
      </c>
      <c r="NG12" s="955">
        <v>3.3878347921292535</v>
      </c>
      <c r="NH12" s="955">
        <v>0</v>
      </c>
      <c r="NI12" s="955">
        <v>0</v>
      </c>
      <c r="NJ12" s="955">
        <v>41.424919607843137</v>
      </c>
      <c r="NK12" s="956">
        <v>78.347420306659885</v>
      </c>
      <c r="NL12" s="954">
        <v>37.544507843137254</v>
      </c>
      <c r="NM12" s="955">
        <v>18.87788176776613</v>
      </c>
      <c r="NN12" s="955">
        <v>13.348160784313725</v>
      </c>
      <c r="NO12" s="955">
        <v>2.2934114505017376</v>
      </c>
      <c r="NP12" s="955">
        <v>29.037439215686273</v>
      </c>
      <c r="NQ12" s="955">
        <v>9.9897577453602384</v>
      </c>
      <c r="NR12" s="955">
        <v>10.424388235294119</v>
      </c>
      <c r="NS12" s="955">
        <v>2.3211387423549321</v>
      </c>
      <c r="NT12" s="955">
        <v>48.731286274509806</v>
      </c>
      <c r="NU12" s="955">
        <v>2.8257480450764128</v>
      </c>
      <c r="NV12" s="955">
        <v>39.480198039215693</v>
      </c>
      <c r="NW12" s="956">
        <v>53.592799514446554</v>
      </c>
      <c r="NX12" s="954">
        <v>36.676748549019607</v>
      </c>
      <c r="NY12" s="955">
        <v>22.079195618259277</v>
      </c>
      <c r="NZ12" s="955">
        <v>12.556125490196077</v>
      </c>
      <c r="OA12" s="955">
        <v>2.8012818133912818</v>
      </c>
      <c r="OB12" s="955">
        <v>28.17075294117647</v>
      </c>
      <c r="OC12" s="955">
        <v>11.977167215574841</v>
      </c>
      <c r="OD12" s="955">
        <v>9.8051176470588253</v>
      </c>
      <c r="OE12" s="955">
        <v>3.0551413067250777</v>
      </c>
      <c r="OF12" s="955">
        <v>49.986392156862742</v>
      </c>
      <c r="OG12" s="955">
        <v>6.289175485792625</v>
      </c>
      <c r="OH12" s="955">
        <v>37.292386274509802</v>
      </c>
      <c r="OI12" s="956">
        <v>53.265181736665369</v>
      </c>
      <c r="OJ12" s="954">
        <v>37.172792784313728</v>
      </c>
      <c r="OK12" s="955">
        <v>13.277983470196608</v>
      </c>
      <c r="OL12" s="955">
        <v>14.536213725490196</v>
      </c>
      <c r="OM12" s="955">
        <v>3.5245992291440746</v>
      </c>
      <c r="ON12" s="955">
        <v>28.328379450980389</v>
      </c>
      <c r="OO12" s="955">
        <v>6.6801468711135259</v>
      </c>
      <c r="OP12" s="955">
        <v>11.35329411764706</v>
      </c>
      <c r="OQ12" s="955">
        <v>2.782441703074773</v>
      </c>
      <c r="OR12" s="955">
        <v>0</v>
      </c>
      <c r="OS12" s="955">
        <v>0</v>
      </c>
      <c r="OT12" s="955">
        <v>42.761915686274506</v>
      </c>
      <c r="OU12" s="956">
        <v>64.400855530895853</v>
      </c>
      <c r="OV12" s="954">
        <v>37.905979529411759</v>
      </c>
      <c r="OW12" s="955">
        <v>26.465205240080749</v>
      </c>
      <c r="OX12" s="955">
        <v>11.896096078431372</v>
      </c>
      <c r="OY12" s="955">
        <v>1.6579015235371022</v>
      </c>
      <c r="OZ12" s="955">
        <v>28.971604235294119</v>
      </c>
      <c r="PA12" s="955">
        <v>15.006775227992845</v>
      </c>
      <c r="PB12" s="955">
        <v>9.2890588235294125</v>
      </c>
      <c r="PC12" s="955">
        <v>1.589424101455011</v>
      </c>
      <c r="PD12" s="955">
        <v>52.027176470588238</v>
      </c>
      <c r="PE12" s="955">
        <v>9.8160775614735254</v>
      </c>
      <c r="PF12" s="955">
        <v>35.469209803921565</v>
      </c>
      <c r="PG12" s="956">
        <v>43.795705470065599</v>
      </c>
      <c r="PH12" s="954">
        <v>36.655159215686268</v>
      </c>
      <c r="PI12" s="955">
        <v>11.130899929276381</v>
      </c>
      <c r="PJ12" s="955">
        <v>16.384296078431372</v>
      </c>
      <c r="PK12" s="955">
        <v>5.5337011799408744</v>
      </c>
      <c r="PL12" s="955">
        <v>27.950398431372548</v>
      </c>
      <c r="PM12" s="955">
        <v>5.0832334299844657</v>
      </c>
      <c r="PN12" s="955">
        <v>12.798258823529414</v>
      </c>
      <c r="PO12" s="955">
        <v>4.1148225535938243</v>
      </c>
      <c r="PP12" s="955">
        <v>0</v>
      </c>
      <c r="PQ12" s="955">
        <v>0</v>
      </c>
      <c r="PR12" s="955">
        <v>47.866809803921569</v>
      </c>
      <c r="PS12" s="956">
        <v>73.908039298858242</v>
      </c>
      <c r="PT12" s="954">
        <v>39.909025960784312</v>
      </c>
      <c r="PU12" s="955">
        <v>23.114119003701664</v>
      </c>
      <c r="PV12" s="955">
        <v>12.688131372549019</v>
      </c>
      <c r="PW12" s="955">
        <v>1.565829482845609</v>
      </c>
      <c r="PX12" s="955">
        <v>30.517750274509805</v>
      </c>
      <c r="PY12" s="955">
        <v>12.745451678268161</v>
      </c>
      <c r="PZ12" s="955">
        <v>9.9083294117647061</v>
      </c>
      <c r="QA12" s="955">
        <v>1.6742788235890118</v>
      </c>
      <c r="QB12" s="955">
        <v>56.483215686274512</v>
      </c>
      <c r="QC12" s="955">
        <v>6.1187979383889122</v>
      </c>
      <c r="QD12" s="955">
        <v>37.657021568627449</v>
      </c>
      <c r="QE12" s="956">
        <v>45.682496877421066</v>
      </c>
      <c r="QF12" s="954">
        <v>38.630156549019603</v>
      </c>
      <c r="QG12" s="955">
        <v>21.946965260072329</v>
      </c>
      <c r="QH12" s="955">
        <v>12.468121568627451</v>
      </c>
      <c r="QI12" s="955">
        <v>2.5941055116398282</v>
      </c>
      <c r="QJ12" s="955">
        <v>29.542451450980391</v>
      </c>
      <c r="QK12" s="955">
        <v>11.867695633257293</v>
      </c>
      <c r="QL12" s="955">
        <v>9.7363098039215696</v>
      </c>
      <c r="QM12" s="955">
        <v>2.7581579626907913</v>
      </c>
      <c r="QN12" s="955">
        <v>53.802039215686271</v>
      </c>
      <c r="QO12" s="955">
        <v>5.9062500736282377</v>
      </c>
      <c r="QP12" s="955">
        <v>37.049296078431368</v>
      </c>
      <c r="QQ12" s="956">
        <v>52.186507547839533</v>
      </c>
      <c r="QR12" s="954">
        <v>32.366100000000003</v>
      </c>
      <c r="QS12" s="955">
        <v>8.4970174477066784</v>
      </c>
      <c r="QT12" s="955">
        <v>14.140196078431373</v>
      </c>
      <c r="QU12" s="955">
        <v>2.7926590028900473</v>
      </c>
      <c r="QV12" s="955">
        <v>24.551305882352942</v>
      </c>
      <c r="QW12" s="955">
        <v>3.2887965052668333</v>
      </c>
      <c r="QX12" s="955">
        <v>11.043658823529412</v>
      </c>
      <c r="QY12" s="955">
        <v>2.0711633765981916</v>
      </c>
      <c r="QZ12" s="955">
        <v>0</v>
      </c>
      <c r="RA12" s="955">
        <v>0</v>
      </c>
      <c r="RB12" s="955">
        <v>41.668009803921564</v>
      </c>
      <c r="RC12" s="956">
        <v>72.31003386633769</v>
      </c>
      <c r="RD12" s="954">
        <v>38.887188392156858</v>
      </c>
      <c r="RE12" s="955">
        <v>22.974708529820926</v>
      </c>
      <c r="RF12" s="955">
        <v>12.644129411764705</v>
      </c>
      <c r="RG12" s="955">
        <v>2.077536366477065</v>
      </c>
      <c r="RH12" s="955">
        <v>29.7425311372549</v>
      </c>
      <c r="RI12" s="955">
        <v>12.605213777048579</v>
      </c>
      <c r="RJ12" s="955">
        <v>9.8739254901960791</v>
      </c>
      <c r="RK12" s="955">
        <v>2.1880563530843902</v>
      </c>
      <c r="RL12" s="955">
        <v>54.397019607843134</v>
      </c>
      <c r="RM12" s="955">
        <v>6.8759007394977001</v>
      </c>
      <c r="RN12" s="955">
        <v>37.535476470588236</v>
      </c>
      <c r="RO12" s="956">
        <v>49.438865070656227</v>
      </c>
      <c r="RP12" s="954">
        <v>38.024635764705877</v>
      </c>
      <c r="RQ12" s="955">
        <v>22.522730030268949</v>
      </c>
      <c r="RR12" s="955">
        <v>12.556125490196077</v>
      </c>
      <c r="RS12" s="955">
        <v>1.8931654459333342</v>
      </c>
      <c r="RT12" s="955">
        <v>29.068722823529409</v>
      </c>
      <c r="RU12" s="955">
        <v>12.273826949554088</v>
      </c>
      <c r="RV12" s="955">
        <v>9.8051176470588253</v>
      </c>
      <c r="RW12" s="955">
        <v>1.9991640367702697</v>
      </c>
      <c r="RX12" s="955">
        <v>52.367529411764707</v>
      </c>
      <c r="RY12" s="955">
        <v>6.1460743125130044</v>
      </c>
      <c r="RZ12" s="955">
        <v>37.292386274509802</v>
      </c>
      <c r="SA12" s="956">
        <v>48.529661339641557</v>
      </c>
    </row>
    <row r="13" spans="1:495">
      <c r="A13" s="961">
        <f>[3]Eingabedaten!A15</f>
        <v>3.03</v>
      </c>
      <c r="B13" s="169" t="str">
        <f>[3]Eingabedaten!C15</f>
        <v>Sitzungszimmer</v>
      </c>
      <c r="C13" s="987">
        <f t="shared" si="1"/>
        <v>7</v>
      </c>
      <c r="D13" s="954" cm="1">
        <f t="array" ref="D13">INDEX($P$7:$SA$51,$C13,$G$3-1+D$2)</f>
        <v>69.821311372549019</v>
      </c>
      <c r="E13" s="955" cm="1">
        <f t="array" ref="E13">INDEX($P$7:$SA$51,$C13,$G$3-1+E$2)</f>
        <v>7.6126663130843584</v>
      </c>
      <c r="F13" s="955" cm="1">
        <f t="array" ref="F13">INDEX($P$7:$SA$51,$C13,$G$3-1+F$2)</f>
        <v>19.82335098039216</v>
      </c>
      <c r="G13" s="955" cm="1">
        <f t="array" ref="G13">INDEX($P$7:$SA$51,$C13,$G$3-1+G$2)</f>
        <v>18.41339519815179</v>
      </c>
      <c r="H13" s="955" cm="1">
        <f t="array" ref="H13">INDEX($P$7:$SA$51,$C13,$G$3-1+H$2)</f>
        <v>56.843444705882348</v>
      </c>
      <c r="I13" s="955" cm="1">
        <f t="array" ref="I13">INDEX($P$7:$SA$51,$C13,$G$3-1+I$2)</f>
        <v>4.6175137741005718</v>
      </c>
      <c r="J13" s="955" cm="1">
        <f t="array" ref="J13">INDEX($P$7:$SA$51,$C13,$G$3-1+J$2)</f>
        <v>15.144684313725492</v>
      </c>
      <c r="K13" s="955" cm="1">
        <f t="array" ref="K13">INDEX($P$7:$SA$51,$C13,$G$3-1+K$2)</f>
        <v>12.760188792503513</v>
      </c>
      <c r="L13" s="955" cm="1">
        <f t="array" ref="L13">INDEX($P$7:$SA$51,$C13,$G$3-1+L$2)</f>
        <v>0</v>
      </c>
      <c r="M13" s="955" cm="1">
        <f t="array" ref="M13">INDEX($P$7:$SA$51,$C13,$G$3-1+M$2)</f>
        <v>0</v>
      </c>
      <c r="N13" s="955" cm="1">
        <f t="array" ref="N13">INDEX($P$7:$SA$51,$C13,$G$3-1+N$2)</f>
        <v>50.167131372549022</v>
      </c>
      <c r="O13" s="956" cm="1">
        <f t="array" ref="O13">INDEX($P$7:$SA$51,$C13,$G$3-1+O$2)</f>
        <v>102.87718047633325</v>
      </c>
      <c r="P13" s="954">
        <v>50.089733333333335</v>
      </c>
      <c r="Q13" s="955">
        <v>0</v>
      </c>
      <c r="R13" s="955">
        <v>21.643256862745101</v>
      </c>
      <c r="S13" s="955">
        <v>16.78630946278787</v>
      </c>
      <c r="T13" s="955">
        <v>40.048870588235296</v>
      </c>
      <c r="U13" s="955">
        <v>0</v>
      </c>
      <c r="V13" s="955">
        <v>16.568590196078432</v>
      </c>
      <c r="W13" s="955">
        <v>9.7866860122257719</v>
      </c>
      <c r="X13" s="955">
        <v>0</v>
      </c>
      <c r="Y13" s="955">
        <v>0</v>
      </c>
      <c r="Z13" s="955">
        <v>54.555319607843138</v>
      </c>
      <c r="AA13" s="956">
        <v>129.92230410951794</v>
      </c>
      <c r="AB13" s="954">
        <v>72.738401568627467</v>
      </c>
      <c r="AC13" s="955">
        <v>7.2724934200635669</v>
      </c>
      <c r="AD13" s="955">
        <v>18.475272549019611</v>
      </c>
      <c r="AE13" s="955">
        <v>17.815484235830873</v>
      </c>
      <c r="AF13" s="955">
        <v>58.985162352941181</v>
      </c>
      <c r="AG13" s="955">
        <v>4.4439364917205006</v>
      </c>
      <c r="AH13" s="955">
        <v>14.089939215686277</v>
      </c>
      <c r="AI13" s="955">
        <v>12.516461182273833</v>
      </c>
      <c r="AJ13" s="955">
        <v>0</v>
      </c>
      <c r="AK13" s="955">
        <v>0</v>
      </c>
      <c r="AL13" s="955">
        <v>46.916621568627455</v>
      </c>
      <c r="AM13" s="956">
        <v>99.644123326630918</v>
      </c>
      <c r="AN13" s="954">
        <v>67.092792156862743</v>
      </c>
      <c r="AO13" s="955">
        <v>4.7878736119716008</v>
      </c>
      <c r="AP13" s="955">
        <v>18.542676470588241</v>
      </c>
      <c r="AQ13" s="955">
        <v>21.744518603355388</v>
      </c>
      <c r="AR13" s="955">
        <v>57.655378823529425</v>
      </c>
      <c r="AS13" s="955">
        <v>2.6253241487419032</v>
      </c>
      <c r="AT13" s="955">
        <v>14.142676470588238</v>
      </c>
      <c r="AU13" s="955">
        <v>15.971855358840076</v>
      </c>
      <c r="AV13" s="955">
        <v>0</v>
      </c>
      <c r="AW13" s="955">
        <v>0</v>
      </c>
      <c r="AX13" s="955">
        <v>47.079147058823537</v>
      </c>
      <c r="AY13" s="956">
        <v>110.41213116497543</v>
      </c>
      <c r="AZ13" s="954">
        <v>75.514756078431375</v>
      </c>
      <c r="BA13" s="955">
        <v>10.487643864392101</v>
      </c>
      <c r="BB13" s="955">
        <v>19.149311764705885</v>
      </c>
      <c r="BC13" s="955">
        <v>15.496794492298973</v>
      </c>
      <c r="BD13" s="955">
        <v>61.188983529411765</v>
      </c>
      <c r="BE13" s="955">
        <v>6.440464661078682</v>
      </c>
      <c r="BF13" s="955">
        <v>14.617311764705885</v>
      </c>
      <c r="BG13" s="955">
        <v>10.624391284675459</v>
      </c>
      <c r="BH13" s="955">
        <v>103.85687843137254</v>
      </c>
      <c r="BI13" s="955">
        <v>1.4586388629032883</v>
      </c>
      <c r="BJ13" s="955">
        <v>48.541876470588235</v>
      </c>
      <c r="BK13" s="956">
        <v>91.205206923922233</v>
      </c>
      <c r="BL13" s="954">
        <v>70.916185098039222</v>
      </c>
      <c r="BM13" s="955">
        <v>7.6599159770666292</v>
      </c>
      <c r="BN13" s="955">
        <v>19.755947058823534</v>
      </c>
      <c r="BO13" s="955">
        <v>18.589456694489691</v>
      </c>
      <c r="BP13" s="955">
        <v>57.718428235294127</v>
      </c>
      <c r="BQ13" s="955">
        <v>4.6476860415367796</v>
      </c>
      <c r="BR13" s="955">
        <v>15.091947058823532</v>
      </c>
      <c r="BS13" s="955">
        <v>12.728524851047041</v>
      </c>
      <c r="BT13" s="955">
        <v>0</v>
      </c>
      <c r="BU13" s="955">
        <v>0</v>
      </c>
      <c r="BV13" s="955">
        <v>50.004605882352941</v>
      </c>
      <c r="BW13" s="956">
        <v>104.92093869649727</v>
      </c>
      <c r="BX13" s="954">
        <v>69.637182745098045</v>
      </c>
      <c r="BY13" s="955">
        <v>7.9298465855876419</v>
      </c>
      <c r="BZ13" s="955">
        <v>19.553735294117651</v>
      </c>
      <c r="CA13" s="955">
        <v>21.297453634401169</v>
      </c>
      <c r="CB13" s="955">
        <v>56.909402352941179</v>
      </c>
      <c r="CC13" s="955">
        <v>4.8610756998538163</v>
      </c>
      <c r="CD13" s="955">
        <v>14.93373529411765</v>
      </c>
      <c r="CE13" s="955">
        <v>15.462099812958829</v>
      </c>
      <c r="CF13" s="955">
        <v>0</v>
      </c>
      <c r="CG13" s="955">
        <v>0</v>
      </c>
      <c r="CH13" s="955">
        <v>49.51702941176471</v>
      </c>
      <c r="CI13" s="956">
        <v>108.47342901717624</v>
      </c>
      <c r="CJ13" s="954">
        <v>65.851794509803938</v>
      </c>
      <c r="CK13" s="955">
        <v>5.8402299232578185</v>
      </c>
      <c r="CL13" s="955">
        <v>19.621139215686277</v>
      </c>
      <c r="CM13" s="955">
        <v>15.169193500368953</v>
      </c>
      <c r="CN13" s="955">
        <v>54.031308235294112</v>
      </c>
      <c r="CO13" s="955">
        <v>3.3659170013235555</v>
      </c>
      <c r="CP13" s="955">
        <v>14.986472549019611</v>
      </c>
      <c r="CQ13" s="955">
        <v>9.8460710331930557</v>
      </c>
      <c r="CR13" s="955">
        <v>0</v>
      </c>
      <c r="CS13" s="955">
        <v>0</v>
      </c>
      <c r="CT13" s="955">
        <v>49.679554901960785</v>
      </c>
      <c r="CU13" s="956">
        <v>97.162007581226177</v>
      </c>
      <c r="CV13" s="954">
        <v>48.223301960784312</v>
      </c>
      <c r="CW13" s="955">
        <v>0</v>
      </c>
      <c r="CX13" s="955">
        <v>23.597970588235299</v>
      </c>
      <c r="CY13" s="955">
        <v>19.186319874079878</v>
      </c>
      <c r="CZ13" s="955">
        <v>37.799694117647057</v>
      </c>
      <c r="DA13" s="955">
        <v>0</v>
      </c>
      <c r="DB13" s="955">
        <v>18.097970588235299</v>
      </c>
      <c r="DC13" s="955">
        <v>11.01612749430616</v>
      </c>
      <c r="DD13" s="955">
        <v>0</v>
      </c>
      <c r="DE13" s="955">
        <v>0</v>
      </c>
      <c r="DF13" s="955">
        <v>59.268558823529425</v>
      </c>
      <c r="DG13" s="956">
        <v>140.31106433390704</v>
      </c>
      <c r="DH13" s="954">
        <v>65.433370980392169</v>
      </c>
      <c r="DI13" s="955">
        <v>0.68565900458486972</v>
      </c>
      <c r="DJ13" s="955">
        <v>21.306237254901966</v>
      </c>
      <c r="DK13" s="955">
        <v>15.260374986431861</v>
      </c>
      <c r="DL13" s="955">
        <v>53.383943529411766</v>
      </c>
      <c r="DM13" s="955">
        <v>0</v>
      </c>
      <c r="DN13" s="955">
        <v>16.304903921568631</v>
      </c>
      <c r="DO13" s="955">
        <v>8.9896259177999642</v>
      </c>
      <c r="DP13" s="955">
        <v>0</v>
      </c>
      <c r="DQ13" s="955">
        <v>0</v>
      </c>
      <c r="DR13" s="955">
        <v>53.742692156862745</v>
      </c>
      <c r="DS13" s="956">
        <v>116.63649522533886</v>
      </c>
      <c r="DT13" s="954">
        <v>68.533643921568626</v>
      </c>
      <c r="DU13" s="955">
        <v>0</v>
      </c>
      <c r="DV13" s="955">
        <v>22.317296078431379</v>
      </c>
      <c r="DW13" s="955">
        <v>26.54231423505054</v>
      </c>
      <c r="DX13" s="955">
        <v>55.668122352941175</v>
      </c>
      <c r="DY13" s="955">
        <v>0</v>
      </c>
      <c r="DZ13" s="955">
        <v>17.095962745098042</v>
      </c>
      <c r="EA13" s="955">
        <v>18.646296768009464</v>
      </c>
      <c r="EB13" s="955">
        <v>0</v>
      </c>
      <c r="EC13" s="955">
        <v>0</v>
      </c>
      <c r="ED13" s="955">
        <v>56.180574509803932</v>
      </c>
      <c r="EE13" s="956">
        <v>139.6308677364288</v>
      </c>
      <c r="EF13" s="954">
        <v>73.151436862745086</v>
      </c>
      <c r="EG13" s="955">
        <v>12.24326239094408</v>
      </c>
      <c r="EH13" s="955">
        <v>17.599021568627453</v>
      </c>
      <c r="EI13" s="955">
        <v>14.886832584042399</v>
      </c>
      <c r="EJ13" s="955">
        <v>59.454432941176471</v>
      </c>
      <c r="EK13" s="955">
        <v>7.3540815091720111</v>
      </c>
      <c r="EL13" s="955">
        <v>13.404354901960787</v>
      </c>
      <c r="EM13" s="955">
        <v>10.15486402657594</v>
      </c>
      <c r="EN13" s="955">
        <v>100.12373333333333</v>
      </c>
      <c r="EO13" s="955">
        <v>3.360392652026575</v>
      </c>
      <c r="EP13" s="955">
        <v>44.803790196078431</v>
      </c>
      <c r="EQ13" s="956">
        <v>88.006373839241462</v>
      </c>
      <c r="ER13" s="954">
        <v>68.668265098039228</v>
      </c>
      <c r="ES13" s="955">
        <v>3.4959903070738818</v>
      </c>
      <c r="ET13" s="955">
        <v>20.295178431372552</v>
      </c>
      <c r="EU13" s="955">
        <v>28.169820337499914</v>
      </c>
      <c r="EV13" s="955">
        <v>56.043072941176469</v>
      </c>
      <c r="EW13" s="955">
        <v>1.6036923153663529</v>
      </c>
      <c r="EX13" s="955">
        <v>15.513845098039219</v>
      </c>
      <c r="EY13" s="955">
        <v>20.940346474749063</v>
      </c>
      <c r="EZ13" s="955">
        <v>0</v>
      </c>
      <c r="FA13" s="955">
        <v>0</v>
      </c>
      <c r="FB13" s="955">
        <v>51.304809803921572</v>
      </c>
      <c r="FC13" s="956">
        <v>129.98934516889511</v>
      </c>
      <c r="FD13" s="954">
        <v>31.420737254901965</v>
      </c>
      <c r="FE13" s="955">
        <v>0</v>
      </c>
      <c r="FF13" s="955">
        <v>25.148260784313727</v>
      </c>
      <c r="FG13" s="955">
        <v>23.595591312213497</v>
      </c>
      <c r="FH13" s="955">
        <v>19.752188235294113</v>
      </c>
      <c r="FI13" s="955">
        <v>0</v>
      </c>
      <c r="FJ13" s="955">
        <v>19.310927450980394</v>
      </c>
      <c r="FK13" s="955">
        <v>14.103590030902167</v>
      </c>
      <c r="FL13" s="955">
        <v>0</v>
      </c>
      <c r="FM13" s="955">
        <v>0</v>
      </c>
      <c r="FN13" s="955">
        <v>63.006645098039222</v>
      </c>
      <c r="FO13" s="956">
        <v>162.31092437328843</v>
      </c>
      <c r="FP13" s="954">
        <v>69.055744313725512</v>
      </c>
      <c r="FQ13" s="955">
        <v>7.4110007697876092</v>
      </c>
      <c r="FR13" s="955">
        <v>19.486331372549024</v>
      </c>
      <c r="FS13" s="955">
        <v>21.296393496274558</v>
      </c>
      <c r="FT13" s="955">
        <v>56.226912941176472</v>
      </c>
      <c r="FU13" s="955">
        <v>4.4697702151572027</v>
      </c>
      <c r="FV13" s="955">
        <v>14.88099803921569</v>
      </c>
      <c r="FW13" s="955">
        <v>15.350775062102258</v>
      </c>
      <c r="FX13" s="955">
        <v>0</v>
      </c>
      <c r="FY13" s="955">
        <v>0</v>
      </c>
      <c r="FZ13" s="955">
        <v>49.354503921568629</v>
      </c>
      <c r="GA13" s="956">
        <v>109.36417134975373</v>
      </c>
      <c r="GB13" s="954">
        <v>66.22755137254903</v>
      </c>
      <c r="GC13" s="955">
        <v>5.1734356706164553</v>
      </c>
      <c r="GD13" s="955">
        <v>19.486331372549024</v>
      </c>
      <c r="GE13" s="955">
        <v>21.112804961717799</v>
      </c>
      <c r="GF13" s="955">
        <v>54.06737882352941</v>
      </c>
      <c r="GG13" s="955">
        <v>2.8203512865537896</v>
      </c>
      <c r="GH13" s="955">
        <v>14.88099803921569</v>
      </c>
      <c r="GI13" s="955">
        <v>14.738817499979504</v>
      </c>
      <c r="GJ13" s="955">
        <v>0</v>
      </c>
      <c r="GK13" s="955">
        <v>0</v>
      </c>
      <c r="GL13" s="955">
        <v>49.354503921568629</v>
      </c>
      <c r="GM13" s="956">
        <v>113.24719917489088</v>
      </c>
      <c r="GN13" s="954">
        <v>65.095618823529421</v>
      </c>
      <c r="GO13" s="955">
        <v>1.7258606998658246</v>
      </c>
      <c r="GP13" s="955">
        <v>21.171429411764709</v>
      </c>
      <c r="GQ13" s="955">
        <v>18.146832642942186</v>
      </c>
      <c r="GR13" s="955">
        <v>54.048517647058823</v>
      </c>
      <c r="GS13" s="955">
        <v>0.48543665347402015</v>
      </c>
      <c r="GT13" s="955">
        <v>16.199429411764708</v>
      </c>
      <c r="GU13" s="955">
        <v>11.3367693465422</v>
      </c>
      <c r="GV13" s="955">
        <v>0</v>
      </c>
      <c r="GW13" s="955">
        <v>0</v>
      </c>
      <c r="GX13" s="955">
        <v>53.417641176470596</v>
      </c>
      <c r="GY13" s="956">
        <v>120.88661432384311</v>
      </c>
      <c r="GZ13" s="954">
        <v>64.54069019607843</v>
      </c>
      <c r="HA13" s="955">
        <v>0.52901368194661735</v>
      </c>
      <c r="HB13" s="955">
        <v>21.238833333333336</v>
      </c>
      <c r="HC13" s="955">
        <v>24.09143818789703</v>
      </c>
      <c r="HD13" s="955">
        <v>52.752611764705883</v>
      </c>
      <c r="HE13" s="955">
        <v>0</v>
      </c>
      <c r="HF13" s="955">
        <v>16.252166666666671</v>
      </c>
      <c r="HG13" s="955">
        <v>16.180238000918827</v>
      </c>
      <c r="HH13" s="955">
        <v>0</v>
      </c>
      <c r="HI13" s="955">
        <v>0</v>
      </c>
      <c r="HJ13" s="955">
        <v>53.58016666666667</v>
      </c>
      <c r="HK13" s="956">
        <v>136.83735342142026</v>
      </c>
      <c r="HL13" s="954">
        <v>68.650208627450979</v>
      </c>
      <c r="HM13" s="955">
        <v>15.091512594903575</v>
      </c>
      <c r="HN13" s="955">
        <v>15.644307843137259</v>
      </c>
      <c r="HO13" s="955">
        <v>8.9031071223339122</v>
      </c>
      <c r="HP13" s="955">
        <v>55.925628235294106</v>
      </c>
      <c r="HQ13" s="955">
        <v>9.6621048709813948</v>
      </c>
      <c r="HR13" s="955">
        <v>11.874974509803925</v>
      </c>
      <c r="HS13" s="955">
        <v>5.3607282515206149</v>
      </c>
      <c r="HT13" s="955">
        <v>91.283827450980382</v>
      </c>
      <c r="HU13" s="955">
        <v>6.727562029641402</v>
      </c>
      <c r="HV13" s="955">
        <v>40.090550980392159</v>
      </c>
      <c r="HW13" s="956">
        <v>69.85823925082299</v>
      </c>
      <c r="HX13" s="954">
        <v>72.203632941176465</v>
      </c>
      <c r="HY13" s="955">
        <v>16.151827285593608</v>
      </c>
      <c r="HZ13" s="955">
        <v>15.307288235294122</v>
      </c>
      <c r="IA13" s="955">
        <v>7.9099345542914365</v>
      </c>
      <c r="IB13" s="955">
        <v>58.487021176470584</v>
      </c>
      <c r="IC13" s="955">
        <v>10.455843681458381</v>
      </c>
      <c r="ID13" s="955">
        <v>11.61128823529412</v>
      </c>
      <c r="IE13" s="955">
        <v>4.5704557544969431</v>
      </c>
      <c r="IF13" s="955">
        <v>96.538635294117654</v>
      </c>
      <c r="IG13" s="955">
        <v>8.2016413488918705</v>
      </c>
      <c r="IH13" s="955">
        <v>39.277923529411765</v>
      </c>
      <c r="II13" s="956">
        <v>68.511293281235695</v>
      </c>
      <c r="IJ13" s="954">
        <v>73.192718431372555</v>
      </c>
      <c r="IK13" s="955">
        <v>7.046014602611085</v>
      </c>
      <c r="IL13" s="955">
        <v>19.081907843137259</v>
      </c>
      <c r="IM13" s="955">
        <v>20.503275828466407</v>
      </c>
      <c r="IN13" s="955">
        <v>59.460687058823531</v>
      </c>
      <c r="IO13" s="955">
        <v>4.2676174381179415</v>
      </c>
      <c r="IP13" s="955">
        <v>14.564574509803924</v>
      </c>
      <c r="IQ13" s="955">
        <v>14.741264877387888</v>
      </c>
      <c r="IR13" s="955">
        <v>0</v>
      </c>
      <c r="IS13" s="955">
        <v>0</v>
      </c>
      <c r="IT13" s="955">
        <v>48.379350980392154</v>
      </c>
      <c r="IU13" s="956">
        <v>107.49607332873485</v>
      </c>
      <c r="IV13" s="954">
        <v>70.562487843137248</v>
      </c>
      <c r="IW13" s="955">
        <v>15.009163768335698</v>
      </c>
      <c r="IX13" s="955">
        <v>16.790174509803926</v>
      </c>
      <c r="IY13" s="955">
        <v>12.405537860541022</v>
      </c>
      <c r="IZ13" s="955">
        <v>57.372856470588232</v>
      </c>
      <c r="JA13" s="955">
        <v>9.6105585154297319</v>
      </c>
      <c r="JB13" s="955">
        <v>12.771507843137258</v>
      </c>
      <c r="JC13" s="955">
        <v>7.9033502659397428</v>
      </c>
      <c r="JD13" s="955">
        <v>94.640360784313728</v>
      </c>
      <c r="JE13" s="955">
        <v>6.8492546828934797</v>
      </c>
      <c r="JF13" s="955">
        <v>42.853484313725495</v>
      </c>
      <c r="JG13" s="956">
        <v>81.362787424224052</v>
      </c>
      <c r="JH13" s="954">
        <v>67.738541176470591</v>
      </c>
      <c r="JI13" s="955">
        <v>1.4694993845453819</v>
      </c>
      <c r="JJ13" s="955">
        <v>21.238833333333336</v>
      </c>
      <c r="JK13" s="955">
        <v>12.985336672661616</v>
      </c>
      <c r="JL13" s="955">
        <v>55.769599999999997</v>
      </c>
      <c r="JM13" s="955">
        <v>0.26535400521678909</v>
      </c>
      <c r="JN13" s="955">
        <v>16.252166666666671</v>
      </c>
      <c r="JO13" s="955">
        <v>7.0784975954920721</v>
      </c>
      <c r="JP13" s="955">
        <v>0</v>
      </c>
      <c r="JQ13" s="955">
        <v>0</v>
      </c>
      <c r="JR13" s="955">
        <v>53.58016666666667</v>
      </c>
      <c r="JS13" s="956">
        <v>108.43200158599822</v>
      </c>
      <c r="JT13" s="954">
        <v>65.150734117647062</v>
      </c>
      <c r="JU13" s="955">
        <v>8.930879903008595</v>
      </c>
      <c r="JV13" s="955">
        <v>18.407868627450984</v>
      </c>
      <c r="JW13" s="955">
        <v>18.635856379947807</v>
      </c>
      <c r="JX13" s="955">
        <v>53.309840000000001</v>
      </c>
      <c r="JY13" s="955">
        <v>5.6578841349964453</v>
      </c>
      <c r="JZ13" s="955">
        <v>14.037201960784316</v>
      </c>
      <c r="KA13" s="955">
        <v>13.417621684090461</v>
      </c>
      <c r="KB13" s="955">
        <v>85.392141176470588</v>
      </c>
      <c r="KC13" s="955">
        <v>0.95365728858418797</v>
      </c>
      <c r="KD13" s="955">
        <v>46.754096078431374</v>
      </c>
      <c r="KE13" s="956">
        <v>99.724153890254371</v>
      </c>
      <c r="KF13" s="954">
        <v>72.754346666666663</v>
      </c>
      <c r="KG13" s="955">
        <v>8.5376788812577526</v>
      </c>
      <c r="KH13" s="955">
        <v>19.284119607843138</v>
      </c>
      <c r="KI13" s="955">
        <v>18.921455890327696</v>
      </c>
      <c r="KJ13" s="955">
        <v>59.112715294117656</v>
      </c>
      <c r="KK13" s="955">
        <v>5.2958870339450099</v>
      </c>
      <c r="KL13" s="955">
        <v>14.722786274509806</v>
      </c>
      <c r="KM13" s="955">
        <v>13.298056272759334</v>
      </c>
      <c r="KN13" s="955">
        <v>0</v>
      </c>
      <c r="KO13" s="955">
        <v>0</v>
      </c>
      <c r="KP13" s="955">
        <v>48.866927450980391</v>
      </c>
      <c r="KQ13" s="956">
        <v>102.33726953670046</v>
      </c>
      <c r="KR13" s="954">
        <v>68.192614901960795</v>
      </c>
      <c r="KS13" s="955">
        <v>3.1380113546270905</v>
      </c>
      <c r="KT13" s="955">
        <v>19.621139215686277</v>
      </c>
      <c r="KU13" s="955">
        <v>25.827406296559918</v>
      </c>
      <c r="KV13" s="955">
        <v>55.261901176470587</v>
      </c>
      <c r="KW13" s="955">
        <v>1.4974354522654509</v>
      </c>
      <c r="KX13" s="955">
        <v>14.986472549019611</v>
      </c>
      <c r="KY13" s="955">
        <v>18.933456587947212</v>
      </c>
      <c r="KZ13" s="955">
        <v>0</v>
      </c>
      <c r="LA13" s="955">
        <v>0</v>
      </c>
      <c r="LB13" s="955">
        <v>49.679554901960785</v>
      </c>
      <c r="LC13" s="956">
        <v>127.05022230324521</v>
      </c>
      <c r="LD13" s="954">
        <v>69.833979607843148</v>
      </c>
      <c r="LE13" s="955">
        <v>12.607781547452754</v>
      </c>
      <c r="LF13" s="955">
        <v>17.666425490196083</v>
      </c>
      <c r="LG13" s="955">
        <v>13.545622148468734</v>
      </c>
      <c r="LH13" s="955">
        <v>56.782795294117655</v>
      </c>
      <c r="LI13" s="955">
        <v>7.625304062654731</v>
      </c>
      <c r="LJ13" s="955">
        <v>13.457092156862746</v>
      </c>
      <c r="LK13" s="955">
        <v>9.098568249996756</v>
      </c>
      <c r="LL13" s="955">
        <v>93.064172549019617</v>
      </c>
      <c r="LM13" s="955">
        <v>3.4780397108501107</v>
      </c>
      <c r="LN13" s="955">
        <v>44.966315686274513</v>
      </c>
      <c r="LO13" s="956">
        <v>84.158766358344337</v>
      </c>
      <c r="LP13" s="954">
        <v>42.312470588235293</v>
      </c>
      <c r="LQ13" s="955">
        <v>0.98927409849617409</v>
      </c>
      <c r="LR13" s="955">
        <v>20.025562745098043</v>
      </c>
      <c r="LS13" s="955">
        <v>20.825309752635441</v>
      </c>
      <c r="LT13" s="955">
        <v>38.75247058823529</v>
      </c>
      <c r="LU13" s="955">
        <v>0.20142919552255506</v>
      </c>
      <c r="LV13" s="955">
        <v>15.302896078431377</v>
      </c>
      <c r="LW13" s="955">
        <v>13.567218127190541</v>
      </c>
      <c r="LX13" s="955">
        <v>0</v>
      </c>
      <c r="LY13" s="955">
        <v>0</v>
      </c>
      <c r="LZ13" s="955">
        <v>50.65470784313726</v>
      </c>
      <c r="MA13" s="956">
        <v>127.95030036526606</v>
      </c>
      <c r="MB13" s="954">
        <v>71.127981176470598</v>
      </c>
      <c r="MC13" s="955">
        <v>6.8078399506039942</v>
      </c>
      <c r="MD13" s="955">
        <v>20.227774509803925</v>
      </c>
      <c r="ME13" s="955">
        <v>20.615039003276625</v>
      </c>
      <c r="MF13" s="955">
        <v>57.927792941176477</v>
      </c>
      <c r="MG13" s="955">
        <v>3.9915989071708564</v>
      </c>
      <c r="MH13" s="955">
        <v>15.461107843137258</v>
      </c>
      <c r="MI13" s="955">
        <v>14.693435382729605</v>
      </c>
      <c r="MJ13" s="955">
        <v>0</v>
      </c>
      <c r="MK13" s="955">
        <v>0</v>
      </c>
      <c r="ML13" s="955">
        <v>51.142284313725497</v>
      </c>
      <c r="MM13" s="956">
        <v>108.75610584637319</v>
      </c>
      <c r="MN13" s="954">
        <v>57.354611764705886</v>
      </c>
      <c r="MO13" s="955">
        <v>0</v>
      </c>
      <c r="MP13" s="955">
        <v>26.631147058823533</v>
      </c>
      <c r="MQ13" s="955">
        <v>23.223674422667706</v>
      </c>
      <c r="MR13" s="955">
        <v>45.329670588235295</v>
      </c>
      <c r="MS13" s="955">
        <v>0</v>
      </c>
      <c r="MT13" s="955">
        <v>20.471147058823533</v>
      </c>
      <c r="MU13" s="955">
        <v>13.262789518338801</v>
      </c>
      <c r="MV13" s="955">
        <v>0</v>
      </c>
      <c r="MW13" s="955">
        <v>0</v>
      </c>
      <c r="MX13" s="955">
        <v>66.582205882352952</v>
      </c>
      <c r="MY13" s="956">
        <v>155.33214730778175</v>
      </c>
      <c r="MZ13" s="954">
        <v>54.01527058823531</v>
      </c>
      <c r="NA13" s="955">
        <v>0</v>
      </c>
      <c r="NB13" s="955">
        <v>22.115084313725493</v>
      </c>
      <c r="NC13" s="955">
        <v>24.568401480144203</v>
      </c>
      <c r="ND13" s="955">
        <v>42.66962352941178</v>
      </c>
      <c r="NE13" s="955">
        <v>0</v>
      </c>
      <c r="NF13" s="955">
        <v>16.93775098039216</v>
      </c>
      <c r="NG13" s="955">
        <v>15.726806957905605</v>
      </c>
      <c r="NH13" s="955">
        <v>0</v>
      </c>
      <c r="NI13" s="955">
        <v>0</v>
      </c>
      <c r="NJ13" s="955">
        <v>55.692998039215688</v>
      </c>
      <c r="NK13" s="956">
        <v>156.12896421780908</v>
      </c>
      <c r="NL13" s="954">
        <v>66.080261960784313</v>
      </c>
      <c r="NM13" s="955">
        <v>4.9703642958035648</v>
      </c>
      <c r="NN13" s="955">
        <v>21.036621568627453</v>
      </c>
      <c r="NO13" s="955">
        <v>19.661379701112029</v>
      </c>
      <c r="NP13" s="955">
        <v>53.753077647058824</v>
      </c>
      <c r="NQ13" s="955">
        <v>2.5729840175822623</v>
      </c>
      <c r="NR13" s="955">
        <v>16.093954901960789</v>
      </c>
      <c r="NS13" s="955">
        <v>13.450365101404094</v>
      </c>
      <c r="NT13" s="955">
        <v>0</v>
      </c>
      <c r="NU13" s="955">
        <v>0</v>
      </c>
      <c r="NV13" s="955">
        <v>53.092590196078433</v>
      </c>
      <c r="NW13" s="956">
        <v>111.60035466496645</v>
      </c>
      <c r="NX13" s="954">
        <v>66.85755137254904</v>
      </c>
      <c r="NY13" s="955">
        <v>7.2748332729154086</v>
      </c>
      <c r="NZ13" s="955">
        <v>19.82335098039216</v>
      </c>
      <c r="OA13" s="955">
        <v>22.400767630701633</v>
      </c>
      <c r="OB13" s="955">
        <v>54.517378823529413</v>
      </c>
      <c r="OC13" s="955">
        <v>4.4054206488617424</v>
      </c>
      <c r="OD13" s="955">
        <v>15.144684313725492</v>
      </c>
      <c r="OE13" s="955">
        <v>16.2185754797862</v>
      </c>
      <c r="OF13" s="955">
        <v>0</v>
      </c>
      <c r="OG13" s="955">
        <v>0</v>
      </c>
      <c r="OH13" s="955">
        <v>50.167131372549022</v>
      </c>
      <c r="OI13" s="956">
        <v>112.54469665159313</v>
      </c>
      <c r="OJ13" s="954">
        <v>69.782172549019606</v>
      </c>
      <c r="OK13" s="955">
        <v>0.93556995232851503</v>
      </c>
      <c r="OL13" s="955">
        <v>22.856527450980394</v>
      </c>
      <c r="OM13" s="955">
        <v>19.879718802666069</v>
      </c>
      <c r="ON13" s="955">
        <v>57.595741176470597</v>
      </c>
      <c r="OO13" s="955">
        <v>0.12840537079473574</v>
      </c>
      <c r="OP13" s="955">
        <v>17.517860784313729</v>
      </c>
      <c r="OQ13" s="955">
        <v>12.361294312819926</v>
      </c>
      <c r="OR13" s="955">
        <v>0</v>
      </c>
      <c r="OS13" s="955">
        <v>0</v>
      </c>
      <c r="OT13" s="955">
        <v>57.480778431372556</v>
      </c>
      <c r="OU13" s="956">
        <v>126.39428696644799</v>
      </c>
      <c r="OV13" s="954">
        <v>68.5803137254902</v>
      </c>
      <c r="OW13" s="955">
        <v>11.238647441959548</v>
      </c>
      <c r="OX13" s="955">
        <v>18.812292156862746</v>
      </c>
      <c r="OY13" s="955">
        <v>15.45115361995461</v>
      </c>
      <c r="OZ13" s="955">
        <v>55.852470588235306</v>
      </c>
      <c r="PA13" s="955">
        <v>6.7582224277355358</v>
      </c>
      <c r="PB13" s="955">
        <v>14.353625490196082</v>
      </c>
      <c r="PC13" s="955">
        <v>10.114279391134787</v>
      </c>
      <c r="PD13" s="955">
        <v>91.005490196078455</v>
      </c>
      <c r="PE13" s="955">
        <v>1.4193594858009482</v>
      </c>
      <c r="PF13" s="955">
        <v>47.729249019607842</v>
      </c>
      <c r="PG13" s="956">
        <v>92.333434915850347</v>
      </c>
      <c r="PH13" s="954">
        <v>67.480478431372561</v>
      </c>
      <c r="PI13" s="955">
        <v>0.1875488650843751</v>
      </c>
      <c r="PJ13" s="955">
        <v>25.687492156862753</v>
      </c>
      <c r="PK13" s="955">
        <v>24.437221431805281</v>
      </c>
      <c r="PL13" s="955">
        <v>55.676870588235296</v>
      </c>
      <c r="PM13" s="955">
        <v>0</v>
      </c>
      <c r="PN13" s="955">
        <v>19.732825490196085</v>
      </c>
      <c r="PO13" s="955">
        <v>15.285183738394149</v>
      </c>
      <c r="PP13" s="955">
        <v>0</v>
      </c>
      <c r="PQ13" s="955">
        <v>0</v>
      </c>
      <c r="PR13" s="955">
        <v>64.306849019607853</v>
      </c>
      <c r="PS13" s="956">
        <v>140.20769453597396</v>
      </c>
      <c r="PT13" s="954">
        <v>70.833621960784342</v>
      </c>
      <c r="PU13" s="955">
        <v>7.0936626302810639</v>
      </c>
      <c r="PV13" s="955">
        <v>20.025562745098043</v>
      </c>
      <c r="PW13" s="955">
        <v>17.071335026076568</v>
      </c>
      <c r="PX13" s="955">
        <v>57.705919999999999</v>
      </c>
      <c r="PY13" s="955">
        <v>4.103113790579755</v>
      </c>
      <c r="PZ13" s="955">
        <v>15.302896078431377</v>
      </c>
      <c r="QA13" s="955">
        <v>11.690013509979581</v>
      </c>
      <c r="QB13" s="955">
        <v>0</v>
      </c>
      <c r="QC13" s="955">
        <v>0</v>
      </c>
      <c r="QD13" s="955">
        <v>50.65470784313726</v>
      </c>
      <c r="QE13" s="956">
        <v>98.829028187522084</v>
      </c>
      <c r="QF13" s="954">
        <v>70.070166274509816</v>
      </c>
      <c r="QG13" s="955">
        <v>7.4811990949588152</v>
      </c>
      <c r="QH13" s="955">
        <v>19.688543137254904</v>
      </c>
      <c r="QI13" s="955">
        <v>20.963113531542948</v>
      </c>
      <c r="QJ13" s="955">
        <v>57.079280000000004</v>
      </c>
      <c r="QK13" s="955">
        <v>4.5125183913881095</v>
      </c>
      <c r="QL13" s="955">
        <v>15.039209803921572</v>
      </c>
      <c r="QM13" s="955">
        <v>14.958953879475917</v>
      </c>
      <c r="QN13" s="955">
        <v>0</v>
      </c>
      <c r="QO13" s="955">
        <v>0</v>
      </c>
      <c r="QP13" s="955">
        <v>49.842080392156866</v>
      </c>
      <c r="QQ13" s="956">
        <v>109.22030065465937</v>
      </c>
      <c r="QR13" s="954">
        <v>44.718901960784315</v>
      </c>
      <c r="QS13" s="955">
        <v>0</v>
      </c>
      <c r="QT13" s="955">
        <v>22.249892156862749</v>
      </c>
      <c r="QU13" s="955">
        <v>19.290534141771197</v>
      </c>
      <c r="QV13" s="955">
        <v>37.99814117647059</v>
      </c>
      <c r="QW13" s="955">
        <v>0</v>
      </c>
      <c r="QX13" s="955">
        <v>17.043225490196082</v>
      </c>
      <c r="QY13" s="955">
        <v>11.136160575854545</v>
      </c>
      <c r="QZ13" s="955">
        <v>0</v>
      </c>
      <c r="RA13" s="955">
        <v>0</v>
      </c>
      <c r="RB13" s="955">
        <v>56.018049019607851</v>
      </c>
      <c r="RC13" s="956">
        <v>145.05642875950412</v>
      </c>
      <c r="RD13" s="954">
        <v>70.726668235294113</v>
      </c>
      <c r="RE13" s="955">
        <v>8.228859466454578</v>
      </c>
      <c r="RF13" s="955">
        <v>19.958158823529416</v>
      </c>
      <c r="RG13" s="955">
        <v>19.080723812889921</v>
      </c>
      <c r="RH13" s="955">
        <v>57.606291764705894</v>
      </c>
      <c r="RI13" s="955">
        <v>5.0370888546242556</v>
      </c>
      <c r="RJ13" s="955">
        <v>15.250158823529414</v>
      </c>
      <c r="RK13" s="955">
        <v>13.305782153284317</v>
      </c>
      <c r="RL13" s="955">
        <v>0</v>
      </c>
      <c r="RM13" s="955">
        <v>0</v>
      </c>
      <c r="RN13" s="955">
        <v>50.492182352941178</v>
      </c>
      <c r="RO13" s="956">
        <v>104.23389548513221</v>
      </c>
      <c r="RP13" s="954">
        <v>69.821311372549019</v>
      </c>
      <c r="RQ13" s="955">
        <v>7.6126663130843584</v>
      </c>
      <c r="RR13" s="955">
        <v>19.82335098039216</v>
      </c>
      <c r="RS13" s="955">
        <v>18.41339519815179</v>
      </c>
      <c r="RT13" s="955">
        <v>56.843444705882348</v>
      </c>
      <c r="RU13" s="955">
        <v>4.6175137741005718</v>
      </c>
      <c r="RV13" s="955">
        <v>15.144684313725492</v>
      </c>
      <c r="RW13" s="955">
        <v>12.760188792503513</v>
      </c>
      <c r="RX13" s="955">
        <v>0</v>
      </c>
      <c r="RY13" s="955">
        <v>0</v>
      </c>
      <c r="RZ13" s="955">
        <v>50.167131372549022</v>
      </c>
      <c r="SA13" s="956">
        <v>102.87718047633325</v>
      </c>
    </row>
    <row r="14" spans="1:495">
      <c r="A14" s="961">
        <f>[3]Eingabedaten!A16</f>
        <v>3.04</v>
      </c>
      <c r="B14" s="169" t="str">
        <f>[3]Eingabedaten!C16</f>
        <v>Schalterhalle, Empfang</v>
      </c>
      <c r="C14" s="987">
        <f t="shared" si="1"/>
        <v>8</v>
      </c>
      <c r="D14" s="954" cm="1">
        <f t="array" ref="D14">INDEX($P$7:$SA$51,$C14,$G$3-1+D$2)</f>
        <v>29.388740915032681</v>
      </c>
      <c r="E14" s="955" cm="1">
        <f t="array" ref="E14">INDEX($P$7:$SA$51,$C14,$G$3-1+E$2)</f>
        <v>5.4342964331961694</v>
      </c>
      <c r="F14" s="955" cm="1">
        <f t="array" ref="F14">INDEX($P$7:$SA$51,$C14,$G$3-1+F$2)</f>
        <v>14.338807843137255</v>
      </c>
      <c r="G14" s="955" cm="1">
        <f t="array" ref="G14">INDEX($P$7:$SA$51,$C14,$G$3-1+G$2)</f>
        <v>12.089743328874869</v>
      </c>
      <c r="H14" s="955" cm="1">
        <f t="array" ref="H14">INDEX($P$7:$SA$51,$C14,$G$3-1+H$2)</f>
        <v>22.354390588235297</v>
      </c>
      <c r="I14" s="955" cm="1">
        <f t="array" ref="I14">INDEX($P$7:$SA$51,$C14,$G$3-1+I$2)</f>
        <v>2.7727382550737736</v>
      </c>
      <c r="J14" s="955" cm="1">
        <f t="array" ref="J14">INDEX($P$7:$SA$51,$C14,$G$3-1+J$2)</f>
        <v>11.428496732026145</v>
      </c>
      <c r="K14" s="955" cm="1">
        <f t="array" ref="K14">INDEX($P$7:$SA$51,$C14,$G$3-1+K$2)</f>
        <v>8.833679631660992</v>
      </c>
      <c r="L14" s="955" cm="1">
        <f t="array" ref="L14">INDEX($P$7:$SA$51,$C14,$G$3-1+L$2)</f>
        <v>45.707602614379084</v>
      </c>
      <c r="M14" s="955" cm="1">
        <f t="array" ref="M14">INDEX($P$7:$SA$51,$C14,$G$3-1+M$2)</f>
        <v>2.0918257083511249</v>
      </c>
      <c r="N14" s="955" cm="1">
        <f t="array" ref="N14">INDEX($P$7:$SA$51,$C14,$G$3-1+N$2)</f>
        <v>37.889050980392156</v>
      </c>
      <c r="O14" s="956" cm="1">
        <f t="array" ref="O14">INDEX($P$7:$SA$51,$C14,$G$3-1+O$2)</f>
        <v>52.281197868793484</v>
      </c>
      <c r="P14" s="954">
        <v>23.349291503267974</v>
      </c>
      <c r="Q14" s="955">
        <v>0</v>
      </c>
      <c r="R14" s="955">
        <v>15.724878431372549</v>
      </c>
      <c r="S14" s="955">
        <v>10.858883789149505</v>
      </c>
      <c r="T14" s="955">
        <v>18.461903267973859</v>
      </c>
      <c r="U14" s="955">
        <v>0</v>
      </c>
      <c r="V14" s="955">
        <v>12.55056732026144</v>
      </c>
      <c r="W14" s="955">
        <v>6.6635774117049049</v>
      </c>
      <c r="X14" s="955">
        <v>0</v>
      </c>
      <c r="Y14" s="955">
        <v>0</v>
      </c>
      <c r="Z14" s="955">
        <v>41.332909803921559</v>
      </c>
      <c r="AA14" s="956">
        <v>63.36420592426385</v>
      </c>
      <c r="AB14" s="954">
        <v>31.167467712418308</v>
      </c>
      <c r="AC14" s="955">
        <v>5.2261429950398446</v>
      </c>
      <c r="AD14" s="955">
        <v>13.312088888888889</v>
      </c>
      <c r="AE14" s="955">
        <v>11.673659601644259</v>
      </c>
      <c r="AF14" s="955">
        <v>23.477752679738565</v>
      </c>
      <c r="AG14" s="955">
        <v>2.6587499234809724</v>
      </c>
      <c r="AH14" s="955">
        <v>10.597333333333335</v>
      </c>
      <c r="AI14" s="955">
        <v>8.6831927648089255</v>
      </c>
      <c r="AJ14" s="955">
        <v>48.477040522875818</v>
      </c>
      <c r="AK14" s="955">
        <v>2.1846311239170704</v>
      </c>
      <c r="AL14" s="955">
        <v>35.338044444444449</v>
      </c>
      <c r="AM14" s="956">
        <v>50.402434469343014</v>
      </c>
      <c r="AN14" s="954">
        <v>27.238252549019609</v>
      </c>
      <c r="AO14" s="955">
        <v>3.5579509502759454</v>
      </c>
      <c r="AP14" s="955">
        <v>13.363424836601308</v>
      </c>
      <c r="AQ14" s="955">
        <v>14.214631146067735</v>
      </c>
      <c r="AR14" s="955">
        <v>24.337719215686278</v>
      </c>
      <c r="AS14" s="955">
        <v>1.4452479023009221</v>
      </c>
      <c r="AT14" s="955">
        <v>10.638891503267976</v>
      </c>
      <c r="AU14" s="955">
        <v>10.990475829555596</v>
      </c>
      <c r="AV14" s="955">
        <v>43.089777777777776</v>
      </c>
      <c r="AW14" s="955">
        <v>0.30249940896461502</v>
      </c>
      <c r="AX14" s="955">
        <v>35.465594771241825</v>
      </c>
      <c r="AY14" s="956">
        <v>56.673654632547525</v>
      </c>
      <c r="AZ14" s="954">
        <v>32.387570718954251</v>
      </c>
      <c r="BA14" s="955">
        <v>7.5582678207015856</v>
      </c>
      <c r="BB14" s="955">
        <v>13.825448366013072</v>
      </c>
      <c r="BC14" s="955">
        <v>10.137138154733917</v>
      </c>
      <c r="BD14" s="955">
        <v>24.438611241830063</v>
      </c>
      <c r="BE14" s="955">
        <v>3.9908654678430473</v>
      </c>
      <c r="BF14" s="955">
        <v>11.012915032679739</v>
      </c>
      <c r="BG14" s="955">
        <v>7.3930408463067963</v>
      </c>
      <c r="BH14" s="955">
        <v>51.087963398692807</v>
      </c>
      <c r="BI14" s="955">
        <v>4.5154650281422635</v>
      </c>
      <c r="BJ14" s="955">
        <v>36.613547712418296</v>
      </c>
      <c r="BK14" s="956">
        <v>45.567913953837497</v>
      </c>
      <c r="BL14" s="954">
        <v>29.953153464052289</v>
      </c>
      <c r="BM14" s="955">
        <v>5.4648359777140314</v>
      </c>
      <c r="BN14" s="955">
        <v>14.287471895424837</v>
      </c>
      <c r="BO14" s="955">
        <v>12.217099928253816</v>
      </c>
      <c r="BP14" s="955">
        <v>22.829550849673204</v>
      </c>
      <c r="BQ14" s="955">
        <v>2.7927639321621429</v>
      </c>
      <c r="BR14" s="955">
        <v>11.386938562091505</v>
      </c>
      <c r="BS14" s="955">
        <v>8.8090519840435313</v>
      </c>
      <c r="BT14" s="955">
        <v>46.908088888888898</v>
      </c>
      <c r="BU14" s="955">
        <v>2.1604531593315159</v>
      </c>
      <c r="BV14" s="955">
        <v>37.761500653594766</v>
      </c>
      <c r="BW14" s="956">
        <v>53.385679343527634</v>
      </c>
      <c r="BX14" s="954">
        <v>29.962764967320265</v>
      </c>
      <c r="BY14" s="955">
        <v>5.7439388801805027</v>
      </c>
      <c r="BZ14" s="955">
        <v>14.133464052287582</v>
      </c>
      <c r="CA14" s="955">
        <v>13.973428709075071</v>
      </c>
      <c r="CB14" s="955">
        <v>22.90225777777778</v>
      </c>
      <c r="CC14" s="955">
        <v>2.9363850005084591</v>
      </c>
      <c r="CD14" s="955">
        <v>11.262264052287584</v>
      </c>
      <c r="CE14" s="955">
        <v>10.658405463248124</v>
      </c>
      <c r="CF14" s="955">
        <v>47.561338562091514</v>
      </c>
      <c r="CG14" s="955">
        <v>2.3955260507545626</v>
      </c>
      <c r="CH14" s="955">
        <v>37.378849673202616</v>
      </c>
      <c r="CI14" s="956">
        <v>55.941361604298471</v>
      </c>
      <c r="CJ14" s="954">
        <v>30.056879477124184</v>
      </c>
      <c r="CK14" s="955">
        <v>4.2565451069087672</v>
      </c>
      <c r="CL14" s="955">
        <v>14.184799999999999</v>
      </c>
      <c r="CM14" s="955">
        <v>9.9007700261743459</v>
      </c>
      <c r="CN14" s="955">
        <v>22.913046797385626</v>
      </c>
      <c r="CO14" s="955">
        <v>1.9387000502944747</v>
      </c>
      <c r="CP14" s="955">
        <v>11.303822222222223</v>
      </c>
      <c r="CQ14" s="955">
        <v>6.8063334408991905</v>
      </c>
      <c r="CR14" s="955">
        <v>47.147628758169937</v>
      </c>
      <c r="CS14" s="955">
        <v>0.88223923154371275</v>
      </c>
      <c r="CT14" s="955">
        <v>37.506399999999999</v>
      </c>
      <c r="CU14" s="956">
        <v>48.367762731951188</v>
      </c>
      <c r="CV14" s="954">
        <v>22.129333333333339</v>
      </c>
      <c r="CW14" s="955">
        <v>0</v>
      </c>
      <c r="CX14" s="955">
        <v>17.213620915032678</v>
      </c>
      <c r="CY14" s="955">
        <v>12.575520163296209</v>
      </c>
      <c r="CZ14" s="955">
        <v>16.208549019607847</v>
      </c>
      <c r="DA14" s="955">
        <v>0</v>
      </c>
      <c r="DB14" s="955">
        <v>13.755754248366015</v>
      </c>
      <c r="DC14" s="955">
        <v>7.4708024990769619</v>
      </c>
      <c r="DD14" s="955">
        <v>0</v>
      </c>
      <c r="DE14" s="955">
        <v>0</v>
      </c>
      <c r="DF14" s="955">
        <v>45.031869281045751</v>
      </c>
      <c r="DG14" s="956">
        <v>69.058734179268043</v>
      </c>
      <c r="DH14" s="954">
        <v>28.980206013071893</v>
      </c>
      <c r="DI14" s="955">
        <v>0.65188348123699769</v>
      </c>
      <c r="DJ14" s="955">
        <v>15.468198692810457</v>
      </c>
      <c r="DK14" s="955">
        <v>9.8784308851407925</v>
      </c>
      <c r="DL14" s="955">
        <v>22.021717124183006</v>
      </c>
      <c r="DM14" s="955">
        <v>0</v>
      </c>
      <c r="DN14" s="955">
        <v>12.342776470588237</v>
      </c>
      <c r="DO14" s="955">
        <v>6.1348751717332775</v>
      </c>
      <c r="DP14" s="955">
        <v>0</v>
      </c>
      <c r="DQ14" s="955">
        <v>0</v>
      </c>
      <c r="DR14" s="955">
        <v>40.695158169934636</v>
      </c>
      <c r="DS14" s="956">
        <v>56.980758354161445</v>
      </c>
      <c r="DT14" s="954">
        <v>29.260695947712421</v>
      </c>
      <c r="DU14" s="955">
        <v>6.5570550769451508E-2</v>
      </c>
      <c r="DV14" s="955">
        <v>16.238237908496732</v>
      </c>
      <c r="DW14" s="955">
        <v>17.441030443074808</v>
      </c>
      <c r="DX14" s="955">
        <v>21.988792679738566</v>
      </c>
      <c r="DY14" s="955">
        <v>0</v>
      </c>
      <c r="DZ14" s="955">
        <v>12.966149019607844</v>
      </c>
      <c r="EA14" s="955">
        <v>12.744384519005063</v>
      </c>
      <c r="EB14" s="955">
        <v>0</v>
      </c>
      <c r="EC14" s="955">
        <v>0</v>
      </c>
      <c r="ED14" s="955">
        <v>42.608413071895413</v>
      </c>
      <c r="EE14" s="956">
        <v>71.58396609878946</v>
      </c>
      <c r="EF14" s="954">
        <v>31.059628758169939</v>
      </c>
      <c r="EG14" s="955">
        <v>8.7522058427590697</v>
      </c>
      <c r="EH14" s="955">
        <v>12.64472156862745</v>
      </c>
      <c r="EI14" s="955">
        <v>9.7433125844588542</v>
      </c>
      <c r="EJ14" s="955">
        <v>23.704543790849673</v>
      </c>
      <c r="EK14" s="955">
        <v>4.5453459351776342</v>
      </c>
      <c r="EL14" s="955">
        <v>10.057077124183007</v>
      </c>
      <c r="EM14" s="955">
        <v>7.0648341249580326</v>
      </c>
      <c r="EN14" s="955">
        <v>49.311006535947712</v>
      </c>
      <c r="EO14" s="955">
        <v>6.0396268903281385</v>
      </c>
      <c r="EP14" s="955">
        <v>33.679890196078432</v>
      </c>
      <c r="EQ14" s="956">
        <v>43.707402771451903</v>
      </c>
      <c r="ER14" s="954">
        <v>29.770213856209153</v>
      </c>
      <c r="ES14" s="955">
        <v>2.6701610173809676</v>
      </c>
      <c r="ET14" s="955">
        <v>14.698159477124182</v>
      </c>
      <c r="EU14" s="955">
        <v>18.557371015798623</v>
      </c>
      <c r="EV14" s="955">
        <v>22.727097516339867</v>
      </c>
      <c r="EW14" s="955">
        <v>0.84233153314081455</v>
      </c>
      <c r="EX14" s="955">
        <v>11.719403921568629</v>
      </c>
      <c r="EY14" s="955">
        <v>14.462197433605922</v>
      </c>
      <c r="EZ14" s="955">
        <v>0</v>
      </c>
      <c r="FA14" s="955">
        <v>0</v>
      </c>
      <c r="FB14" s="955">
        <v>38.78190326797386</v>
      </c>
      <c r="FC14" s="956">
        <v>68.099453467985384</v>
      </c>
      <c r="FD14" s="954">
        <v>18.619764705882357</v>
      </c>
      <c r="FE14" s="955">
        <v>0</v>
      </c>
      <c r="FF14" s="955">
        <v>18.394347712418298</v>
      </c>
      <c r="FG14" s="955">
        <v>15.544281660855876</v>
      </c>
      <c r="FH14" s="955">
        <v>13.521971241830062</v>
      </c>
      <c r="FI14" s="955">
        <v>0</v>
      </c>
      <c r="FJ14" s="955">
        <v>14.711592156862746</v>
      </c>
      <c r="FK14" s="955">
        <v>9.4801745001958331</v>
      </c>
      <c r="FL14" s="955">
        <v>0</v>
      </c>
      <c r="FM14" s="955">
        <v>0</v>
      </c>
      <c r="FN14" s="955">
        <v>47.965526797385614</v>
      </c>
      <c r="FO14" s="956">
        <v>79.990226735503413</v>
      </c>
      <c r="FP14" s="954">
        <v>29.266581437908503</v>
      </c>
      <c r="FQ14" s="955">
        <v>5.2988604984790042</v>
      </c>
      <c r="FR14" s="955">
        <v>14.082128104575164</v>
      </c>
      <c r="FS14" s="955">
        <v>13.981869938530243</v>
      </c>
      <c r="FT14" s="955">
        <v>22.278003660130722</v>
      </c>
      <c r="FU14" s="955">
        <v>2.6741504089801218</v>
      </c>
      <c r="FV14" s="955">
        <v>11.220705882352942</v>
      </c>
      <c r="FW14" s="955">
        <v>10.581988654123684</v>
      </c>
      <c r="FX14" s="955">
        <v>45.333432679738564</v>
      </c>
      <c r="FY14" s="955">
        <v>1.8700396361389306</v>
      </c>
      <c r="FZ14" s="955">
        <v>37.251299346405226</v>
      </c>
      <c r="GA14" s="956">
        <v>56.380154142171897</v>
      </c>
      <c r="GB14" s="954">
        <v>27.972264052287585</v>
      </c>
      <c r="GC14" s="955">
        <v>3.7934191223393348</v>
      </c>
      <c r="GD14" s="955">
        <v>14.082128104575164</v>
      </c>
      <c r="GE14" s="955">
        <v>13.85306566827049</v>
      </c>
      <c r="GF14" s="955">
        <v>21.287649673202612</v>
      </c>
      <c r="GG14" s="955">
        <v>1.5732626893830235</v>
      </c>
      <c r="GH14" s="955">
        <v>11.220705882352942</v>
      </c>
      <c r="GI14" s="955">
        <v>10.15288924589362</v>
      </c>
      <c r="GJ14" s="955">
        <v>42.844888888888882</v>
      </c>
      <c r="GK14" s="955">
        <v>0.31563131042482578</v>
      </c>
      <c r="GL14" s="955">
        <v>37.251299346405226</v>
      </c>
      <c r="GM14" s="956">
        <v>58.174379983891633</v>
      </c>
      <c r="GN14" s="954">
        <v>27.443635555555556</v>
      </c>
      <c r="GO14" s="955">
        <v>1.340390082160982</v>
      </c>
      <c r="GP14" s="955">
        <v>15.365526797385622</v>
      </c>
      <c r="GQ14" s="955">
        <v>11.825313863220709</v>
      </c>
      <c r="GR14" s="955">
        <v>21.407811764705887</v>
      </c>
      <c r="GS14" s="955">
        <v>0.12721529606901871</v>
      </c>
      <c r="GT14" s="955">
        <v>12.259660130718956</v>
      </c>
      <c r="GU14" s="955">
        <v>7.7632589880852834</v>
      </c>
      <c r="GV14" s="955">
        <v>0</v>
      </c>
      <c r="GW14" s="955">
        <v>0</v>
      </c>
      <c r="GX14" s="955">
        <v>40.44005751633987</v>
      </c>
      <c r="GY14" s="956">
        <v>60.384023490576013</v>
      </c>
      <c r="GZ14" s="954">
        <v>27.317971241830065</v>
      </c>
      <c r="HA14" s="955">
        <v>0.52860072161088867</v>
      </c>
      <c r="HB14" s="955">
        <v>15.41686274509804</v>
      </c>
      <c r="HC14" s="955">
        <v>15.762935354520341</v>
      </c>
      <c r="HD14" s="955">
        <v>20.525918954248368</v>
      </c>
      <c r="HE14" s="955">
        <v>0</v>
      </c>
      <c r="HF14" s="955">
        <v>12.301218300653597</v>
      </c>
      <c r="HG14" s="955">
        <v>11.058768408360729</v>
      </c>
      <c r="HH14" s="955">
        <v>0</v>
      </c>
      <c r="HI14" s="955">
        <v>0</v>
      </c>
      <c r="HJ14" s="955">
        <v>40.567607843137253</v>
      </c>
      <c r="HK14" s="956">
        <v>69.909968368305741</v>
      </c>
      <c r="HL14" s="954">
        <v>29.488837647058823</v>
      </c>
      <c r="HM14" s="955">
        <v>10.724465011829173</v>
      </c>
      <c r="HN14" s="955">
        <v>11.155979084967321</v>
      </c>
      <c r="HO14" s="955">
        <v>5.6499143750907157</v>
      </c>
      <c r="HP14" s="955">
        <v>22.913297777777778</v>
      </c>
      <c r="HQ14" s="955">
        <v>5.9393096050069927</v>
      </c>
      <c r="HR14" s="955">
        <v>8.8518901960784326</v>
      </c>
      <c r="HS14" s="955">
        <v>3.7098925748625349</v>
      </c>
      <c r="HT14" s="955">
        <v>45.879341176470589</v>
      </c>
      <c r="HU14" s="955">
        <v>8.9987058038602363</v>
      </c>
      <c r="HV14" s="955">
        <v>29.980930718954248</v>
      </c>
      <c r="HW14" s="956">
        <v>33.236908468505241</v>
      </c>
      <c r="HX14" s="954">
        <v>31.267564444444446</v>
      </c>
      <c r="HY14" s="955">
        <v>11.44110382557078</v>
      </c>
      <c r="HZ14" s="955">
        <v>10.899299346405229</v>
      </c>
      <c r="IA14" s="955">
        <v>4.9609442043042025</v>
      </c>
      <c r="IB14" s="955">
        <v>23.754306928104576</v>
      </c>
      <c r="IC14" s="955">
        <v>6.4693753519941879</v>
      </c>
      <c r="ID14" s="955">
        <v>8.6440993464052305</v>
      </c>
      <c r="IE14" s="955">
        <v>3.1281915816835872</v>
      </c>
      <c r="IF14" s="955">
        <v>48.648779084967323</v>
      </c>
      <c r="IG14" s="955">
        <v>9.9771272344780169</v>
      </c>
      <c r="IH14" s="955">
        <v>29.343179084967321</v>
      </c>
      <c r="II14" s="956">
        <v>32.164193520762332</v>
      </c>
      <c r="IJ14" s="954">
        <v>31.038745620915034</v>
      </c>
      <c r="IK14" s="955">
        <v>5.0712521754255526</v>
      </c>
      <c r="IL14" s="955">
        <v>13.774112418300653</v>
      </c>
      <c r="IM14" s="955">
        <v>13.447551947187058</v>
      </c>
      <c r="IN14" s="955">
        <v>23.44694692810458</v>
      </c>
      <c r="IO14" s="955">
        <v>2.5408412717449171</v>
      </c>
      <c r="IP14" s="955">
        <v>10.971356862745099</v>
      </c>
      <c r="IQ14" s="955">
        <v>10.172082880077554</v>
      </c>
      <c r="IR14" s="955">
        <v>48.886990849673211</v>
      </c>
      <c r="IS14" s="955">
        <v>2.0351766265515021</v>
      </c>
      <c r="IT14" s="955">
        <v>36.485997385620912</v>
      </c>
      <c r="IU14" s="956">
        <v>55.148079041574455</v>
      </c>
      <c r="IV14" s="954">
        <v>30.200212287581699</v>
      </c>
      <c r="IW14" s="955">
        <v>10.671518264773573</v>
      </c>
      <c r="IX14" s="955">
        <v>12.028690196078431</v>
      </c>
      <c r="IY14" s="955">
        <v>8.0595533080333119</v>
      </c>
      <c r="IZ14" s="955">
        <v>23.367381960784318</v>
      </c>
      <c r="JA14" s="955">
        <v>5.9051266759730598</v>
      </c>
      <c r="JB14" s="955">
        <v>9.5583790849673207</v>
      </c>
      <c r="JC14" s="955">
        <v>5.4665710223879573</v>
      </c>
      <c r="JD14" s="955">
        <v>47.261030065359478</v>
      </c>
      <c r="JE14" s="955">
        <v>9.1105681006891377</v>
      </c>
      <c r="JF14" s="955">
        <v>32.149286274509805</v>
      </c>
      <c r="JG14" s="956">
        <v>39.964993433767042</v>
      </c>
      <c r="JH14" s="954">
        <v>29.439958169934641</v>
      </c>
      <c r="JI14" s="955">
        <v>1.1595601467540522</v>
      </c>
      <c r="JJ14" s="955">
        <v>15.41686274509804</v>
      </c>
      <c r="JK14" s="955">
        <v>8.407790430375444</v>
      </c>
      <c r="JL14" s="955">
        <v>22.517186928104575</v>
      </c>
      <c r="JM14" s="955">
        <v>2.6432928345857653E-2</v>
      </c>
      <c r="JN14" s="955">
        <v>12.301218300653597</v>
      </c>
      <c r="JO14" s="955">
        <v>4.8078197095240389</v>
      </c>
      <c r="JP14" s="955">
        <v>0</v>
      </c>
      <c r="JQ14" s="955">
        <v>0</v>
      </c>
      <c r="JR14" s="955">
        <v>40.567607843137253</v>
      </c>
      <c r="JS14" s="956">
        <v>52.563562341177196</v>
      </c>
      <c r="JT14" s="954">
        <v>27.794226928104578</v>
      </c>
      <c r="JU14" s="955">
        <v>6.5253543679935566</v>
      </c>
      <c r="JV14" s="955">
        <v>13.26075294117647</v>
      </c>
      <c r="JW14" s="955">
        <v>12.223120232675734</v>
      </c>
      <c r="JX14" s="955">
        <v>21.381934640522879</v>
      </c>
      <c r="JY14" s="955">
        <v>3.4695166499094805</v>
      </c>
      <c r="JZ14" s="955">
        <v>10.555775163398692</v>
      </c>
      <c r="KA14" s="955">
        <v>9.2991946370985978</v>
      </c>
      <c r="KB14" s="955">
        <v>42.955989542483657</v>
      </c>
      <c r="KC14" s="955">
        <v>3.8582635858681829</v>
      </c>
      <c r="KD14" s="955">
        <v>35.210494117647059</v>
      </c>
      <c r="KE14" s="956">
        <v>50.689140305615425</v>
      </c>
      <c r="KF14" s="954">
        <v>30.846097777777779</v>
      </c>
      <c r="KG14" s="955">
        <v>6.1363893320719889</v>
      </c>
      <c r="KH14" s="955">
        <v>13.928120261437908</v>
      </c>
      <c r="KI14" s="955">
        <v>12.458440341584609</v>
      </c>
      <c r="KJ14" s="955">
        <v>23.295232418300653</v>
      </c>
      <c r="KK14" s="955">
        <v>3.2256261313652956</v>
      </c>
      <c r="KL14" s="955">
        <v>11.096031372549021</v>
      </c>
      <c r="KM14" s="955">
        <v>9.2132421711024115</v>
      </c>
      <c r="KN14" s="955">
        <v>48.474739869281052</v>
      </c>
      <c r="KO14" s="955">
        <v>2.8282070498042571</v>
      </c>
      <c r="KP14" s="955">
        <v>36.868648366013069</v>
      </c>
      <c r="KQ14" s="956">
        <v>52.081981577847067</v>
      </c>
      <c r="KR14" s="954">
        <v>29.498143267973862</v>
      </c>
      <c r="KS14" s="955">
        <v>2.409006958295282</v>
      </c>
      <c r="KT14" s="955">
        <v>14.184799999999999</v>
      </c>
      <c r="KU14" s="955">
        <v>17.003917699156258</v>
      </c>
      <c r="KV14" s="955">
        <v>22.092556339869283</v>
      </c>
      <c r="KW14" s="955">
        <v>0.79108169078608181</v>
      </c>
      <c r="KX14" s="955">
        <v>11.303822222222223</v>
      </c>
      <c r="KY14" s="955">
        <v>12.984903714964007</v>
      </c>
      <c r="KZ14" s="955">
        <v>0</v>
      </c>
      <c r="LA14" s="955">
        <v>0</v>
      </c>
      <c r="LB14" s="955">
        <v>37.506399999999999</v>
      </c>
      <c r="LC14" s="956">
        <v>65.331949573857727</v>
      </c>
      <c r="LD14" s="954">
        <v>29.59638640522876</v>
      </c>
      <c r="LE14" s="955">
        <v>8.9981313158914897</v>
      </c>
      <c r="LF14" s="955">
        <v>12.69605751633987</v>
      </c>
      <c r="LG14" s="955">
        <v>8.822540269289652</v>
      </c>
      <c r="LH14" s="955">
        <v>22.303819084967323</v>
      </c>
      <c r="LI14" s="955">
        <v>4.587677263530149</v>
      </c>
      <c r="LJ14" s="955">
        <v>10.098635294117649</v>
      </c>
      <c r="LK14" s="955">
        <v>6.3359484541830646</v>
      </c>
      <c r="LL14" s="955">
        <v>45.730159477124189</v>
      </c>
      <c r="LM14" s="955">
        <v>6.0362539045693433</v>
      </c>
      <c r="LN14" s="955">
        <v>33.807440522875815</v>
      </c>
      <c r="LO14" s="956">
        <v>41.427713617474119</v>
      </c>
      <c r="LP14" s="954">
        <v>25.257364705882352</v>
      </c>
      <c r="LQ14" s="955">
        <v>0.86520817489050084</v>
      </c>
      <c r="LR14" s="955">
        <v>14.492815686274509</v>
      </c>
      <c r="LS14" s="955">
        <v>13.600388598612748</v>
      </c>
      <c r="LT14" s="955">
        <v>18.739247058823526</v>
      </c>
      <c r="LU14" s="955">
        <v>2.9760423672207104E-2</v>
      </c>
      <c r="LV14" s="955">
        <v>11.553171241830066</v>
      </c>
      <c r="LW14" s="955">
        <v>9.2859149107078931</v>
      </c>
      <c r="LX14" s="955">
        <v>0</v>
      </c>
      <c r="LY14" s="955">
        <v>0</v>
      </c>
      <c r="LZ14" s="955">
        <v>38.271701960784313</v>
      </c>
      <c r="MA14" s="956">
        <v>64.483086761896715</v>
      </c>
      <c r="MB14" s="954">
        <v>30.52119529411765</v>
      </c>
      <c r="MC14" s="955">
        <v>4.8840462225660337</v>
      </c>
      <c r="MD14" s="955">
        <v>14.646823529411765</v>
      </c>
      <c r="ME14" s="955">
        <v>13.528025005899067</v>
      </c>
      <c r="MF14" s="955">
        <v>23.282324705882353</v>
      </c>
      <c r="MG14" s="955">
        <v>2.3541895488547753</v>
      </c>
      <c r="MH14" s="955">
        <v>11.677845751633988</v>
      </c>
      <c r="MI14" s="955">
        <v>10.14006938496696</v>
      </c>
      <c r="MJ14" s="955">
        <v>48.176376470588238</v>
      </c>
      <c r="MK14" s="955">
        <v>1.3567528169280803</v>
      </c>
      <c r="ML14" s="955">
        <v>38.654352941176469</v>
      </c>
      <c r="MM14" s="956">
        <v>55.793555873872265</v>
      </c>
      <c r="MN14" s="954">
        <v>25.893997385620917</v>
      </c>
      <c r="MO14" s="955">
        <v>0</v>
      </c>
      <c r="MP14" s="955">
        <v>19.523738562091502</v>
      </c>
      <c r="MQ14" s="955">
        <v>15.400061664991615</v>
      </c>
      <c r="MR14" s="955">
        <v>19.243383006535943</v>
      </c>
      <c r="MS14" s="955">
        <v>0</v>
      </c>
      <c r="MT14" s="955">
        <v>15.62587189542484</v>
      </c>
      <c r="MU14" s="955">
        <v>8.9677257354151649</v>
      </c>
      <c r="MV14" s="955">
        <v>0</v>
      </c>
      <c r="MW14" s="955">
        <v>0</v>
      </c>
      <c r="MX14" s="955">
        <v>50.771633986928109</v>
      </c>
      <c r="MY14" s="956">
        <v>77.990318658135564</v>
      </c>
      <c r="MZ14" s="954">
        <v>24.483937254901964</v>
      </c>
      <c r="NA14" s="955">
        <v>0</v>
      </c>
      <c r="NB14" s="955">
        <v>16.084230065359478</v>
      </c>
      <c r="NC14" s="955">
        <v>16.155566166786276</v>
      </c>
      <c r="ND14" s="955">
        <v>18.03860392156863</v>
      </c>
      <c r="NE14" s="955">
        <v>0</v>
      </c>
      <c r="NF14" s="955">
        <v>12.841474509803922</v>
      </c>
      <c r="NG14" s="955">
        <v>10.777507866446797</v>
      </c>
      <c r="NH14" s="955">
        <v>0</v>
      </c>
      <c r="NI14" s="955">
        <v>0</v>
      </c>
      <c r="NJ14" s="955">
        <v>42.22576209150327</v>
      </c>
      <c r="NK14" s="956">
        <v>78.297327017240377</v>
      </c>
      <c r="NL14" s="954">
        <v>28.808010457516339</v>
      </c>
      <c r="NM14" s="955">
        <v>3.6305755857462629</v>
      </c>
      <c r="NN14" s="955">
        <v>15.262854901960784</v>
      </c>
      <c r="NO14" s="955">
        <v>12.885365498756773</v>
      </c>
      <c r="NP14" s="955">
        <v>22.189291503267974</v>
      </c>
      <c r="NQ14" s="955">
        <v>1.4058009756790217</v>
      </c>
      <c r="NR14" s="955">
        <v>12.176543790849674</v>
      </c>
      <c r="NS14" s="955">
        <v>9.2658420104050485</v>
      </c>
      <c r="NT14" s="955">
        <v>0</v>
      </c>
      <c r="NU14" s="955">
        <v>0</v>
      </c>
      <c r="NV14" s="955">
        <v>40.184956862745096</v>
      </c>
      <c r="NW14" s="956">
        <v>56.854241609192833</v>
      </c>
      <c r="NX14" s="954">
        <v>28.010500915032679</v>
      </c>
      <c r="NY14" s="955">
        <v>5.2201425460306217</v>
      </c>
      <c r="NZ14" s="955">
        <v>14.338807843137255</v>
      </c>
      <c r="OA14" s="955">
        <v>14.704073365301085</v>
      </c>
      <c r="OB14" s="955">
        <v>21.556847058823529</v>
      </c>
      <c r="OC14" s="955">
        <v>2.6320710425122198</v>
      </c>
      <c r="OD14" s="955">
        <v>11.428496732026145</v>
      </c>
      <c r="OE14" s="955">
        <v>11.15616518371168</v>
      </c>
      <c r="OF14" s="955">
        <v>42.980005228758166</v>
      </c>
      <c r="OG14" s="955">
        <v>1.9066384223532771</v>
      </c>
      <c r="OH14" s="955">
        <v>37.889050980392156</v>
      </c>
      <c r="OI14" s="956">
        <v>58.293346892874169</v>
      </c>
      <c r="OJ14" s="954">
        <v>29.284826143790852</v>
      </c>
      <c r="OK14" s="955">
        <v>0.81055286624478673</v>
      </c>
      <c r="OL14" s="955">
        <v>16.648925490196081</v>
      </c>
      <c r="OM14" s="955">
        <v>13.09361093713934</v>
      </c>
      <c r="ON14" s="955">
        <v>22.227205228758173</v>
      </c>
      <c r="OO14" s="955">
        <v>0</v>
      </c>
      <c r="OP14" s="955">
        <v>13.298614379084968</v>
      </c>
      <c r="OQ14" s="955">
        <v>8.4301815092149361</v>
      </c>
      <c r="OR14" s="955">
        <v>0</v>
      </c>
      <c r="OS14" s="955">
        <v>0</v>
      </c>
      <c r="OT14" s="955">
        <v>43.628815686274507</v>
      </c>
      <c r="OU14" s="956">
        <v>63.49444713281359</v>
      </c>
      <c r="OV14" s="954">
        <v>29.246778039215688</v>
      </c>
      <c r="OW14" s="955">
        <v>8.0775653629374187</v>
      </c>
      <c r="OX14" s="955">
        <v>13.56876862745098</v>
      </c>
      <c r="OY14" s="955">
        <v>10.139413668846625</v>
      </c>
      <c r="OZ14" s="955">
        <v>22.273264313725495</v>
      </c>
      <c r="PA14" s="955">
        <v>4.0981604386976329</v>
      </c>
      <c r="PB14" s="955">
        <v>10.805124183006537</v>
      </c>
      <c r="PC14" s="955">
        <v>6.975786488721619</v>
      </c>
      <c r="PD14" s="955">
        <v>45.39650196078432</v>
      </c>
      <c r="PE14" s="955">
        <v>4.7953962511516659</v>
      </c>
      <c r="PF14" s="955">
        <v>35.975796078431372</v>
      </c>
      <c r="PG14" s="956">
        <v>46.368715200658968</v>
      </c>
      <c r="PH14" s="954">
        <v>28.244318954248367</v>
      </c>
      <c r="PI14" s="955">
        <v>0.21051444558116225</v>
      </c>
      <c r="PJ14" s="955">
        <v>18.805035294117651</v>
      </c>
      <c r="PK14" s="955">
        <v>16.262550098533659</v>
      </c>
      <c r="PL14" s="955">
        <v>21.411430065359479</v>
      </c>
      <c r="PM14" s="955">
        <v>0</v>
      </c>
      <c r="PN14" s="955">
        <v>15.044057516339873</v>
      </c>
      <c r="PO14" s="955">
        <v>10.419581777370812</v>
      </c>
      <c r="PP14" s="955">
        <v>0</v>
      </c>
      <c r="PQ14" s="955">
        <v>0</v>
      </c>
      <c r="PR14" s="955">
        <v>48.985929411764708</v>
      </c>
      <c r="PS14" s="956">
        <v>71.007239663739398</v>
      </c>
      <c r="PT14" s="954">
        <v>31.316589281045758</v>
      </c>
      <c r="PU14" s="955">
        <v>5.1875071568777864</v>
      </c>
      <c r="PV14" s="955">
        <v>14.492815686274509</v>
      </c>
      <c r="PW14" s="955">
        <v>11.170906480977484</v>
      </c>
      <c r="PX14" s="955">
        <v>23.883384052287582</v>
      </c>
      <c r="PY14" s="955">
        <v>2.4308036128605051</v>
      </c>
      <c r="PZ14" s="955">
        <v>11.553171241830066</v>
      </c>
      <c r="QA14" s="955">
        <v>8.0913749227069918</v>
      </c>
      <c r="QB14" s="955">
        <v>49.632413071895428</v>
      </c>
      <c r="QC14" s="955">
        <v>1.6480323377027239</v>
      </c>
      <c r="QD14" s="955">
        <v>38.271701960784313</v>
      </c>
      <c r="QE14" s="956">
        <v>49.856027214420422</v>
      </c>
      <c r="QF14" s="954">
        <v>29.93335006535948</v>
      </c>
      <c r="QG14" s="955">
        <v>5.3436749035544837</v>
      </c>
      <c r="QH14" s="955">
        <v>14.236135947712418</v>
      </c>
      <c r="QI14" s="955">
        <v>13.786708908700007</v>
      </c>
      <c r="QJ14" s="955">
        <v>22.824811503267973</v>
      </c>
      <c r="QK14" s="955">
        <v>2.7024649128712497</v>
      </c>
      <c r="QL14" s="955">
        <v>11.345380392156864</v>
      </c>
      <c r="QM14" s="955">
        <v>10.318033345018385</v>
      </c>
      <c r="QN14" s="955">
        <v>46.971158169934633</v>
      </c>
      <c r="QO14" s="955">
        <v>1.828428276028268</v>
      </c>
      <c r="QP14" s="955">
        <v>37.63395032679739</v>
      </c>
      <c r="QQ14" s="956">
        <v>56.18355048323069</v>
      </c>
      <c r="QR14" s="954">
        <v>23.4528</v>
      </c>
      <c r="QS14" s="955">
        <v>0</v>
      </c>
      <c r="QT14" s="955">
        <v>16.186901960784315</v>
      </c>
      <c r="QU14" s="955">
        <v>12.556863782133641</v>
      </c>
      <c r="QV14" s="955">
        <v>17.69044183006536</v>
      </c>
      <c r="QW14" s="955">
        <v>0</v>
      </c>
      <c r="QX14" s="955">
        <v>12.924590849673205</v>
      </c>
      <c r="QY14" s="955">
        <v>7.5452382670378455</v>
      </c>
      <c r="QZ14" s="955">
        <v>0</v>
      </c>
      <c r="RA14" s="955">
        <v>0</v>
      </c>
      <c r="RB14" s="955">
        <v>42.480862745098037</v>
      </c>
      <c r="RC14" s="956">
        <v>71.562273939040637</v>
      </c>
      <c r="RD14" s="954">
        <v>30.190213856209148</v>
      </c>
      <c r="RE14" s="955">
        <v>5.9324621928595214</v>
      </c>
      <c r="RF14" s="955">
        <v>14.441479738562091</v>
      </c>
      <c r="RG14" s="955">
        <v>12.536265994364564</v>
      </c>
      <c r="RH14" s="955">
        <v>23.027097516339865</v>
      </c>
      <c r="RI14" s="955">
        <v>3.0530910395558228</v>
      </c>
      <c r="RJ14" s="955">
        <v>11.511613071895425</v>
      </c>
      <c r="RK14" s="955">
        <v>9.201695975479268</v>
      </c>
      <c r="RL14" s="955">
        <v>47.520826143790842</v>
      </c>
      <c r="RM14" s="955">
        <v>2.4985778403371603</v>
      </c>
      <c r="RN14" s="955">
        <v>38.144151633986922</v>
      </c>
      <c r="RO14" s="956">
        <v>53.204267457266816</v>
      </c>
      <c r="RP14" s="954">
        <v>29.388740915032681</v>
      </c>
      <c r="RQ14" s="955">
        <v>5.4342964331961694</v>
      </c>
      <c r="RR14" s="955">
        <v>14.338807843137255</v>
      </c>
      <c r="RS14" s="955">
        <v>12.089743328874869</v>
      </c>
      <c r="RT14" s="955">
        <v>22.354390588235297</v>
      </c>
      <c r="RU14" s="955">
        <v>2.7727382550737736</v>
      </c>
      <c r="RV14" s="955">
        <v>11.428496732026145</v>
      </c>
      <c r="RW14" s="955">
        <v>8.833679631660992</v>
      </c>
      <c r="RX14" s="955">
        <v>45.707602614379084</v>
      </c>
      <c r="RY14" s="955">
        <v>2.0918257083511249</v>
      </c>
      <c r="RZ14" s="955">
        <v>37.889050980392156</v>
      </c>
      <c r="SA14" s="956">
        <v>52.281197868793484</v>
      </c>
    </row>
    <row r="15" spans="1:495">
      <c r="A15" s="962">
        <f>[3]Eingabedaten!A17</f>
        <v>4.01</v>
      </c>
      <c r="B15" s="930" t="str">
        <f>[3]Eingabedaten!C17</f>
        <v>Schulzimmer</v>
      </c>
      <c r="C15" s="988">
        <f t="shared" si="1"/>
        <v>9</v>
      </c>
      <c r="D15" s="954" cm="1">
        <f t="array" ref="D15">INDEX($P$7:$SA$51,$C15,$G$3-1+D$2)</f>
        <v>54.796008739495797</v>
      </c>
      <c r="E15" s="955" cm="1">
        <f t="array" ref="E15">INDEX($P$7:$SA$51,$C15,$G$3-1+E$2)</f>
        <v>10.331204735219744</v>
      </c>
      <c r="F15" s="955" cm="1">
        <f t="array" ref="F15">INDEX($P$7:$SA$51,$C15,$G$3-1+F$2)</f>
        <v>19.377043697478996</v>
      </c>
      <c r="G15" s="955" cm="1">
        <f t="array" ref="G15">INDEX($P$7:$SA$51,$C15,$G$3-1+G$2)</f>
        <v>15.912593796418303</v>
      </c>
      <c r="H15" s="955" cm="1">
        <f t="array" ref="H15">INDEX($P$7:$SA$51,$C15,$G$3-1+H$2)</f>
        <v>43.880469243697476</v>
      </c>
      <c r="I15" s="955" cm="1">
        <f t="array" ref="I15">INDEX($P$7:$SA$51,$C15,$G$3-1+I$2)</f>
        <v>5.8918493130591285</v>
      </c>
      <c r="J15" s="955" cm="1">
        <f t="array" ref="J15">INDEX($P$7:$SA$51,$C15,$G$3-1+J$2)</f>
        <v>14.499828571428573</v>
      </c>
      <c r="K15" s="955" cm="1">
        <f t="array" ref="K15">INDEX($P$7:$SA$51,$C15,$G$3-1+K$2)</f>
        <v>11.376908438645764</v>
      </c>
      <c r="L15" s="955" cm="1">
        <f t="array" ref="L15">INDEX($P$7:$SA$51,$C15,$G$3-1+L$2)</f>
        <v>0</v>
      </c>
      <c r="M15" s="955" cm="1">
        <f t="array" ref="M15">INDEX($P$7:$SA$51,$C15,$G$3-1+M$2)</f>
        <v>0</v>
      </c>
      <c r="N15" s="955" cm="1">
        <f t="array" ref="N15">INDEX($P$7:$SA$51,$C15,$G$3-1+N$2)</f>
        <v>60.188134453781529</v>
      </c>
      <c r="O15" s="956" cm="1">
        <f t="array" ref="O15">INDEX($P$7:$SA$51,$C15,$G$3-1+O$2)</f>
        <v>126.38845093337406</v>
      </c>
      <c r="P15" s="954">
        <v>42.67286050420168</v>
      </c>
      <c r="Q15" s="955">
        <v>0.41975889668298016</v>
      </c>
      <c r="R15" s="955">
        <v>21.152191596638659</v>
      </c>
      <c r="S15" s="955">
        <v>15.347285830527543</v>
      </c>
      <c r="T15" s="955">
        <v>33.671771428571425</v>
      </c>
      <c r="U15" s="955">
        <v>0</v>
      </c>
      <c r="V15" s="955">
        <v>15.862171428571429</v>
      </c>
      <c r="W15" s="955">
        <v>9.3900424103988538</v>
      </c>
      <c r="X15" s="955">
        <v>0</v>
      </c>
      <c r="Y15" s="955">
        <v>0</v>
      </c>
      <c r="Z15" s="955">
        <v>65.417512605042035</v>
      </c>
      <c r="AA15" s="956">
        <v>166.44096735863681</v>
      </c>
      <c r="AB15" s="954">
        <v>54.937469243697478</v>
      </c>
      <c r="AC15" s="955">
        <v>10.328611422220691</v>
      </c>
      <c r="AD15" s="955">
        <v>18.062119327731097</v>
      </c>
      <c r="AE15" s="955">
        <v>15.165908134782578</v>
      </c>
      <c r="AF15" s="955">
        <v>44.023618823529411</v>
      </c>
      <c r="AG15" s="955">
        <v>5.8451436762595428</v>
      </c>
      <c r="AH15" s="955">
        <v>13.490685714285714</v>
      </c>
      <c r="AI15" s="955">
        <v>11.014103546198053</v>
      </c>
      <c r="AJ15" s="955">
        <v>0</v>
      </c>
      <c r="AK15" s="955">
        <v>0</v>
      </c>
      <c r="AL15" s="955">
        <v>56.314521008403375</v>
      </c>
      <c r="AM15" s="956">
        <v>121.8775734721528</v>
      </c>
      <c r="AN15" s="954">
        <v>52.585261848739499</v>
      </c>
      <c r="AO15" s="955">
        <v>7.4565949546229753</v>
      </c>
      <c r="AP15" s="955">
        <v>18.127865546218494</v>
      </c>
      <c r="AQ15" s="955">
        <v>18.334382236696502</v>
      </c>
      <c r="AR15" s="955">
        <v>46.810582857142869</v>
      </c>
      <c r="AS15" s="955">
        <v>4.2217908974719309</v>
      </c>
      <c r="AT15" s="955">
        <v>13.541142857142859</v>
      </c>
      <c r="AU15" s="955">
        <v>13.924958911369753</v>
      </c>
      <c r="AV15" s="955">
        <v>0</v>
      </c>
      <c r="AW15" s="955">
        <v>0</v>
      </c>
      <c r="AX15" s="955">
        <v>56.508201680672286</v>
      </c>
      <c r="AY15" s="956">
        <v>132.32706239967115</v>
      </c>
      <c r="AZ15" s="954">
        <v>58.577542521008404</v>
      </c>
      <c r="BA15" s="955">
        <v>13.6679431354165</v>
      </c>
      <c r="BB15" s="955">
        <v>18.719581512605046</v>
      </c>
      <c r="BC15" s="955">
        <v>13.09699179338288</v>
      </c>
      <c r="BD15" s="955">
        <v>46.808939159663865</v>
      </c>
      <c r="BE15" s="955">
        <v>8.2008302955186156</v>
      </c>
      <c r="BF15" s="955">
        <v>13.995257142857145</v>
      </c>
      <c r="BG15" s="955">
        <v>9.3237439045392243</v>
      </c>
      <c r="BH15" s="955">
        <v>92.322675630252121</v>
      </c>
      <c r="BI15" s="955">
        <v>0.30989746446921784</v>
      </c>
      <c r="BJ15" s="955">
        <v>58.251327731092445</v>
      </c>
      <c r="BK15" s="956">
        <v>112.47073778958858</v>
      </c>
      <c r="BL15" s="954">
        <v>55.911757310924372</v>
      </c>
      <c r="BM15" s="955">
        <v>10.159059000145541</v>
      </c>
      <c r="BN15" s="955">
        <v>19.311297478991602</v>
      </c>
      <c r="BO15" s="955">
        <v>16.197808220916269</v>
      </c>
      <c r="BP15" s="955">
        <v>44.744802689075627</v>
      </c>
      <c r="BQ15" s="955">
        <v>5.9124496642586246</v>
      </c>
      <c r="BR15" s="955">
        <v>14.44937142857143</v>
      </c>
      <c r="BS15" s="955">
        <v>11.440857491768398</v>
      </c>
      <c r="BT15" s="955">
        <v>0</v>
      </c>
      <c r="BU15" s="955">
        <v>0</v>
      </c>
      <c r="BV15" s="955">
        <v>59.994453781512618</v>
      </c>
      <c r="BW15" s="956">
        <v>129.22365929292417</v>
      </c>
      <c r="BX15" s="954">
        <v>56.498434957983193</v>
      </c>
      <c r="BY15" s="955">
        <v>10.815894143358717</v>
      </c>
      <c r="BZ15" s="955">
        <v>19.114058823529415</v>
      </c>
      <c r="CA15" s="955">
        <v>18.229893799751597</v>
      </c>
      <c r="CB15" s="955">
        <v>45.281755966386555</v>
      </c>
      <c r="CC15" s="955">
        <v>6.3027478639457515</v>
      </c>
      <c r="CD15" s="955">
        <v>14.298000000000002</v>
      </c>
      <c r="CE15" s="955">
        <v>13.625749461888535</v>
      </c>
      <c r="CF15" s="955">
        <v>0</v>
      </c>
      <c r="CG15" s="955">
        <v>0</v>
      </c>
      <c r="CH15" s="955">
        <v>59.413411764705899</v>
      </c>
      <c r="CI15" s="956">
        <v>130.73032351013438</v>
      </c>
      <c r="CJ15" s="954">
        <v>56.127165042016813</v>
      </c>
      <c r="CK15" s="955">
        <v>8.7184458362380948</v>
      </c>
      <c r="CL15" s="955">
        <v>19.179805042016813</v>
      </c>
      <c r="CM15" s="955">
        <v>13.18294973369524</v>
      </c>
      <c r="CN15" s="955">
        <v>44.915507899159664</v>
      </c>
      <c r="CO15" s="955">
        <v>4.859918153804621</v>
      </c>
      <c r="CP15" s="955">
        <v>14.348457142857145</v>
      </c>
      <c r="CQ15" s="955">
        <v>8.9019080537026234</v>
      </c>
      <c r="CR15" s="955">
        <v>0</v>
      </c>
      <c r="CS15" s="955">
        <v>0</v>
      </c>
      <c r="CT15" s="955">
        <v>59.607092436974796</v>
      </c>
      <c r="CU15" s="956">
        <v>121.23852602587453</v>
      </c>
      <c r="CV15" s="954">
        <v>39.175142857142859</v>
      </c>
      <c r="CW15" s="955">
        <v>0</v>
      </c>
      <c r="CX15" s="955">
        <v>23.058831932773117</v>
      </c>
      <c r="CY15" s="955">
        <v>18.344876630099339</v>
      </c>
      <c r="CZ15" s="955">
        <v>30.215663865546222</v>
      </c>
      <c r="DA15" s="955">
        <v>0</v>
      </c>
      <c r="DB15" s="955">
        <v>17.325428571428574</v>
      </c>
      <c r="DC15" s="955">
        <v>10.963992776654514</v>
      </c>
      <c r="DD15" s="955">
        <v>0</v>
      </c>
      <c r="DE15" s="955">
        <v>0</v>
      </c>
      <c r="DF15" s="955">
        <v>71.034252100840348</v>
      </c>
      <c r="DG15" s="956">
        <v>184.89719829129746</v>
      </c>
      <c r="DH15" s="954">
        <v>53.676276302521011</v>
      </c>
      <c r="DI15" s="955">
        <v>2.2077608483136943</v>
      </c>
      <c r="DJ15" s="955">
        <v>20.823460504201684</v>
      </c>
      <c r="DK15" s="955">
        <v>13.908110960420872</v>
      </c>
      <c r="DL15" s="955">
        <v>42.945919999999994</v>
      </c>
      <c r="DM15" s="955">
        <v>0.83932429774999184</v>
      </c>
      <c r="DN15" s="955">
        <v>15.609885714285717</v>
      </c>
      <c r="DO15" s="955">
        <v>8.5606796770657638</v>
      </c>
      <c r="DP15" s="955">
        <v>0</v>
      </c>
      <c r="DQ15" s="955">
        <v>0</v>
      </c>
      <c r="DR15" s="955">
        <v>64.449109243697492</v>
      </c>
      <c r="DS15" s="956">
        <v>150.43536571486862</v>
      </c>
      <c r="DT15" s="954">
        <v>53.259862521008415</v>
      </c>
      <c r="DU15" s="955">
        <v>1.3443247735437631</v>
      </c>
      <c r="DV15" s="955">
        <v>21.809653781512615</v>
      </c>
      <c r="DW15" s="955">
        <v>23.553359761994603</v>
      </c>
      <c r="DX15" s="955">
        <v>42.864806722689075</v>
      </c>
      <c r="DY15" s="955">
        <v>0.19869616458457232</v>
      </c>
      <c r="DZ15" s="955">
        <v>16.36674285714286</v>
      </c>
      <c r="EA15" s="955">
        <v>16.972748747974727</v>
      </c>
      <c r="EB15" s="955">
        <v>0</v>
      </c>
      <c r="EC15" s="955">
        <v>0</v>
      </c>
      <c r="ED15" s="955">
        <v>67.354319327731105</v>
      </c>
      <c r="EE15" s="956">
        <v>172.27867942066527</v>
      </c>
      <c r="EF15" s="954">
        <v>58.072779831932777</v>
      </c>
      <c r="EG15" s="955">
        <v>15.359293646386689</v>
      </c>
      <c r="EH15" s="955">
        <v>17.207418487394964</v>
      </c>
      <c r="EI15" s="955">
        <v>12.585025953397968</v>
      </c>
      <c r="EJ15" s="955">
        <v>46.439973109243695</v>
      </c>
      <c r="EK15" s="955">
        <v>9.4797351365091806</v>
      </c>
      <c r="EL15" s="955">
        <v>12.834742857142858</v>
      </c>
      <c r="EM15" s="955">
        <v>8.9163809570514942</v>
      </c>
      <c r="EN15" s="955">
        <v>91.390857142857158</v>
      </c>
      <c r="EO15" s="955">
        <v>2.1554718757131535</v>
      </c>
      <c r="EP15" s="955">
        <v>53.796672268907571</v>
      </c>
      <c r="EQ15" s="956">
        <v>109.25430615278609</v>
      </c>
      <c r="ER15" s="954">
        <v>55.922686386554616</v>
      </c>
      <c r="ES15" s="955">
        <v>5.8007375701037924</v>
      </c>
      <c r="ET15" s="955">
        <v>19.837267226890763</v>
      </c>
      <c r="EU15" s="955">
        <v>23.955427278572071</v>
      </c>
      <c r="EV15" s="955">
        <v>44.803136806722691</v>
      </c>
      <c r="EW15" s="955">
        <v>3.2007111344974866</v>
      </c>
      <c r="EX15" s="955">
        <v>14.853028571428574</v>
      </c>
      <c r="EY15" s="955">
        <v>18.346081381143062</v>
      </c>
      <c r="EZ15" s="955">
        <v>0</v>
      </c>
      <c r="FA15" s="955">
        <v>0</v>
      </c>
      <c r="FB15" s="955">
        <v>61.54389915966388</v>
      </c>
      <c r="FC15" s="956">
        <v>153.4932020923514</v>
      </c>
      <c r="FD15" s="954">
        <v>26.394840336134461</v>
      </c>
      <c r="FE15" s="955">
        <v>0</v>
      </c>
      <c r="FF15" s="955">
        <v>24.570994957983199</v>
      </c>
      <c r="FG15" s="955">
        <v>23.093974013039411</v>
      </c>
      <c r="FH15" s="955">
        <v>16.98228571428572</v>
      </c>
      <c r="FI15" s="955">
        <v>0</v>
      </c>
      <c r="FJ15" s="955">
        <v>18.485942857142859</v>
      </c>
      <c r="FK15" s="955">
        <v>14.115801466342756</v>
      </c>
      <c r="FL15" s="955">
        <v>0</v>
      </c>
      <c r="FM15" s="955">
        <v>0</v>
      </c>
      <c r="FN15" s="955">
        <v>75.488907563025222</v>
      </c>
      <c r="FO15" s="956">
        <v>220.77654358197404</v>
      </c>
      <c r="FP15" s="954">
        <v>54.49572470588236</v>
      </c>
      <c r="FQ15" s="955">
        <v>10.015720102976763</v>
      </c>
      <c r="FR15" s="955">
        <v>19.048312605042021</v>
      </c>
      <c r="FS15" s="955">
        <v>18.343282204687231</v>
      </c>
      <c r="FT15" s="955">
        <v>43.623874285714287</v>
      </c>
      <c r="FU15" s="955">
        <v>5.7597749980941249</v>
      </c>
      <c r="FV15" s="955">
        <v>14.247542857142857</v>
      </c>
      <c r="FW15" s="955">
        <v>13.594482724898576</v>
      </c>
      <c r="FX15" s="955">
        <v>0</v>
      </c>
      <c r="FY15" s="955">
        <v>0</v>
      </c>
      <c r="FZ15" s="955">
        <v>59.219731092436987</v>
      </c>
      <c r="GA15" s="956">
        <v>132.61052804640613</v>
      </c>
      <c r="GB15" s="954">
        <v>52.257282352941182</v>
      </c>
      <c r="GC15" s="955">
        <v>7.2778851168349981</v>
      </c>
      <c r="GD15" s="955">
        <v>19.048312605042021</v>
      </c>
      <c r="GE15" s="955">
        <v>18.397683088910718</v>
      </c>
      <c r="GF15" s="955">
        <v>41.907089075630253</v>
      </c>
      <c r="GG15" s="955">
        <v>4.2707465748687303</v>
      </c>
      <c r="GH15" s="955">
        <v>14.247542857142857</v>
      </c>
      <c r="GI15" s="955">
        <v>13.234002307825731</v>
      </c>
      <c r="GJ15" s="955">
        <v>0</v>
      </c>
      <c r="GK15" s="955">
        <v>0</v>
      </c>
      <c r="GL15" s="955">
        <v>59.219731092436987</v>
      </c>
      <c r="GM15" s="956">
        <v>138.48074542931155</v>
      </c>
      <c r="GN15" s="954">
        <v>51.413525714285711</v>
      </c>
      <c r="GO15" s="955">
        <v>3.1225766272413993</v>
      </c>
      <c r="GP15" s="955">
        <v>20.691968067226895</v>
      </c>
      <c r="GQ15" s="955">
        <v>16.392296209212894</v>
      </c>
      <c r="GR15" s="955">
        <v>43.384383193277309</v>
      </c>
      <c r="GS15" s="955">
        <v>1.4331544035972354</v>
      </c>
      <c r="GT15" s="955">
        <v>15.508971428571432</v>
      </c>
      <c r="GU15" s="955">
        <v>10.62476729261693</v>
      </c>
      <c r="GV15" s="955">
        <v>0</v>
      </c>
      <c r="GW15" s="955">
        <v>0</v>
      </c>
      <c r="GX15" s="955">
        <v>64.06174789915967</v>
      </c>
      <c r="GY15" s="956">
        <v>153.43584893038042</v>
      </c>
      <c r="GZ15" s="954">
        <v>49.700015126050424</v>
      </c>
      <c r="HA15" s="955">
        <v>1.9240119354409864</v>
      </c>
      <c r="HB15" s="955">
        <v>20.757714285714293</v>
      </c>
      <c r="HC15" s="955">
        <v>21.45566822915389</v>
      </c>
      <c r="HD15" s="955">
        <v>39.990954621848736</v>
      </c>
      <c r="HE15" s="955">
        <v>0.57991231341489324</v>
      </c>
      <c r="HF15" s="955">
        <v>15.559428571428574</v>
      </c>
      <c r="HG15" s="955">
        <v>14.860887248554109</v>
      </c>
      <c r="HH15" s="955">
        <v>0</v>
      </c>
      <c r="HI15" s="955">
        <v>0</v>
      </c>
      <c r="HJ15" s="955">
        <v>64.255428571428581</v>
      </c>
      <c r="HK15" s="956">
        <v>169.90379456828211</v>
      </c>
      <c r="HL15" s="954">
        <v>54.986596974789911</v>
      </c>
      <c r="HM15" s="955">
        <v>18.382842043890911</v>
      </c>
      <c r="HN15" s="955">
        <v>15.300778151260509</v>
      </c>
      <c r="HO15" s="955">
        <v>7.2925332010712545</v>
      </c>
      <c r="HP15" s="955">
        <v>44.016603697478985</v>
      </c>
      <c r="HQ15" s="955">
        <v>11.860377301062417</v>
      </c>
      <c r="HR15" s="955">
        <v>11.371485714285715</v>
      </c>
      <c r="HS15" s="955">
        <v>4.683905025506486</v>
      </c>
      <c r="HT15" s="955">
        <v>81.503072268907559</v>
      </c>
      <c r="HU15" s="955">
        <v>6.1396222258432349</v>
      </c>
      <c r="HV15" s="955">
        <v>48.17993277310925</v>
      </c>
      <c r="HW15" s="956">
        <v>88.624024822081253</v>
      </c>
      <c r="HX15" s="954">
        <v>57.478645714285719</v>
      </c>
      <c r="HY15" s="955">
        <v>19.369088734517597</v>
      </c>
      <c r="HZ15" s="955">
        <v>14.972047058823534</v>
      </c>
      <c r="IA15" s="955">
        <v>6.5341427180403855</v>
      </c>
      <c r="IB15" s="955">
        <v>45.83874487394958</v>
      </c>
      <c r="IC15" s="955">
        <v>12.594217708125273</v>
      </c>
      <c r="ID15" s="955">
        <v>11.119200000000003</v>
      </c>
      <c r="IE15" s="955">
        <v>4.0490274159014392</v>
      </c>
      <c r="IF15" s="955">
        <v>86.116786554621839</v>
      </c>
      <c r="IG15" s="955">
        <v>7.3141514858789183</v>
      </c>
      <c r="IH15" s="955">
        <v>47.211529411764715</v>
      </c>
      <c r="II15" s="956">
        <v>87.629381032722264</v>
      </c>
      <c r="IJ15" s="954">
        <v>57.063254453781504</v>
      </c>
      <c r="IK15" s="955">
        <v>9.7902023050134641</v>
      </c>
      <c r="IL15" s="955">
        <v>18.653835294117652</v>
      </c>
      <c r="IM15" s="955">
        <v>17.570822115550175</v>
      </c>
      <c r="IN15" s="955">
        <v>45.702041008403356</v>
      </c>
      <c r="IO15" s="955">
        <v>5.6726159167957473</v>
      </c>
      <c r="IP15" s="955">
        <v>13.944800000000001</v>
      </c>
      <c r="IQ15" s="955">
        <v>13.012670897239268</v>
      </c>
      <c r="IR15" s="955">
        <v>0</v>
      </c>
      <c r="IS15" s="955">
        <v>0</v>
      </c>
      <c r="IT15" s="955">
        <v>58.057647058823534</v>
      </c>
      <c r="IU15" s="956">
        <v>130.22192337476585</v>
      </c>
      <c r="IV15" s="954">
        <v>56.229404369747897</v>
      </c>
      <c r="IW15" s="955">
        <v>18.327738440839777</v>
      </c>
      <c r="IX15" s="955">
        <v>16.418463865546222</v>
      </c>
      <c r="IY15" s="955">
        <v>10.609250171085725</v>
      </c>
      <c r="IZ15" s="955">
        <v>44.97169344537815</v>
      </c>
      <c r="JA15" s="955">
        <v>11.826893281634652</v>
      </c>
      <c r="JB15" s="955">
        <v>12.229257142857145</v>
      </c>
      <c r="JC15" s="955">
        <v>7.0837927275373955</v>
      </c>
      <c r="JD15" s="955">
        <v>84.964342857142867</v>
      </c>
      <c r="JE15" s="955">
        <v>5.9853886427436649</v>
      </c>
      <c r="JF15" s="955">
        <v>51.472504201680678</v>
      </c>
      <c r="JG15" s="956">
        <v>101.68683928236526</v>
      </c>
      <c r="JH15" s="954">
        <v>54.637717647058821</v>
      </c>
      <c r="JI15" s="955">
        <v>2.7616123257671297</v>
      </c>
      <c r="JJ15" s="955">
        <v>20.757714285714293</v>
      </c>
      <c r="JK15" s="955">
        <v>12.157253041314052</v>
      </c>
      <c r="JL15" s="955">
        <v>44.270393277310923</v>
      </c>
      <c r="JM15" s="955">
        <v>1.1901423463841592</v>
      </c>
      <c r="JN15" s="955">
        <v>15.559428571428574</v>
      </c>
      <c r="JO15" s="955">
        <v>6.9758747709296003</v>
      </c>
      <c r="JP15" s="955">
        <v>0</v>
      </c>
      <c r="JQ15" s="955">
        <v>0</v>
      </c>
      <c r="JR15" s="955">
        <v>64.255428571428581</v>
      </c>
      <c r="JS15" s="956">
        <v>144.26732201911508</v>
      </c>
      <c r="JT15" s="954">
        <v>52.356560336134464</v>
      </c>
      <c r="JU15" s="955">
        <v>12.372657472168799</v>
      </c>
      <c r="JV15" s="955">
        <v>17.996373109243702</v>
      </c>
      <c r="JW15" s="955">
        <v>15.787660088042667</v>
      </c>
      <c r="JX15" s="955">
        <v>42.045372100840339</v>
      </c>
      <c r="JY15" s="955">
        <v>7.2904599772883865</v>
      </c>
      <c r="JZ15" s="955">
        <v>13.440228571428571</v>
      </c>
      <c r="KA15" s="955">
        <v>11.725909472665958</v>
      </c>
      <c r="KB15" s="955">
        <v>75.427858823529405</v>
      </c>
      <c r="KC15" s="955">
        <v>0.10155790797928807</v>
      </c>
      <c r="KD15" s="955">
        <v>56.120840336134464</v>
      </c>
      <c r="KE15" s="956">
        <v>121.03790126586283</v>
      </c>
      <c r="KF15" s="954">
        <v>57.080617478991599</v>
      </c>
      <c r="KG15" s="955">
        <v>11.480282356523533</v>
      </c>
      <c r="KH15" s="955">
        <v>18.851073949579835</v>
      </c>
      <c r="KI15" s="955">
        <v>16.354059452490564</v>
      </c>
      <c r="KJ15" s="955">
        <v>45.672336806722683</v>
      </c>
      <c r="KK15" s="955">
        <v>6.5641274928822089</v>
      </c>
      <c r="KL15" s="955">
        <v>14.096171428571431</v>
      </c>
      <c r="KM15" s="955">
        <v>11.830276602012665</v>
      </c>
      <c r="KN15" s="955">
        <v>0</v>
      </c>
      <c r="KO15" s="955">
        <v>0</v>
      </c>
      <c r="KP15" s="955">
        <v>58.638689075630268</v>
      </c>
      <c r="KQ15" s="956">
        <v>125.64292537072647</v>
      </c>
      <c r="KR15" s="954">
        <v>53.358117983193289</v>
      </c>
      <c r="KS15" s="955">
        <v>5.3154850725764051</v>
      </c>
      <c r="KT15" s="955">
        <v>19.179805042016813</v>
      </c>
      <c r="KU15" s="955">
        <v>22.526138320441444</v>
      </c>
      <c r="KV15" s="955">
        <v>42.642872605042008</v>
      </c>
      <c r="KW15" s="955">
        <v>2.7863872074095384</v>
      </c>
      <c r="KX15" s="955">
        <v>14.348457142857145</v>
      </c>
      <c r="KY15" s="955">
        <v>16.904553149640027</v>
      </c>
      <c r="KZ15" s="955">
        <v>0</v>
      </c>
      <c r="LA15" s="955">
        <v>0</v>
      </c>
      <c r="LB15" s="955">
        <v>59.607092436974796</v>
      </c>
      <c r="LC15" s="956">
        <v>154.94317891640523</v>
      </c>
      <c r="LD15" s="954">
        <v>54.33690117647059</v>
      </c>
      <c r="LE15" s="955">
        <v>15.694833401526413</v>
      </c>
      <c r="LF15" s="955">
        <v>17.273164705882358</v>
      </c>
      <c r="LG15" s="955">
        <v>11.335158743171437</v>
      </c>
      <c r="LH15" s="955">
        <v>43.510428907563032</v>
      </c>
      <c r="LI15" s="955">
        <v>9.7281717742852827</v>
      </c>
      <c r="LJ15" s="955">
        <v>12.885200000000001</v>
      </c>
      <c r="LK15" s="955">
        <v>7.9460026126901697</v>
      </c>
      <c r="LL15" s="955">
        <v>79.52129075630252</v>
      </c>
      <c r="LM15" s="955">
        <v>2.256312211847614</v>
      </c>
      <c r="LN15" s="955">
        <v>53.990352941176482</v>
      </c>
      <c r="LO15" s="956">
        <v>104.80938235312142</v>
      </c>
      <c r="LP15" s="954">
        <v>44.850497478991599</v>
      </c>
      <c r="LQ15" s="955">
        <v>2.6788786580571915</v>
      </c>
      <c r="LR15" s="955">
        <v>19.574282352941182</v>
      </c>
      <c r="LS15" s="955">
        <v>18.579260515064441</v>
      </c>
      <c r="LT15" s="955">
        <v>35.090406722689075</v>
      </c>
      <c r="LU15" s="955">
        <v>1.1198728548020245</v>
      </c>
      <c r="LV15" s="955">
        <v>14.651200000000001</v>
      </c>
      <c r="LW15" s="955">
        <v>12.542419413056223</v>
      </c>
      <c r="LX15" s="955">
        <v>0</v>
      </c>
      <c r="LY15" s="955">
        <v>0</v>
      </c>
      <c r="LZ15" s="955">
        <v>60.769176470588249</v>
      </c>
      <c r="MA15" s="956">
        <v>159.22277554146245</v>
      </c>
      <c r="MB15" s="954">
        <v>57.052325378151274</v>
      </c>
      <c r="MC15" s="955">
        <v>8.8251483418966217</v>
      </c>
      <c r="MD15" s="955">
        <v>19.771521008403365</v>
      </c>
      <c r="ME15" s="955">
        <v>17.750459227991872</v>
      </c>
      <c r="MF15" s="955">
        <v>45.643706890756306</v>
      </c>
      <c r="MG15" s="955">
        <v>5.2802854719646213</v>
      </c>
      <c r="MH15" s="955">
        <v>14.802571428571431</v>
      </c>
      <c r="MI15" s="955">
        <v>13.02778475377052</v>
      </c>
      <c r="MJ15" s="955">
        <v>0</v>
      </c>
      <c r="MK15" s="955">
        <v>0</v>
      </c>
      <c r="ML15" s="955">
        <v>61.350218487394969</v>
      </c>
      <c r="MM15" s="956">
        <v>132.60320133486795</v>
      </c>
      <c r="MN15" s="954">
        <v>45.944625210084034</v>
      </c>
      <c r="MO15" s="955">
        <v>0</v>
      </c>
      <c r="MP15" s="955">
        <v>26.017411764705891</v>
      </c>
      <c r="MQ15" s="955">
        <v>22.855951882445432</v>
      </c>
      <c r="MR15" s="955">
        <v>36.008746218487396</v>
      </c>
      <c r="MS15" s="955">
        <v>0</v>
      </c>
      <c r="MT15" s="955">
        <v>19.596000000000004</v>
      </c>
      <c r="MU15" s="955">
        <v>13.557352212746801</v>
      </c>
      <c r="MV15" s="955">
        <v>0</v>
      </c>
      <c r="MW15" s="955">
        <v>0</v>
      </c>
      <c r="MX15" s="955">
        <v>79.749882352941185</v>
      </c>
      <c r="MY15" s="956">
        <v>204.78224881138124</v>
      </c>
      <c r="MZ15" s="954">
        <v>43.029290756302522</v>
      </c>
      <c r="NA15" s="955">
        <v>0</v>
      </c>
      <c r="NB15" s="955">
        <v>21.612415126050426</v>
      </c>
      <c r="NC15" s="955">
        <v>22.603737300391565</v>
      </c>
      <c r="ND15" s="955">
        <v>33.379085714285715</v>
      </c>
      <c r="NE15" s="955">
        <v>0</v>
      </c>
      <c r="NF15" s="955">
        <v>16.21537142857143</v>
      </c>
      <c r="NG15" s="955">
        <v>14.874696065998405</v>
      </c>
      <c r="NH15" s="955">
        <v>0</v>
      </c>
      <c r="NI15" s="955">
        <v>0</v>
      </c>
      <c r="NJ15" s="955">
        <v>66.773277310924371</v>
      </c>
      <c r="NK15" s="956">
        <v>198.73621795976607</v>
      </c>
      <c r="NL15" s="954">
        <v>54.514213445378147</v>
      </c>
      <c r="NM15" s="955">
        <v>6.8860733078705225</v>
      </c>
      <c r="NN15" s="955">
        <v>20.560475630252107</v>
      </c>
      <c r="NO15" s="955">
        <v>17.21860650096351</v>
      </c>
      <c r="NP15" s="955">
        <v>44.524225210084026</v>
      </c>
      <c r="NQ15" s="955">
        <v>3.9082359469053367</v>
      </c>
      <c r="NR15" s="955">
        <v>15.408057142857144</v>
      </c>
      <c r="NS15" s="955">
        <v>12.142364144771886</v>
      </c>
      <c r="NT15" s="955">
        <v>0</v>
      </c>
      <c r="NU15" s="955">
        <v>0</v>
      </c>
      <c r="NV15" s="955">
        <v>63.674386554621869</v>
      </c>
      <c r="NW15" s="956">
        <v>138.13537791142664</v>
      </c>
      <c r="NX15" s="954">
        <v>52.377907226890756</v>
      </c>
      <c r="NY15" s="955">
        <v>9.9202908109228893</v>
      </c>
      <c r="NZ15" s="955">
        <v>19.377043697478996</v>
      </c>
      <c r="OA15" s="955">
        <v>19.281245531794646</v>
      </c>
      <c r="OB15" s="955">
        <v>42.360258823529414</v>
      </c>
      <c r="OC15" s="955">
        <v>5.7609000317948382</v>
      </c>
      <c r="OD15" s="955">
        <v>14.499828571428573</v>
      </c>
      <c r="OE15" s="955">
        <v>14.367486664712414</v>
      </c>
      <c r="OF15" s="955">
        <v>0</v>
      </c>
      <c r="OG15" s="955">
        <v>0</v>
      </c>
      <c r="OH15" s="955">
        <v>60.188134453781529</v>
      </c>
      <c r="OI15" s="956">
        <v>135.50562573381279</v>
      </c>
      <c r="OJ15" s="954">
        <v>52.905955630252102</v>
      </c>
      <c r="OK15" s="955">
        <v>2.3590306558967042</v>
      </c>
      <c r="OL15" s="955">
        <v>22.33562352941177</v>
      </c>
      <c r="OM15" s="955">
        <v>18.617795412490803</v>
      </c>
      <c r="ON15" s="955">
        <v>42.260950588235289</v>
      </c>
      <c r="OO15" s="955">
        <v>0.92348608055095971</v>
      </c>
      <c r="OP15" s="955">
        <v>16.770400000000002</v>
      </c>
      <c r="OQ15" s="955">
        <v>11.914198107124435</v>
      </c>
      <c r="OR15" s="955">
        <v>0</v>
      </c>
      <c r="OS15" s="955">
        <v>0</v>
      </c>
      <c r="OT15" s="955">
        <v>68.903764705882367</v>
      </c>
      <c r="OU15" s="956">
        <v>162.70919320910323</v>
      </c>
      <c r="OV15" s="954">
        <v>54.552308907563024</v>
      </c>
      <c r="OW15" s="955">
        <v>14.459365460789774</v>
      </c>
      <c r="OX15" s="955">
        <v>18.390850420168071</v>
      </c>
      <c r="OY15" s="955">
        <v>13.561742218999303</v>
      </c>
      <c r="OZ15" s="955">
        <v>43.681134117647055</v>
      </c>
      <c r="PA15" s="955">
        <v>8.8221918856097883</v>
      </c>
      <c r="PB15" s="955">
        <v>13.74297142857143</v>
      </c>
      <c r="PC15" s="955">
        <v>9.2096112985146501</v>
      </c>
      <c r="PD15" s="955">
        <v>80.250473949579828</v>
      </c>
      <c r="PE15" s="955">
        <v>0.68733599854818395</v>
      </c>
      <c r="PF15" s="955">
        <v>57.28292436974791</v>
      </c>
      <c r="PG15" s="956">
        <v>115.0880731078322</v>
      </c>
      <c r="PH15" s="954">
        <v>51.991724369747892</v>
      </c>
      <c r="PI15" s="955">
        <v>1.3252817430239971</v>
      </c>
      <c r="PJ15" s="955">
        <v>25.096964705882364</v>
      </c>
      <c r="PK15" s="955">
        <v>23.172896613658654</v>
      </c>
      <c r="PL15" s="955">
        <v>41.591085714285718</v>
      </c>
      <c r="PM15" s="955">
        <v>0.2213249911436726</v>
      </c>
      <c r="PN15" s="955">
        <v>18.889600000000002</v>
      </c>
      <c r="PO15" s="955">
        <v>14.921729384780518</v>
      </c>
      <c r="PP15" s="955">
        <v>0</v>
      </c>
      <c r="PQ15" s="955">
        <v>0</v>
      </c>
      <c r="PR15" s="955">
        <v>77.038352941176484</v>
      </c>
      <c r="PS15" s="956">
        <v>182.01371347580476</v>
      </c>
      <c r="PT15" s="954">
        <v>58.36213478991597</v>
      </c>
      <c r="PU15" s="955">
        <v>10.18750676603554</v>
      </c>
      <c r="PV15" s="955">
        <v>19.574282352941182</v>
      </c>
      <c r="PW15" s="955">
        <v>14.642801668693513</v>
      </c>
      <c r="PX15" s="955">
        <v>46.638233949579835</v>
      </c>
      <c r="PY15" s="955">
        <v>5.7996817190248349</v>
      </c>
      <c r="PZ15" s="955">
        <v>14.651200000000001</v>
      </c>
      <c r="QA15" s="955">
        <v>10.388088278795335</v>
      </c>
      <c r="QB15" s="955">
        <v>0</v>
      </c>
      <c r="QC15" s="955">
        <v>0</v>
      </c>
      <c r="QD15" s="955">
        <v>60.769176470588249</v>
      </c>
      <c r="QE15" s="956">
        <v>121.22230289467751</v>
      </c>
      <c r="QF15" s="954">
        <v>55.968341512605051</v>
      </c>
      <c r="QG15" s="955">
        <v>9.9585977021512537</v>
      </c>
      <c r="QH15" s="955">
        <v>19.245551260504207</v>
      </c>
      <c r="QI15" s="955">
        <v>18.189020994732111</v>
      </c>
      <c r="QJ15" s="955">
        <v>44.802062521008402</v>
      </c>
      <c r="QK15" s="955">
        <v>5.7855423345506685</v>
      </c>
      <c r="QL15" s="955">
        <v>14.398914285714287</v>
      </c>
      <c r="QM15" s="955">
        <v>13.329948546861777</v>
      </c>
      <c r="QN15" s="955">
        <v>0</v>
      </c>
      <c r="QO15" s="955">
        <v>0</v>
      </c>
      <c r="QP15" s="955">
        <v>59.800773109243707</v>
      </c>
      <c r="QQ15" s="956">
        <v>133.14530291118123</v>
      </c>
      <c r="QR15" s="954">
        <v>43.770542857142857</v>
      </c>
      <c r="QS15" s="955">
        <v>0</v>
      </c>
      <c r="QT15" s="955">
        <v>21.743907563025214</v>
      </c>
      <c r="QU15" s="955">
        <v>18.171228510943227</v>
      </c>
      <c r="QV15" s="955">
        <v>34.934699159663865</v>
      </c>
      <c r="QW15" s="955">
        <v>0</v>
      </c>
      <c r="QX15" s="955">
        <v>16.316285714285716</v>
      </c>
      <c r="QY15" s="955">
        <v>10.945248564125734</v>
      </c>
      <c r="QZ15" s="955">
        <v>0</v>
      </c>
      <c r="RA15" s="955">
        <v>0</v>
      </c>
      <c r="RB15" s="955">
        <v>67.160638655462208</v>
      </c>
      <c r="RC15" s="956">
        <v>187.15513311789294</v>
      </c>
      <c r="RD15" s="954">
        <v>56.462686386554623</v>
      </c>
      <c r="RE15" s="955">
        <v>11.061005983516838</v>
      </c>
      <c r="RF15" s="955">
        <v>19.508536134453784</v>
      </c>
      <c r="RG15" s="955">
        <v>16.523286963833026</v>
      </c>
      <c r="RH15" s="955">
        <v>45.188851092436977</v>
      </c>
      <c r="RI15" s="955">
        <v>6.3919880112695715</v>
      </c>
      <c r="RJ15" s="955">
        <v>14.600742857142858</v>
      </c>
      <c r="RK15" s="955">
        <v>11.873950736176878</v>
      </c>
      <c r="RL15" s="955">
        <v>0</v>
      </c>
      <c r="RM15" s="955">
        <v>0</v>
      </c>
      <c r="RN15" s="955">
        <v>60.575495798319338</v>
      </c>
      <c r="RO15" s="956">
        <v>127.67721806147347</v>
      </c>
      <c r="RP15" s="954">
        <v>54.796008739495797</v>
      </c>
      <c r="RQ15" s="955">
        <v>10.331204735219744</v>
      </c>
      <c r="RR15" s="955">
        <v>19.377043697478996</v>
      </c>
      <c r="RS15" s="955">
        <v>15.912593796418303</v>
      </c>
      <c r="RT15" s="955">
        <v>43.880469243697476</v>
      </c>
      <c r="RU15" s="955">
        <v>5.8918493130591285</v>
      </c>
      <c r="RV15" s="955">
        <v>14.499828571428573</v>
      </c>
      <c r="RW15" s="955">
        <v>11.376908438645764</v>
      </c>
      <c r="RX15" s="955">
        <v>0</v>
      </c>
      <c r="RY15" s="955">
        <v>0</v>
      </c>
      <c r="RZ15" s="955">
        <v>60.188134453781529</v>
      </c>
      <c r="SA15" s="956">
        <v>126.38845093337406</v>
      </c>
    </row>
    <row r="16" spans="1:495">
      <c r="A16" s="961">
        <f>[3]Eingabedaten!A18</f>
        <v>4.0199999999999996</v>
      </c>
      <c r="B16" s="169" t="str">
        <f>[3]Eingabedaten!C18</f>
        <v>Lehrerzimmer</v>
      </c>
      <c r="C16" s="987">
        <f t="shared" si="1"/>
        <v>10</v>
      </c>
      <c r="D16" s="954" cm="1">
        <f t="array" ref="D16">INDEX($P$7:$SA$51,$C16,$G$3-1+D$2)</f>
        <v>43.890511372549021</v>
      </c>
      <c r="E16" s="955" cm="1">
        <f t="array" ref="E16">INDEX($P$7:$SA$51,$C16,$G$3-1+E$2)</f>
        <v>4.5705353286407115</v>
      </c>
      <c r="F16" s="955" cm="1">
        <f t="array" ref="F16">INDEX($P$7:$SA$51,$C16,$G$3-1+F$2)</f>
        <v>23.264850980392154</v>
      </c>
      <c r="G16" s="955" cm="1">
        <f t="array" ref="G16">INDEX($P$7:$SA$51,$C16,$G$3-1+G$2)</f>
        <v>27.008858712198027</v>
      </c>
      <c r="H16" s="955" cm="1">
        <f t="array" ref="H16">INDEX($P$7:$SA$51,$C16,$G$3-1+H$2)</f>
        <v>34.215742745098041</v>
      </c>
      <c r="I16" s="955" cm="1">
        <f t="array" ref="I16">INDEX($P$7:$SA$51,$C16,$G$3-1+I$2)</f>
        <v>3.0089743575012369</v>
      </c>
      <c r="J16" s="955" cm="1">
        <f t="array" ref="J16">INDEX($P$7:$SA$51,$C16,$G$3-1+J$2)</f>
        <v>17.141301960784315</v>
      </c>
      <c r="K16" s="955" cm="1">
        <f t="array" ref="K16">INDEX($P$7:$SA$51,$C16,$G$3-1+K$2)</f>
        <v>17.354539749863328</v>
      </c>
      <c r="L16" s="955" cm="1">
        <f t="array" ref="L16">INDEX($P$7:$SA$51,$C16,$G$3-1+L$2)</f>
        <v>0</v>
      </c>
      <c r="M16" s="955" cm="1">
        <f t="array" ref="M16">INDEX($P$7:$SA$51,$C16,$G$3-1+M$2)</f>
        <v>0</v>
      </c>
      <c r="N16" s="955" cm="1">
        <f t="array" ref="N16">INDEX($P$7:$SA$51,$C16,$G$3-1+N$2)</f>
        <v>72.737372549019611</v>
      </c>
      <c r="O16" s="956" cm="1">
        <f t="array" ref="O16">INDEX($P$7:$SA$51,$C16,$G$3-1+O$2)</f>
        <v>165.1980871892124</v>
      </c>
      <c r="P16" s="954">
        <v>30.88633725490196</v>
      </c>
      <c r="Q16" s="955">
        <v>0</v>
      </c>
      <c r="R16" s="955">
        <v>25.381756862745096</v>
      </c>
      <c r="S16" s="955">
        <v>27.356057577624867</v>
      </c>
      <c r="T16" s="955">
        <v>28.323654901960783</v>
      </c>
      <c r="U16" s="955">
        <v>0</v>
      </c>
      <c r="V16" s="955">
        <v>18.739913725490197</v>
      </c>
      <c r="W16" s="955">
        <v>14.897722783999567</v>
      </c>
      <c r="X16" s="955">
        <v>0</v>
      </c>
      <c r="Y16" s="955">
        <v>0</v>
      </c>
      <c r="Z16" s="955">
        <v>79.041607843137257</v>
      </c>
      <c r="AA16" s="956">
        <v>219.50917721584696</v>
      </c>
      <c r="AB16" s="954">
        <v>46.601601568627459</v>
      </c>
      <c r="AC16" s="955">
        <v>4.3574234802610183</v>
      </c>
      <c r="AD16" s="955">
        <v>21.696772549019606</v>
      </c>
      <c r="AE16" s="955">
        <v>26.191054035355403</v>
      </c>
      <c r="AF16" s="955">
        <v>36.177146666666665</v>
      </c>
      <c r="AG16" s="955">
        <v>2.9036224554593355</v>
      </c>
      <c r="AH16" s="955">
        <v>15.957145098039216</v>
      </c>
      <c r="AI16" s="955">
        <v>17.033012286692816</v>
      </c>
      <c r="AJ16" s="955">
        <v>0</v>
      </c>
      <c r="AK16" s="955">
        <v>0</v>
      </c>
      <c r="AL16" s="955">
        <v>68.067568627450981</v>
      </c>
      <c r="AM16" s="956">
        <v>160.39900027113043</v>
      </c>
      <c r="AN16" s="954">
        <v>45.49557960784314</v>
      </c>
      <c r="AO16" s="955">
        <v>2.0122756215264461</v>
      </c>
      <c r="AP16" s="955">
        <v>21.775176470588239</v>
      </c>
      <c r="AQ16" s="955">
        <v>31.216013059566702</v>
      </c>
      <c r="AR16" s="955">
        <v>38.241375686274509</v>
      </c>
      <c r="AS16" s="955">
        <v>1.3108307829980899</v>
      </c>
      <c r="AT16" s="955">
        <v>16.016352941176471</v>
      </c>
      <c r="AU16" s="955">
        <v>21.149208189629853</v>
      </c>
      <c r="AV16" s="955">
        <v>0</v>
      </c>
      <c r="AW16" s="955">
        <v>0</v>
      </c>
      <c r="AX16" s="955">
        <v>68.301058823529416</v>
      </c>
      <c r="AY16" s="956">
        <v>173.97106371729484</v>
      </c>
      <c r="AZ16" s="954">
        <v>49.478771764705883</v>
      </c>
      <c r="BA16" s="955">
        <v>7.1715178177498204</v>
      </c>
      <c r="BB16" s="955">
        <v>22.48081176470588</v>
      </c>
      <c r="BC16" s="955">
        <v>23.261605729999932</v>
      </c>
      <c r="BD16" s="955">
        <v>38.302018823529409</v>
      </c>
      <c r="BE16" s="955">
        <v>4.9434069226607882</v>
      </c>
      <c r="BF16" s="955">
        <v>16.549223529411766</v>
      </c>
      <c r="BG16" s="955">
        <v>14.847259441274</v>
      </c>
      <c r="BH16" s="955">
        <v>0</v>
      </c>
      <c r="BI16" s="955">
        <v>0</v>
      </c>
      <c r="BJ16" s="955">
        <v>70.402470588235303</v>
      </c>
      <c r="BK16" s="956">
        <v>148.13806635485079</v>
      </c>
      <c r="BL16" s="954">
        <v>44.655785098039217</v>
      </c>
      <c r="BM16" s="955">
        <v>4.6112354542394245</v>
      </c>
      <c r="BN16" s="955">
        <v>23.186447058823529</v>
      </c>
      <c r="BO16" s="955">
        <v>27.326398644423719</v>
      </c>
      <c r="BP16" s="955">
        <v>35.629477647058827</v>
      </c>
      <c r="BQ16" s="955">
        <v>3.0356298527550654</v>
      </c>
      <c r="BR16" s="955">
        <v>17.08209411764706</v>
      </c>
      <c r="BS16" s="955">
        <v>17.379341236654451</v>
      </c>
      <c r="BT16" s="955">
        <v>0</v>
      </c>
      <c r="BU16" s="955">
        <v>0</v>
      </c>
      <c r="BV16" s="955">
        <v>72.503882352941176</v>
      </c>
      <c r="BW16" s="956">
        <v>168.63664529144739</v>
      </c>
      <c r="BX16" s="954">
        <v>43.005982745098045</v>
      </c>
      <c r="BY16" s="955">
        <v>4.933507654412832</v>
      </c>
      <c r="BZ16" s="955">
        <v>22.951235294117648</v>
      </c>
      <c r="CA16" s="955">
        <v>30.417903509432843</v>
      </c>
      <c r="CB16" s="955">
        <v>36.236563137254898</v>
      </c>
      <c r="CC16" s="955">
        <v>3.3027088997231022</v>
      </c>
      <c r="CD16" s="955">
        <v>16.904470588235295</v>
      </c>
      <c r="CE16" s="955">
        <v>20.370425217100276</v>
      </c>
      <c r="CF16" s="955">
        <v>0</v>
      </c>
      <c r="CG16" s="955">
        <v>0</v>
      </c>
      <c r="CH16" s="955">
        <v>71.803411764705885</v>
      </c>
      <c r="CI16" s="956">
        <v>170.39326038202759</v>
      </c>
      <c r="CJ16" s="954">
        <v>43.240474509803917</v>
      </c>
      <c r="CK16" s="955">
        <v>2.8245154102945405</v>
      </c>
      <c r="CL16" s="955">
        <v>23.029639215686274</v>
      </c>
      <c r="CM16" s="955">
        <v>23.377648761678536</v>
      </c>
      <c r="CN16" s="955">
        <v>36.476101960784312</v>
      </c>
      <c r="CO16" s="955">
        <v>1.7905216418143652</v>
      </c>
      <c r="CP16" s="955">
        <v>16.96367843137255</v>
      </c>
      <c r="CQ16" s="955">
        <v>14.148714973199558</v>
      </c>
      <c r="CR16" s="955">
        <v>0</v>
      </c>
      <c r="CS16" s="955">
        <v>0</v>
      </c>
      <c r="CT16" s="955">
        <v>72.03690196078432</v>
      </c>
      <c r="CU16" s="956">
        <v>159.91426753115005</v>
      </c>
      <c r="CV16" s="954">
        <v>30.557968627450979</v>
      </c>
      <c r="CW16" s="955">
        <v>0</v>
      </c>
      <c r="CX16" s="955">
        <v>27.655470588235293</v>
      </c>
      <c r="CY16" s="955">
        <v>30.158750811871368</v>
      </c>
      <c r="CZ16" s="955">
        <v>23.279301960784316</v>
      </c>
      <c r="DA16" s="955">
        <v>0</v>
      </c>
      <c r="DB16" s="955">
        <v>20.45694117647059</v>
      </c>
      <c r="DC16" s="955">
        <v>16.280265497071511</v>
      </c>
      <c r="DD16" s="955">
        <v>0</v>
      </c>
      <c r="DE16" s="955">
        <v>0</v>
      </c>
      <c r="DF16" s="955">
        <v>85.812823529411787</v>
      </c>
      <c r="DG16" s="956">
        <v>240.16753401340117</v>
      </c>
      <c r="DH16" s="954">
        <v>40.676907450980387</v>
      </c>
      <c r="DI16" s="955">
        <v>0</v>
      </c>
      <c r="DJ16" s="955">
        <v>24.989737254901961</v>
      </c>
      <c r="DK16" s="955">
        <v>24.76446665372638</v>
      </c>
      <c r="DL16" s="955">
        <v>34.498629019607847</v>
      </c>
      <c r="DM16" s="955">
        <v>0</v>
      </c>
      <c r="DN16" s="955">
        <v>18.443874509803919</v>
      </c>
      <c r="DO16" s="955">
        <v>13.603484874906524</v>
      </c>
      <c r="DP16" s="955">
        <v>0</v>
      </c>
      <c r="DQ16" s="955">
        <v>0</v>
      </c>
      <c r="DR16" s="955">
        <v>77.874156862745096</v>
      </c>
      <c r="DS16" s="956">
        <v>198.27413589490968</v>
      </c>
      <c r="DT16" s="954">
        <v>43.509243921568626</v>
      </c>
      <c r="DU16" s="955">
        <v>0</v>
      </c>
      <c r="DV16" s="955">
        <v>26.16579607843137</v>
      </c>
      <c r="DW16" s="955">
        <v>37.93773327403391</v>
      </c>
      <c r="DX16" s="955">
        <v>33.833800784313723</v>
      </c>
      <c r="DY16" s="955">
        <v>0</v>
      </c>
      <c r="DZ16" s="955">
        <v>19.331992156862746</v>
      </c>
      <c r="EA16" s="955">
        <v>24.601219554849326</v>
      </c>
      <c r="EB16" s="955">
        <v>0</v>
      </c>
      <c r="EC16" s="955">
        <v>0</v>
      </c>
      <c r="ED16" s="955">
        <v>81.376509803921579</v>
      </c>
      <c r="EE16" s="956">
        <v>225.0672046870784</v>
      </c>
      <c r="EF16" s="954">
        <v>46.396636862745098</v>
      </c>
      <c r="EG16" s="955">
        <v>8.3595279810868064</v>
      </c>
      <c r="EH16" s="955">
        <v>20.677521568627448</v>
      </c>
      <c r="EI16" s="955">
        <v>22.356983478568043</v>
      </c>
      <c r="EJ16" s="955">
        <v>36.105476078431373</v>
      </c>
      <c r="EK16" s="955">
        <v>5.8341049455984733</v>
      </c>
      <c r="EL16" s="955">
        <v>15.187443137254901</v>
      </c>
      <c r="EM16" s="955">
        <v>14.242869003257397</v>
      </c>
      <c r="EN16" s="955">
        <v>0</v>
      </c>
      <c r="EO16" s="955">
        <v>0</v>
      </c>
      <c r="EP16" s="955">
        <v>65.032196078431369</v>
      </c>
      <c r="EQ16" s="956">
        <v>143.71592698251263</v>
      </c>
      <c r="ER16" s="954">
        <v>42.655065098039223</v>
      </c>
      <c r="ES16" s="955">
        <v>0.92409985215367918</v>
      </c>
      <c r="ET16" s="955">
        <v>23.813678431372548</v>
      </c>
      <c r="EU16" s="955">
        <v>39.259889663727627</v>
      </c>
      <c r="EV16" s="955">
        <v>35.895921568627458</v>
      </c>
      <c r="EW16" s="955">
        <v>0.48612779079529456</v>
      </c>
      <c r="EX16" s="955">
        <v>17.555756862745099</v>
      </c>
      <c r="EY16" s="955">
        <v>27.233342542599384</v>
      </c>
      <c r="EZ16" s="955">
        <v>0</v>
      </c>
      <c r="FA16" s="955">
        <v>0</v>
      </c>
      <c r="FB16" s="955">
        <v>74.371803921568628</v>
      </c>
      <c r="FC16" s="956">
        <v>199.26242439543674</v>
      </c>
      <c r="FD16" s="954">
        <v>25.789403921568631</v>
      </c>
      <c r="FE16" s="955">
        <v>0</v>
      </c>
      <c r="FF16" s="955">
        <v>29.458760784313721</v>
      </c>
      <c r="FG16" s="955">
        <v>35.627746015962252</v>
      </c>
      <c r="FH16" s="955">
        <v>18.451474509803923</v>
      </c>
      <c r="FI16" s="955">
        <v>0</v>
      </c>
      <c r="FJ16" s="955">
        <v>21.818721568627449</v>
      </c>
      <c r="FK16" s="955">
        <v>19.690564535892424</v>
      </c>
      <c r="FL16" s="955">
        <v>0</v>
      </c>
      <c r="FM16" s="955">
        <v>0</v>
      </c>
      <c r="FN16" s="955">
        <v>91.183098039215707</v>
      </c>
      <c r="FO16" s="956">
        <v>281.50586935704661</v>
      </c>
      <c r="FP16" s="954">
        <v>43.372144313725499</v>
      </c>
      <c r="FQ16" s="955">
        <v>4.3621019290142833</v>
      </c>
      <c r="FR16" s="955">
        <v>22.872831372549019</v>
      </c>
      <c r="FS16" s="955">
        <v>30.443878649339606</v>
      </c>
      <c r="FT16" s="955">
        <v>34.103308235294122</v>
      </c>
      <c r="FU16" s="955">
        <v>2.8575968006360766</v>
      </c>
      <c r="FV16" s="955">
        <v>16.84526274509804</v>
      </c>
      <c r="FW16" s="955">
        <v>20.241751575975204</v>
      </c>
      <c r="FX16" s="955">
        <v>0</v>
      </c>
      <c r="FY16" s="955">
        <v>0</v>
      </c>
      <c r="FZ16" s="955">
        <v>71.56992156862745</v>
      </c>
      <c r="GA16" s="956">
        <v>172.59897183272969</v>
      </c>
      <c r="GB16" s="954">
        <v>41.038351372549023</v>
      </c>
      <c r="GC16" s="955">
        <v>2.2956786149917137</v>
      </c>
      <c r="GD16" s="955">
        <v>22.872831372549019</v>
      </c>
      <c r="GE16" s="955">
        <v>30.691712238262589</v>
      </c>
      <c r="GF16" s="955">
        <v>32.229545098039218</v>
      </c>
      <c r="GG16" s="955">
        <v>1.4783096927681649</v>
      </c>
      <c r="GH16" s="955">
        <v>16.84526274509804</v>
      </c>
      <c r="GI16" s="955">
        <v>19.826609203951445</v>
      </c>
      <c r="GJ16" s="955">
        <v>0</v>
      </c>
      <c r="GK16" s="955">
        <v>0</v>
      </c>
      <c r="GL16" s="955">
        <v>71.56992156862745</v>
      </c>
      <c r="GM16" s="956">
        <v>180.64035381188427</v>
      </c>
      <c r="GN16" s="954">
        <v>40.514188235294121</v>
      </c>
      <c r="GO16" s="955">
        <v>0</v>
      </c>
      <c r="GP16" s="955">
        <v>24.832929411764706</v>
      </c>
      <c r="GQ16" s="955">
        <v>28.218514037778057</v>
      </c>
      <c r="GR16" s="955">
        <v>32.465173333333333</v>
      </c>
      <c r="GS16" s="955">
        <v>0</v>
      </c>
      <c r="GT16" s="955">
        <v>18.325458823529413</v>
      </c>
      <c r="GU16" s="955">
        <v>16.355659124413322</v>
      </c>
      <c r="GV16" s="955">
        <v>0</v>
      </c>
      <c r="GW16" s="955">
        <v>0</v>
      </c>
      <c r="GX16" s="955">
        <v>77.407176470588226</v>
      </c>
      <c r="GY16" s="956">
        <v>200.19330637253819</v>
      </c>
      <c r="GZ16" s="954">
        <v>40.311356862745093</v>
      </c>
      <c r="HA16" s="955">
        <v>0</v>
      </c>
      <c r="HB16" s="955">
        <v>24.911333333333332</v>
      </c>
      <c r="HC16" s="955">
        <v>35.689100635646547</v>
      </c>
      <c r="HD16" s="955">
        <v>31.505160784313727</v>
      </c>
      <c r="HE16" s="955">
        <v>0</v>
      </c>
      <c r="HF16" s="955">
        <v>18.384666666666668</v>
      </c>
      <c r="HG16" s="955">
        <v>22.134862920828908</v>
      </c>
      <c r="HH16" s="955">
        <v>0</v>
      </c>
      <c r="HI16" s="955">
        <v>0</v>
      </c>
      <c r="HJ16" s="955">
        <v>77.640666666666675</v>
      </c>
      <c r="HK16" s="956">
        <v>220.67739787023848</v>
      </c>
      <c r="HL16" s="954">
        <v>43.007808627450977</v>
      </c>
      <c r="HM16" s="955">
        <v>10.603714504376423</v>
      </c>
      <c r="HN16" s="955">
        <v>18.403807843137255</v>
      </c>
      <c r="HO16" s="955">
        <v>15.265866141210353</v>
      </c>
      <c r="HP16" s="955">
        <v>35.631650196078432</v>
      </c>
      <c r="HQ16" s="955">
        <v>7.4483620038555856</v>
      </c>
      <c r="HR16" s="955">
        <v>13.47041568627451</v>
      </c>
      <c r="HS16" s="955">
        <v>8.7061374853720714</v>
      </c>
      <c r="HT16" s="955">
        <v>65.46492549019608</v>
      </c>
      <c r="HU16" s="955">
        <v>2.6250013253671423</v>
      </c>
      <c r="HV16" s="955">
        <v>58.260980392156867</v>
      </c>
      <c r="HW16" s="956">
        <v>119.17181171309115</v>
      </c>
      <c r="HX16" s="954">
        <v>46.478832941176471</v>
      </c>
      <c r="HY16" s="955">
        <v>11.761498521573841</v>
      </c>
      <c r="HZ16" s="955">
        <v>18.011788235294119</v>
      </c>
      <c r="IA16" s="955">
        <v>14.05671473227283</v>
      </c>
      <c r="IB16" s="955">
        <v>36.039632941176471</v>
      </c>
      <c r="IC16" s="955">
        <v>8.2999134883828489</v>
      </c>
      <c r="ID16" s="955">
        <v>13.174376470588236</v>
      </c>
      <c r="IE16" s="955">
        <v>7.6898064787244955</v>
      </c>
      <c r="IF16" s="955">
        <v>70.745929411764706</v>
      </c>
      <c r="IG16" s="955">
        <v>3.9773940535890073</v>
      </c>
      <c r="IH16" s="955">
        <v>57.093529411764706</v>
      </c>
      <c r="II16" s="956">
        <v>118.05847036260357</v>
      </c>
      <c r="IJ16" s="954">
        <v>46.520318431372552</v>
      </c>
      <c r="IK16" s="955">
        <v>4.1043098733820509</v>
      </c>
      <c r="IL16" s="955">
        <v>22.402407843137254</v>
      </c>
      <c r="IM16" s="955">
        <v>29.510188044491052</v>
      </c>
      <c r="IN16" s="955">
        <v>37.212064313725499</v>
      </c>
      <c r="IO16" s="955">
        <v>2.7130018616484319</v>
      </c>
      <c r="IP16" s="955">
        <v>16.490015686274511</v>
      </c>
      <c r="IQ16" s="955">
        <v>19.569587008786652</v>
      </c>
      <c r="IR16" s="955">
        <v>0</v>
      </c>
      <c r="IS16" s="955">
        <v>0</v>
      </c>
      <c r="IT16" s="955">
        <v>70.168980392156868</v>
      </c>
      <c r="IU16" s="956">
        <v>170.40753515565126</v>
      </c>
      <c r="IV16" s="954">
        <v>44.63168784313725</v>
      </c>
      <c r="IW16" s="955">
        <v>10.550169214445399</v>
      </c>
      <c r="IX16" s="955">
        <v>19.736674509803922</v>
      </c>
      <c r="IY16" s="955">
        <v>19.5232547963355</v>
      </c>
      <c r="IZ16" s="955">
        <v>36.581115294117652</v>
      </c>
      <c r="JA16" s="955">
        <v>7.4427845918839939</v>
      </c>
      <c r="JB16" s="955">
        <v>14.476949019607844</v>
      </c>
      <c r="JC16" s="955">
        <v>11.705680763433529</v>
      </c>
      <c r="JD16" s="955">
        <v>68.913145098039209</v>
      </c>
      <c r="JE16" s="955">
        <v>2.4486404267815982</v>
      </c>
      <c r="JF16" s="955">
        <v>62.230313725490205</v>
      </c>
      <c r="JG16" s="956">
        <v>134.38968475845232</v>
      </c>
      <c r="JH16" s="954">
        <v>42.050541176470588</v>
      </c>
      <c r="JI16" s="955">
        <v>0</v>
      </c>
      <c r="JJ16" s="955">
        <v>24.911333333333332</v>
      </c>
      <c r="JK16" s="955">
        <v>21.667501705872752</v>
      </c>
      <c r="JL16" s="955">
        <v>33.027247058823527</v>
      </c>
      <c r="JM16" s="955">
        <v>0</v>
      </c>
      <c r="JN16" s="955">
        <v>18.384666666666668</v>
      </c>
      <c r="JO16" s="955">
        <v>11.193741243549324</v>
      </c>
      <c r="JP16" s="955">
        <v>0</v>
      </c>
      <c r="JQ16" s="955">
        <v>0</v>
      </c>
      <c r="JR16" s="955">
        <v>77.640666666666675</v>
      </c>
      <c r="JS16" s="956">
        <v>189.16592485059306</v>
      </c>
      <c r="JT16" s="954">
        <v>39.920334117647059</v>
      </c>
      <c r="JU16" s="955">
        <v>6.0823261179512711</v>
      </c>
      <c r="JV16" s="955">
        <v>21.61836862745098</v>
      </c>
      <c r="JW16" s="955">
        <v>26.950365213055303</v>
      </c>
      <c r="JX16" s="955">
        <v>33.704076862745097</v>
      </c>
      <c r="JY16" s="955">
        <v>4.1754796140051331</v>
      </c>
      <c r="JZ16" s="955">
        <v>15.89793725490196</v>
      </c>
      <c r="KA16" s="955">
        <v>17.923523904888622</v>
      </c>
      <c r="KB16" s="955">
        <v>0</v>
      </c>
      <c r="KC16" s="955">
        <v>0</v>
      </c>
      <c r="KD16" s="955">
        <v>67.834078431372546</v>
      </c>
      <c r="KE16" s="956">
        <v>158.72972195907789</v>
      </c>
      <c r="KF16" s="954">
        <v>48.095546666666664</v>
      </c>
      <c r="KG16" s="955">
        <v>5.5313020755754456</v>
      </c>
      <c r="KH16" s="955">
        <v>22.637619607843138</v>
      </c>
      <c r="KI16" s="955">
        <v>27.338395747584997</v>
      </c>
      <c r="KJ16" s="955">
        <v>37.294072156862747</v>
      </c>
      <c r="KK16" s="955">
        <v>3.7125511513193965</v>
      </c>
      <c r="KL16" s="955">
        <v>16.667639215686272</v>
      </c>
      <c r="KM16" s="955">
        <v>17.842941479512628</v>
      </c>
      <c r="KN16" s="955">
        <v>0</v>
      </c>
      <c r="KO16" s="955">
        <v>0</v>
      </c>
      <c r="KP16" s="955">
        <v>70.869450980392159</v>
      </c>
      <c r="KQ16" s="956">
        <v>163.85324743946143</v>
      </c>
      <c r="KR16" s="954">
        <v>43.745014901960793</v>
      </c>
      <c r="KS16" s="955">
        <v>0.79828918642184943</v>
      </c>
      <c r="KT16" s="955">
        <v>23.029639215686274</v>
      </c>
      <c r="KU16" s="955">
        <v>36.006186679358549</v>
      </c>
      <c r="KV16" s="955">
        <v>36.144690196078429</v>
      </c>
      <c r="KW16" s="955">
        <v>0.36380778684229892</v>
      </c>
      <c r="KX16" s="955">
        <v>16.96367843137255</v>
      </c>
      <c r="KY16" s="955">
        <v>24.401030308710471</v>
      </c>
      <c r="KZ16" s="955">
        <v>0</v>
      </c>
      <c r="LA16" s="955">
        <v>0</v>
      </c>
      <c r="LB16" s="955">
        <v>72.03690196078432</v>
      </c>
      <c r="LC16" s="956">
        <v>201.25634170074278</v>
      </c>
      <c r="LD16" s="954">
        <v>44.977722352941186</v>
      </c>
      <c r="LE16" s="955">
        <v>8.3796398713914009</v>
      </c>
      <c r="LF16" s="955">
        <v>20.755925490196081</v>
      </c>
      <c r="LG16" s="955">
        <v>20.805442208983568</v>
      </c>
      <c r="LH16" s="955">
        <v>34.982357647058826</v>
      </c>
      <c r="LI16" s="955">
        <v>5.846054558499362</v>
      </c>
      <c r="LJ16" s="955">
        <v>15.246650980392157</v>
      </c>
      <c r="LK16" s="955">
        <v>13.062402208303824</v>
      </c>
      <c r="LL16" s="955">
        <v>0</v>
      </c>
      <c r="LM16" s="955">
        <v>0</v>
      </c>
      <c r="LN16" s="955">
        <v>65.265686274509818</v>
      </c>
      <c r="LO16" s="956">
        <v>138.3553579390971</v>
      </c>
      <c r="LP16" s="954">
        <v>33.731247058823534</v>
      </c>
      <c r="LQ16" s="955">
        <v>0</v>
      </c>
      <c r="LR16" s="955">
        <v>23.500062745098038</v>
      </c>
      <c r="LS16" s="955">
        <v>31.572573327825005</v>
      </c>
      <c r="LT16" s="955">
        <v>27.283019607843137</v>
      </c>
      <c r="LU16" s="955">
        <v>0</v>
      </c>
      <c r="LV16" s="955">
        <v>17.318925490196079</v>
      </c>
      <c r="LW16" s="955">
        <v>19.080220201060857</v>
      </c>
      <c r="LX16" s="955">
        <v>0</v>
      </c>
      <c r="LY16" s="955">
        <v>0</v>
      </c>
      <c r="LZ16" s="955">
        <v>73.437843137254916</v>
      </c>
      <c r="MA16" s="956">
        <v>208.45008955217355</v>
      </c>
      <c r="MB16" s="954">
        <v>44.661581176470598</v>
      </c>
      <c r="MC16" s="955">
        <v>3.6722688852215351</v>
      </c>
      <c r="MD16" s="955">
        <v>23.735274509803922</v>
      </c>
      <c r="ME16" s="955">
        <v>29.732175012980949</v>
      </c>
      <c r="MF16" s="955">
        <v>36.605413333333338</v>
      </c>
      <c r="MG16" s="955">
        <v>2.3328868741029036</v>
      </c>
      <c r="MH16" s="955">
        <v>17.496549019607844</v>
      </c>
      <c r="MI16" s="955">
        <v>19.569675052288119</v>
      </c>
      <c r="MJ16" s="955">
        <v>0</v>
      </c>
      <c r="MK16" s="955">
        <v>0</v>
      </c>
      <c r="ML16" s="955">
        <v>74.138313725490207</v>
      </c>
      <c r="MM16" s="956">
        <v>173.12411079155007</v>
      </c>
      <c r="MN16" s="954">
        <v>37.683611764705887</v>
      </c>
      <c r="MO16" s="955">
        <v>0</v>
      </c>
      <c r="MP16" s="955">
        <v>31.183647058823528</v>
      </c>
      <c r="MQ16" s="955">
        <v>35.266041728069773</v>
      </c>
      <c r="MR16" s="955">
        <v>28.753788235294117</v>
      </c>
      <c r="MS16" s="955">
        <v>0</v>
      </c>
      <c r="MT16" s="955">
        <v>23.121294117647061</v>
      </c>
      <c r="MU16" s="955">
        <v>19.098632727882979</v>
      </c>
      <c r="MV16" s="955">
        <v>0</v>
      </c>
      <c r="MW16" s="955">
        <v>0</v>
      </c>
      <c r="MX16" s="955">
        <v>96.319882352941192</v>
      </c>
      <c r="MY16" s="956">
        <v>262.68965312571419</v>
      </c>
      <c r="MZ16" s="954">
        <v>34.891270588235308</v>
      </c>
      <c r="NA16" s="955">
        <v>0</v>
      </c>
      <c r="NB16" s="955">
        <v>25.930584313725486</v>
      </c>
      <c r="NC16" s="955">
        <v>36.790300040938099</v>
      </c>
      <c r="ND16" s="955">
        <v>26.65432941176471</v>
      </c>
      <c r="NE16" s="955">
        <v>0</v>
      </c>
      <c r="NF16" s="955">
        <v>19.154368627450978</v>
      </c>
      <c r="NG16" s="955">
        <v>21.861657424025722</v>
      </c>
      <c r="NH16" s="955">
        <v>0</v>
      </c>
      <c r="NI16" s="955">
        <v>0</v>
      </c>
      <c r="NJ16" s="955">
        <v>80.676039215686274</v>
      </c>
      <c r="NK16" s="956">
        <v>257.10448262633997</v>
      </c>
      <c r="NL16" s="954">
        <v>42.188544313725494</v>
      </c>
      <c r="NM16" s="955">
        <v>2.0747597746571431</v>
      </c>
      <c r="NN16" s="955">
        <v>24.676121568627451</v>
      </c>
      <c r="NO16" s="955">
        <v>29.004247974393344</v>
      </c>
      <c r="NP16" s="955">
        <v>32.820693333333331</v>
      </c>
      <c r="NQ16" s="955">
        <v>1.2755724927246526</v>
      </c>
      <c r="NR16" s="955">
        <v>18.207043137254903</v>
      </c>
      <c r="NS16" s="955">
        <v>18.333527332889712</v>
      </c>
      <c r="NT16" s="955">
        <v>0</v>
      </c>
      <c r="NU16" s="955">
        <v>0</v>
      </c>
      <c r="NV16" s="955">
        <v>76.940196078431384</v>
      </c>
      <c r="NW16" s="956">
        <v>180.2011013836503</v>
      </c>
      <c r="NX16" s="954">
        <v>41.668351372549026</v>
      </c>
      <c r="NY16" s="955">
        <v>4.2861901852708515</v>
      </c>
      <c r="NZ16" s="955">
        <v>23.264850980392154</v>
      </c>
      <c r="OA16" s="955">
        <v>31.905944754698815</v>
      </c>
      <c r="OB16" s="955">
        <v>33.574765490196079</v>
      </c>
      <c r="OC16" s="955">
        <v>2.8256015384185105</v>
      </c>
      <c r="OD16" s="955">
        <v>17.141301960784315</v>
      </c>
      <c r="OE16" s="955">
        <v>21.331146220634025</v>
      </c>
      <c r="OF16" s="955">
        <v>0</v>
      </c>
      <c r="OG16" s="955">
        <v>0</v>
      </c>
      <c r="OH16" s="955">
        <v>72.737372549019611</v>
      </c>
      <c r="OI16" s="956">
        <v>176.27910294596171</v>
      </c>
      <c r="OJ16" s="954">
        <v>43.364839215686274</v>
      </c>
      <c r="OK16" s="955">
        <v>0</v>
      </c>
      <c r="OL16" s="955">
        <v>26.793027450980389</v>
      </c>
      <c r="OM16" s="955">
        <v>29.895637481084503</v>
      </c>
      <c r="ON16" s="955">
        <v>34.51042352941176</v>
      </c>
      <c r="OO16" s="955">
        <v>0</v>
      </c>
      <c r="OP16" s="955">
        <v>19.805654901960786</v>
      </c>
      <c r="OQ16" s="955">
        <v>17.293499740175118</v>
      </c>
      <c r="OR16" s="955">
        <v>0</v>
      </c>
      <c r="OS16" s="955">
        <v>0</v>
      </c>
      <c r="OT16" s="955">
        <v>83.244431372549002</v>
      </c>
      <c r="OU16" s="956">
        <v>211.45973769062761</v>
      </c>
      <c r="OV16" s="954">
        <v>43.020313725490205</v>
      </c>
      <c r="OW16" s="955">
        <v>7.2257565450162167</v>
      </c>
      <c r="OX16" s="955">
        <v>22.088792156862745</v>
      </c>
      <c r="OY16" s="955">
        <v>23.271590117983603</v>
      </c>
      <c r="OZ16" s="955">
        <v>33.836864313725492</v>
      </c>
      <c r="PA16" s="955">
        <v>5.006631237421999</v>
      </c>
      <c r="PB16" s="955">
        <v>16.253184313725491</v>
      </c>
      <c r="PC16" s="955">
        <v>14.274350722336465</v>
      </c>
      <c r="PD16" s="955">
        <v>0</v>
      </c>
      <c r="PE16" s="955">
        <v>0</v>
      </c>
      <c r="PF16" s="955">
        <v>69.235019607843142</v>
      </c>
      <c r="PG16" s="956">
        <v>150.34648885669085</v>
      </c>
      <c r="PH16" s="954">
        <v>41.610145098039219</v>
      </c>
      <c r="PI16" s="955">
        <v>0</v>
      </c>
      <c r="PJ16" s="955">
        <v>30.085992156862744</v>
      </c>
      <c r="PK16" s="955">
        <v>35.478296586822196</v>
      </c>
      <c r="PL16" s="955">
        <v>32.747654901960793</v>
      </c>
      <c r="PM16" s="955">
        <v>0</v>
      </c>
      <c r="PN16" s="955">
        <v>22.292384313725492</v>
      </c>
      <c r="PO16" s="955">
        <v>20.981591976297199</v>
      </c>
      <c r="PP16" s="955">
        <v>0</v>
      </c>
      <c r="PQ16" s="955">
        <v>0</v>
      </c>
      <c r="PR16" s="955">
        <v>93.051019607843131</v>
      </c>
      <c r="PS16" s="956">
        <v>234.62989599439402</v>
      </c>
      <c r="PT16" s="954">
        <v>46.237840784313732</v>
      </c>
      <c r="PU16" s="955">
        <v>3.8676350984057408</v>
      </c>
      <c r="PV16" s="955">
        <v>23.500062745098038</v>
      </c>
      <c r="PW16" s="955">
        <v>25.479160340917232</v>
      </c>
      <c r="PX16" s="955">
        <v>38.79595450980392</v>
      </c>
      <c r="PY16" s="955">
        <v>2.5339622224230753</v>
      </c>
      <c r="PZ16" s="955">
        <v>17.318925490196079</v>
      </c>
      <c r="QA16" s="955">
        <v>16.184606597713753</v>
      </c>
      <c r="QB16" s="955">
        <v>0</v>
      </c>
      <c r="QC16" s="955">
        <v>0</v>
      </c>
      <c r="QD16" s="955">
        <v>73.437843137254916</v>
      </c>
      <c r="QE16" s="956">
        <v>159.29471230283988</v>
      </c>
      <c r="QF16" s="954">
        <v>45.180861176470586</v>
      </c>
      <c r="QG16" s="955">
        <v>4.4187645415261292</v>
      </c>
      <c r="QH16" s="955">
        <v>23.108043137254903</v>
      </c>
      <c r="QI16" s="955">
        <v>29.983546791775957</v>
      </c>
      <c r="QJ16" s="955">
        <v>35.172296470588236</v>
      </c>
      <c r="QK16" s="955">
        <v>2.8930769810233978</v>
      </c>
      <c r="QL16" s="955">
        <v>17.022886274509805</v>
      </c>
      <c r="QM16" s="955">
        <v>19.765438069776902</v>
      </c>
      <c r="QN16" s="955">
        <v>0</v>
      </c>
      <c r="QO16" s="955">
        <v>0</v>
      </c>
      <c r="QP16" s="955">
        <v>72.270392156862755</v>
      </c>
      <c r="QQ16" s="956">
        <v>173.16060592559788</v>
      </c>
      <c r="QR16" s="954">
        <v>33.126066666666674</v>
      </c>
      <c r="QS16" s="955">
        <v>0</v>
      </c>
      <c r="QT16" s="955">
        <v>26.087392156862744</v>
      </c>
      <c r="QU16" s="955">
        <v>30.873850477358097</v>
      </c>
      <c r="QV16" s="955">
        <v>28.327498039215691</v>
      </c>
      <c r="QW16" s="955">
        <v>0</v>
      </c>
      <c r="QX16" s="955">
        <v>19.272784313725492</v>
      </c>
      <c r="QY16" s="955">
        <v>16.664526489477723</v>
      </c>
      <c r="QZ16" s="955">
        <v>0</v>
      </c>
      <c r="RA16" s="955">
        <v>0</v>
      </c>
      <c r="RB16" s="955">
        <v>81.143019607843158</v>
      </c>
      <c r="RC16" s="956">
        <v>243.56941961775019</v>
      </c>
      <c r="RD16" s="954">
        <v>44.383868235294123</v>
      </c>
      <c r="RE16" s="955">
        <v>5.1689332562326564</v>
      </c>
      <c r="RF16" s="955">
        <v>23.421658823529413</v>
      </c>
      <c r="RG16" s="955">
        <v>27.800362779276757</v>
      </c>
      <c r="RH16" s="955">
        <v>35.894618039215693</v>
      </c>
      <c r="RI16" s="955">
        <v>3.4536357462592298</v>
      </c>
      <c r="RJ16" s="955">
        <v>17.259717647058821</v>
      </c>
      <c r="RK16" s="955">
        <v>17.965553052765966</v>
      </c>
      <c r="RL16" s="955">
        <v>0</v>
      </c>
      <c r="RM16" s="955">
        <v>0</v>
      </c>
      <c r="RN16" s="955">
        <v>73.204352941176467</v>
      </c>
      <c r="RO16" s="956">
        <v>166.43614601686264</v>
      </c>
      <c r="RP16" s="954">
        <v>43.890511372549021</v>
      </c>
      <c r="RQ16" s="955">
        <v>4.5705353286407115</v>
      </c>
      <c r="RR16" s="955">
        <v>23.264850980392154</v>
      </c>
      <c r="RS16" s="955">
        <v>27.008858712198027</v>
      </c>
      <c r="RT16" s="955">
        <v>34.215742745098041</v>
      </c>
      <c r="RU16" s="955">
        <v>3.0089743575012369</v>
      </c>
      <c r="RV16" s="955">
        <v>17.141301960784315</v>
      </c>
      <c r="RW16" s="955">
        <v>17.354539749863328</v>
      </c>
      <c r="RX16" s="955">
        <v>0</v>
      </c>
      <c r="RY16" s="955">
        <v>0</v>
      </c>
      <c r="RZ16" s="955">
        <v>72.737372549019611</v>
      </c>
      <c r="SA16" s="956">
        <v>165.1980871892124</v>
      </c>
    </row>
    <row r="17" spans="1:495">
      <c r="A17" s="961">
        <f>[3]Eingabedaten!A19</f>
        <v>4.03</v>
      </c>
      <c r="B17" s="169" t="str">
        <f>[3]Eingabedaten!C19</f>
        <v>Bibliothek</v>
      </c>
      <c r="C17" s="987">
        <f t="shared" si="1"/>
        <v>11</v>
      </c>
      <c r="D17" s="954" cm="1">
        <f t="array" ref="D17">INDEX($P$7:$SA$51,$C17,$G$3-1+D$2)</f>
        <v>26.962655529411769</v>
      </c>
      <c r="E17" s="955" cm="1">
        <f t="array" ref="E17">INDEX($P$7:$SA$51,$C17,$G$3-1+E$2)</f>
        <v>3.1150122065978558</v>
      </c>
      <c r="F17" s="955" cm="1">
        <f t="array" ref="F17">INDEX($P$7:$SA$51,$C17,$G$3-1+F$2)</f>
        <v>12.556125490196077</v>
      </c>
      <c r="G17" s="955" cm="1">
        <f t="array" ref="G17">INDEX($P$7:$SA$51,$C17,$G$3-1+G$2)</f>
        <v>16.302303608778768</v>
      </c>
      <c r="H17" s="955" cm="1">
        <f t="array" ref="H17">INDEX($P$7:$SA$51,$C17,$G$3-1+H$2)</f>
        <v>23.869516705882358</v>
      </c>
      <c r="I17" s="955" cm="1">
        <f t="array" ref="I17">INDEX($P$7:$SA$51,$C17,$G$3-1+I$2)</f>
        <v>2.6413290890029235</v>
      </c>
      <c r="J17" s="955" cm="1">
        <f t="array" ref="J17">INDEX($P$7:$SA$51,$C17,$G$3-1+J$2)</f>
        <v>9.8051176470588253</v>
      </c>
      <c r="K17" s="955" cm="1">
        <f t="array" ref="K17">INDEX($P$7:$SA$51,$C17,$G$3-1+K$2)</f>
        <v>8.9350103846598863</v>
      </c>
      <c r="L17" s="955" cm="1">
        <f t="array" ref="L17">INDEX($P$7:$SA$51,$C17,$G$3-1+L$2)</f>
        <v>0</v>
      </c>
      <c r="M17" s="955" cm="1">
        <f t="array" ref="M17">INDEX($P$7:$SA$51,$C17,$G$3-1+M$2)</f>
        <v>0</v>
      </c>
      <c r="N17" s="955" cm="1">
        <f t="array" ref="N17">INDEX($P$7:$SA$51,$C17,$G$3-1+N$2)</f>
        <v>43.41718627450981</v>
      </c>
      <c r="O17" s="956" cm="1">
        <f t="array" ref="O17">INDEX($P$7:$SA$51,$C17,$G$3-1+O$2)</f>
        <v>92.326270471455388</v>
      </c>
      <c r="P17" s="954">
        <v>20.674243137254905</v>
      </c>
      <c r="Q17" s="955">
        <v>0</v>
      </c>
      <c r="R17" s="955">
        <v>13.744178431372548</v>
      </c>
      <c r="S17" s="955">
        <v>17.717137688023705</v>
      </c>
      <c r="T17" s="955">
        <v>18.37390980392157</v>
      </c>
      <c r="U17" s="955">
        <v>0</v>
      </c>
      <c r="V17" s="955">
        <v>10.734023529411765</v>
      </c>
      <c r="W17" s="955">
        <v>7.936049239428951</v>
      </c>
      <c r="X17" s="955">
        <v>0</v>
      </c>
      <c r="Y17" s="955">
        <v>0</v>
      </c>
      <c r="Z17" s="955">
        <v>47.217303921568629</v>
      </c>
      <c r="AA17" s="956">
        <v>123.76270291122583</v>
      </c>
      <c r="AB17" s="954">
        <v>27.741341840313734</v>
      </c>
      <c r="AC17" s="955">
        <v>3.1635160804682845</v>
      </c>
      <c r="AD17" s="955">
        <v>11.676086274509803</v>
      </c>
      <c r="AE17" s="955">
        <v>15.622446853474836</v>
      </c>
      <c r="AF17" s="955">
        <v>24.177274039215689</v>
      </c>
      <c r="AG17" s="955">
        <v>2.6662437435984114</v>
      </c>
      <c r="AH17" s="955">
        <v>9.1170392156862761</v>
      </c>
      <c r="AI17" s="955">
        <v>8.6605479014797915</v>
      </c>
      <c r="AJ17" s="955">
        <v>0</v>
      </c>
      <c r="AK17" s="955">
        <v>0</v>
      </c>
      <c r="AL17" s="955">
        <v>40.602284313725491</v>
      </c>
      <c r="AM17" s="956">
        <v>89.275106645823584</v>
      </c>
      <c r="AN17" s="954">
        <v>30.615997803921569</v>
      </c>
      <c r="AO17" s="955">
        <v>1.7829909910268689</v>
      </c>
      <c r="AP17" s="955">
        <v>11.720088235294117</v>
      </c>
      <c r="AQ17" s="955">
        <v>18.276928431279362</v>
      </c>
      <c r="AR17" s="955">
        <v>26.731375843137258</v>
      </c>
      <c r="AS17" s="955">
        <v>1.6863073094818408</v>
      </c>
      <c r="AT17" s="955">
        <v>9.151443137254903</v>
      </c>
      <c r="AU17" s="955">
        <v>10.614783741013678</v>
      </c>
      <c r="AV17" s="955">
        <v>0</v>
      </c>
      <c r="AW17" s="955">
        <v>0</v>
      </c>
      <c r="AX17" s="955">
        <v>40.743029411764709</v>
      </c>
      <c r="AY17" s="956">
        <v>96.149043468160968</v>
      </c>
      <c r="AZ17" s="954">
        <v>29.530897882352942</v>
      </c>
      <c r="BA17" s="955">
        <v>4.668874358292137</v>
      </c>
      <c r="BB17" s="955">
        <v>12.11610588235294</v>
      </c>
      <c r="BC17" s="955">
        <v>13.922751900327334</v>
      </c>
      <c r="BD17" s="955">
        <v>25.9031825882353</v>
      </c>
      <c r="BE17" s="955">
        <v>3.735330020966261</v>
      </c>
      <c r="BF17" s="955">
        <v>9.4610784313725489</v>
      </c>
      <c r="BG17" s="955">
        <v>7.5217755529277142</v>
      </c>
      <c r="BH17" s="955">
        <v>0</v>
      </c>
      <c r="BI17" s="955">
        <v>0</v>
      </c>
      <c r="BJ17" s="955">
        <v>42.009735294117647</v>
      </c>
      <c r="BK17" s="956">
        <v>82.566286148750791</v>
      </c>
      <c r="BL17" s="954">
        <v>28.47765976470588</v>
      </c>
      <c r="BM17" s="955">
        <v>3.1273694963013221</v>
      </c>
      <c r="BN17" s="955">
        <v>12.512123529411763</v>
      </c>
      <c r="BO17" s="955">
        <v>16.604625583752867</v>
      </c>
      <c r="BP17" s="955">
        <v>25.071186823529413</v>
      </c>
      <c r="BQ17" s="955">
        <v>2.6506573208764128</v>
      </c>
      <c r="BR17" s="955">
        <v>9.7707137254901966</v>
      </c>
      <c r="BS17" s="955">
        <v>9.0095935328206362</v>
      </c>
      <c r="BT17" s="955">
        <v>0</v>
      </c>
      <c r="BU17" s="955">
        <v>0</v>
      </c>
      <c r="BV17" s="955">
        <v>43.276441176470591</v>
      </c>
      <c r="BW17" s="956">
        <v>94.39827154624119</v>
      </c>
      <c r="BX17" s="954">
        <v>28.964621490196077</v>
      </c>
      <c r="BY17" s="955">
        <v>3.4105285989852865</v>
      </c>
      <c r="BZ17" s="955">
        <v>12.380117647058825</v>
      </c>
      <c r="CA17" s="955">
        <v>18.02896520436747</v>
      </c>
      <c r="CB17" s="955">
        <v>25.445577568627449</v>
      </c>
      <c r="CC17" s="955">
        <v>2.8452561181960476</v>
      </c>
      <c r="CD17" s="955">
        <v>9.667501960784314</v>
      </c>
      <c r="CE17" s="955">
        <v>10.376645181370856</v>
      </c>
      <c r="CF17" s="955">
        <v>0</v>
      </c>
      <c r="CG17" s="955">
        <v>0</v>
      </c>
      <c r="CH17" s="955">
        <v>42.854205882352943</v>
      </c>
      <c r="CI17" s="956">
        <v>94.711456309035881</v>
      </c>
      <c r="CJ17" s="954">
        <v>29.085797254901959</v>
      </c>
      <c r="CK17" s="955">
        <v>2.2742397655781961</v>
      </c>
      <c r="CL17" s="955">
        <v>12.424119607843135</v>
      </c>
      <c r="CM17" s="955">
        <v>14.361773416368198</v>
      </c>
      <c r="CN17" s="955">
        <v>25.512210980392158</v>
      </c>
      <c r="CO17" s="955">
        <v>2.0387542400543612</v>
      </c>
      <c r="CP17" s="955">
        <v>9.7019058823529427</v>
      </c>
      <c r="CQ17" s="955">
        <v>7.2988705921216654</v>
      </c>
      <c r="CR17" s="955">
        <v>0</v>
      </c>
      <c r="CS17" s="955">
        <v>0</v>
      </c>
      <c r="CT17" s="955">
        <v>42.994950980392161</v>
      </c>
      <c r="CU17" s="956">
        <v>89.444377185354185</v>
      </c>
      <c r="CV17" s="954">
        <v>16.715556862745103</v>
      </c>
      <c r="CW17" s="955">
        <v>0</v>
      </c>
      <c r="CX17" s="955">
        <v>15.020235294117647</v>
      </c>
      <c r="CY17" s="955">
        <v>20.105873892715973</v>
      </c>
      <c r="CZ17" s="955">
        <v>14.453654901960789</v>
      </c>
      <c r="DA17" s="955">
        <v>0</v>
      </c>
      <c r="DB17" s="955">
        <v>11.731737254901962</v>
      </c>
      <c r="DC17" s="955">
        <v>9.0678166304116949</v>
      </c>
      <c r="DD17" s="955">
        <v>0</v>
      </c>
      <c r="DE17" s="955">
        <v>0</v>
      </c>
      <c r="DF17" s="955">
        <v>51.298911764705885</v>
      </c>
      <c r="DG17" s="956">
        <v>137.51158576079487</v>
      </c>
      <c r="DH17" s="954">
        <v>27.422557725490194</v>
      </c>
      <c r="DI17" s="955">
        <v>0</v>
      </c>
      <c r="DJ17" s="955">
        <v>13.52416862745098</v>
      </c>
      <c r="DK17" s="955">
        <v>15.994755283932953</v>
      </c>
      <c r="DL17" s="955">
        <v>24.204658509803924</v>
      </c>
      <c r="DM17" s="955">
        <v>0</v>
      </c>
      <c r="DN17" s="955">
        <v>10.562003921568628</v>
      </c>
      <c r="DO17" s="955">
        <v>7.2157160288317073</v>
      </c>
      <c r="DP17" s="955">
        <v>0</v>
      </c>
      <c r="DQ17" s="955">
        <v>0</v>
      </c>
      <c r="DR17" s="955">
        <v>46.513578431372551</v>
      </c>
      <c r="DS17" s="956">
        <v>112.04831617825009</v>
      </c>
      <c r="DT17" s="954">
        <v>26.451967372549021</v>
      </c>
      <c r="DU17" s="955">
        <v>0</v>
      </c>
      <c r="DV17" s="955">
        <v>14.184198039215687</v>
      </c>
      <c r="DW17" s="955">
        <v>23.203323025145824</v>
      </c>
      <c r="DX17" s="955">
        <v>23.451617568627452</v>
      </c>
      <c r="DY17" s="955">
        <v>0</v>
      </c>
      <c r="DZ17" s="955">
        <v>11.078062745098041</v>
      </c>
      <c r="EA17" s="955">
        <v>12.870491956964402</v>
      </c>
      <c r="EB17" s="955">
        <v>0</v>
      </c>
      <c r="EC17" s="955">
        <v>0</v>
      </c>
      <c r="ED17" s="955">
        <v>48.624754901960792</v>
      </c>
      <c r="EE17" s="956">
        <v>126.01605112888114</v>
      </c>
      <c r="EF17" s="954">
        <v>28.017757568627452</v>
      </c>
      <c r="EG17" s="955">
        <v>5.4022201175989872</v>
      </c>
      <c r="EH17" s="955">
        <v>11.104060784313724</v>
      </c>
      <c r="EI17" s="955">
        <v>13.406311443416399</v>
      </c>
      <c r="EJ17" s="955">
        <v>24.736045019607847</v>
      </c>
      <c r="EK17" s="955">
        <v>4.2515041240402169</v>
      </c>
      <c r="EL17" s="955">
        <v>8.6697882352941189</v>
      </c>
      <c r="EM17" s="955">
        <v>7.2242071057900894</v>
      </c>
      <c r="EN17" s="955">
        <v>0</v>
      </c>
      <c r="EO17" s="955">
        <v>0</v>
      </c>
      <c r="EP17" s="955">
        <v>38.772598039215687</v>
      </c>
      <c r="EQ17" s="956">
        <v>80.249173522976704</v>
      </c>
      <c r="ER17" s="954">
        <v>28.602168627450983</v>
      </c>
      <c r="ES17" s="955">
        <v>1.0158391618296643</v>
      </c>
      <c r="ET17" s="955">
        <v>12.864139215686274</v>
      </c>
      <c r="EU17" s="955">
        <v>23.004914060838431</v>
      </c>
      <c r="EV17" s="955">
        <v>25.13356078431373</v>
      </c>
      <c r="EW17" s="955">
        <v>1.0163813718212162</v>
      </c>
      <c r="EX17" s="955">
        <v>10.045945098039216</v>
      </c>
      <c r="EY17" s="955">
        <v>13.839084043792109</v>
      </c>
      <c r="EZ17" s="955">
        <v>0</v>
      </c>
      <c r="FA17" s="955">
        <v>0</v>
      </c>
      <c r="FB17" s="955">
        <v>44.402401960784317</v>
      </c>
      <c r="FC17" s="956">
        <v>110.07911105870782</v>
      </c>
      <c r="FD17" s="954">
        <v>9.3615723607843133</v>
      </c>
      <c r="FE17" s="955">
        <v>0</v>
      </c>
      <c r="FF17" s="955">
        <v>16.032280392156864</v>
      </c>
      <c r="FG17" s="955">
        <v>24.076541101283844</v>
      </c>
      <c r="FH17" s="955">
        <v>8.4325372549019608</v>
      </c>
      <c r="FI17" s="955">
        <v>0</v>
      </c>
      <c r="FJ17" s="955">
        <v>12.523027450980393</v>
      </c>
      <c r="FK17" s="955">
        <v>11.156052516620871</v>
      </c>
      <c r="FL17" s="955">
        <v>0</v>
      </c>
      <c r="FM17" s="955">
        <v>0</v>
      </c>
      <c r="FN17" s="955">
        <v>54.536049019607844</v>
      </c>
      <c r="FO17" s="956">
        <v>163.87341427043199</v>
      </c>
      <c r="FP17" s="954">
        <v>27.083831294117651</v>
      </c>
      <c r="FQ17" s="955">
        <v>3.0025363079188883</v>
      </c>
      <c r="FR17" s="955">
        <v>12.336115686274509</v>
      </c>
      <c r="FS17" s="955">
        <v>18.162940403229896</v>
      </c>
      <c r="FT17" s="955">
        <v>23.93615011764706</v>
      </c>
      <c r="FU17" s="955">
        <v>2.5615074776251379</v>
      </c>
      <c r="FV17" s="955">
        <v>9.6330980392156871</v>
      </c>
      <c r="FW17" s="955">
        <v>10.364756925689546</v>
      </c>
      <c r="FX17" s="955">
        <v>0</v>
      </c>
      <c r="FY17" s="955">
        <v>0</v>
      </c>
      <c r="FZ17" s="955">
        <v>42.713460784313725</v>
      </c>
      <c r="GA17" s="956">
        <v>96.209217647618317</v>
      </c>
      <c r="GB17" s="954">
        <v>25.570690980392154</v>
      </c>
      <c r="GC17" s="955">
        <v>1.7429245375774485</v>
      </c>
      <c r="GD17" s="955">
        <v>12.336115686274509</v>
      </c>
      <c r="GE17" s="955">
        <v>18.562015722239817</v>
      </c>
      <c r="GF17" s="955">
        <v>22.76901254901961</v>
      </c>
      <c r="GG17" s="955">
        <v>1.654460016945444</v>
      </c>
      <c r="GH17" s="955">
        <v>9.6330980392156871</v>
      </c>
      <c r="GI17" s="955">
        <v>10.242439232435721</v>
      </c>
      <c r="GJ17" s="955">
        <v>0</v>
      </c>
      <c r="GK17" s="955">
        <v>0</v>
      </c>
      <c r="GL17" s="955">
        <v>42.713460784313725</v>
      </c>
      <c r="GM17" s="956">
        <v>100.86618470217793</v>
      </c>
      <c r="GN17" s="954">
        <v>25.828633568627456</v>
      </c>
      <c r="GO17" s="955">
        <v>0</v>
      </c>
      <c r="GP17" s="955">
        <v>13.436164705882351</v>
      </c>
      <c r="GQ17" s="955">
        <v>17.949523665422699</v>
      </c>
      <c r="GR17" s="955">
        <v>22.993098666666668</v>
      </c>
      <c r="GS17" s="955">
        <v>0.15357148725773662</v>
      </c>
      <c r="GT17" s="955">
        <v>10.493196078431373</v>
      </c>
      <c r="GU17" s="955">
        <v>8.6626754286217125</v>
      </c>
      <c r="GV17" s="955">
        <v>0</v>
      </c>
      <c r="GW17" s="955">
        <v>0</v>
      </c>
      <c r="GX17" s="955">
        <v>46.232088235294114</v>
      </c>
      <c r="GY17" s="956">
        <v>113.02537306187899</v>
      </c>
      <c r="GZ17" s="954">
        <v>23.578459231372548</v>
      </c>
      <c r="HA17" s="955">
        <v>0</v>
      </c>
      <c r="HB17" s="955">
        <v>13.480166666666666</v>
      </c>
      <c r="HC17" s="955">
        <v>22.187679191230135</v>
      </c>
      <c r="HD17" s="955">
        <v>19.294545098039212</v>
      </c>
      <c r="HE17" s="955">
        <v>0</v>
      </c>
      <c r="HF17" s="955">
        <v>10.527600000000001</v>
      </c>
      <c r="HG17" s="955">
        <v>11.618853522182457</v>
      </c>
      <c r="HH17" s="955">
        <v>0</v>
      </c>
      <c r="HI17" s="955">
        <v>0</v>
      </c>
      <c r="HJ17" s="955">
        <v>46.372833333333332</v>
      </c>
      <c r="HK17" s="956">
        <v>124.03581841955673</v>
      </c>
      <c r="HL17" s="954">
        <v>28.401678196078436</v>
      </c>
      <c r="HM17" s="955">
        <v>7.1718706111965167</v>
      </c>
      <c r="HN17" s="955">
        <v>9.8280039215686266</v>
      </c>
      <c r="HO17" s="955">
        <v>9.2490780076354149</v>
      </c>
      <c r="HP17" s="955">
        <v>24.983713098039217</v>
      </c>
      <c r="HQ17" s="955">
        <v>5.7805868709638064</v>
      </c>
      <c r="HR17" s="955">
        <v>7.672074509803922</v>
      </c>
      <c r="HS17" s="955">
        <v>4.2239646768549193</v>
      </c>
      <c r="HT17" s="955">
        <v>41.374015686274504</v>
      </c>
      <c r="HU17" s="955">
        <v>1.8230509921442519</v>
      </c>
      <c r="HV17" s="955">
        <v>34.690990196078438</v>
      </c>
      <c r="HW17" s="956">
        <v>66.459242544939485</v>
      </c>
      <c r="HX17" s="954">
        <v>28.580306117647059</v>
      </c>
      <c r="HY17" s="955">
        <v>7.8165813031328586</v>
      </c>
      <c r="HZ17" s="955">
        <v>9.607994117647058</v>
      </c>
      <c r="IA17" s="955">
        <v>8.591418294702649</v>
      </c>
      <c r="IB17" s="955">
        <v>25.124584941176472</v>
      </c>
      <c r="IC17" s="955">
        <v>6.235994944955884</v>
      </c>
      <c r="ID17" s="955">
        <v>7.5000549019607847</v>
      </c>
      <c r="IE17" s="955">
        <v>3.7046395206844474</v>
      </c>
      <c r="IF17" s="955">
        <v>41.949905882352951</v>
      </c>
      <c r="IG17" s="955">
        <v>2.562513045912719</v>
      </c>
      <c r="IH17" s="955">
        <v>33.987264705882353</v>
      </c>
      <c r="II17" s="956">
        <v>65.917013854368406</v>
      </c>
      <c r="IJ17" s="954">
        <v>29.786976549019613</v>
      </c>
      <c r="IK17" s="955">
        <v>3.004455333105513</v>
      </c>
      <c r="IL17" s="955">
        <v>12.072103921568626</v>
      </c>
      <c r="IM17" s="955">
        <v>17.548816963223622</v>
      </c>
      <c r="IN17" s="955">
        <v>26.092736156862749</v>
      </c>
      <c r="IO17" s="955">
        <v>2.5546687492956996</v>
      </c>
      <c r="IP17" s="955">
        <v>9.426674509803922</v>
      </c>
      <c r="IQ17" s="955">
        <v>9.9787501576044981</v>
      </c>
      <c r="IR17" s="955">
        <v>0</v>
      </c>
      <c r="IS17" s="955">
        <v>0</v>
      </c>
      <c r="IT17" s="955">
        <v>41.868990196078428</v>
      </c>
      <c r="IU17" s="956">
        <v>94.755613057001</v>
      </c>
      <c r="IV17" s="954">
        <v>29.190307529411768</v>
      </c>
      <c r="IW17" s="955">
        <v>7.1536068672308435</v>
      </c>
      <c r="IX17" s="955">
        <v>10.57603725490196</v>
      </c>
      <c r="IY17" s="955">
        <v>11.921821408639117</v>
      </c>
      <c r="IZ17" s="955">
        <v>25.600141647058827</v>
      </c>
      <c r="JA17" s="955">
        <v>5.7665214269386924</v>
      </c>
      <c r="JB17" s="955">
        <v>8.2569411764705887</v>
      </c>
      <c r="JC17" s="955">
        <v>5.9561203115960302</v>
      </c>
      <c r="JD17" s="955">
        <v>43.783458823529415</v>
      </c>
      <c r="JE17" s="955">
        <v>1.7222174049199741</v>
      </c>
      <c r="JF17" s="955">
        <v>37.083656862745102</v>
      </c>
      <c r="JG17" s="956">
        <v>75.05081597903829</v>
      </c>
      <c r="JH17" s="954">
        <v>25.733511764705877</v>
      </c>
      <c r="JI17" s="955">
        <v>0</v>
      </c>
      <c r="JJ17" s="955">
        <v>13.480166666666666</v>
      </c>
      <c r="JK17" s="955">
        <v>14.403844821652525</v>
      </c>
      <c r="JL17" s="955">
        <v>23.244188235294114</v>
      </c>
      <c r="JM17" s="955">
        <v>2.1958057521629628E-2</v>
      </c>
      <c r="JN17" s="955">
        <v>10.527600000000001</v>
      </c>
      <c r="JO17" s="955">
        <v>6.0794102898580213</v>
      </c>
      <c r="JP17" s="955">
        <v>0</v>
      </c>
      <c r="JQ17" s="955">
        <v>0</v>
      </c>
      <c r="JR17" s="955">
        <v>46.372833333333332</v>
      </c>
      <c r="JS17" s="956">
        <v>108.22745631668434</v>
      </c>
      <c r="JT17" s="954">
        <v>26.881871686274511</v>
      </c>
      <c r="JU17" s="955">
        <v>4.1575817296257389</v>
      </c>
      <c r="JV17" s="955">
        <v>11.632084313725487</v>
      </c>
      <c r="JW17" s="955">
        <v>15.944010163744325</v>
      </c>
      <c r="JX17" s="955">
        <v>23.825094431372545</v>
      </c>
      <c r="JY17" s="955">
        <v>3.3680310156110362</v>
      </c>
      <c r="JZ17" s="955">
        <v>9.0826352941176474</v>
      </c>
      <c r="KA17" s="955">
        <v>9.081547999669862</v>
      </c>
      <c r="KB17" s="955">
        <v>0</v>
      </c>
      <c r="KC17" s="955">
        <v>0</v>
      </c>
      <c r="KD17" s="955">
        <v>40.461539215686273</v>
      </c>
      <c r="KE17" s="956">
        <v>88.199006375437264</v>
      </c>
      <c r="KF17" s="954">
        <v>29.114720705882352</v>
      </c>
      <c r="KG17" s="955">
        <v>3.6526771205857722</v>
      </c>
      <c r="KH17" s="955">
        <v>12.204109803921567</v>
      </c>
      <c r="KI17" s="955">
        <v>16.433600939391241</v>
      </c>
      <c r="KJ17" s="955">
        <v>25.585992470588234</v>
      </c>
      <c r="KK17" s="955">
        <v>3.0217806821448803</v>
      </c>
      <c r="KL17" s="955">
        <v>9.5298862745098045</v>
      </c>
      <c r="KM17" s="955">
        <v>9.2027731599789799</v>
      </c>
      <c r="KN17" s="955">
        <v>0</v>
      </c>
      <c r="KO17" s="955">
        <v>0</v>
      </c>
      <c r="KP17" s="955">
        <v>42.291225490196084</v>
      </c>
      <c r="KQ17" s="956">
        <v>91.611174526673196</v>
      </c>
      <c r="KR17" s="954">
        <v>28.46329607843137</v>
      </c>
      <c r="KS17" s="955">
        <v>0.84556424370895533</v>
      </c>
      <c r="KT17" s="955">
        <v>12.424119607843135</v>
      </c>
      <c r="KU17" s="955">
        <v>21.546019899827698</v>
      </c>
      <c r="KV17" s="955">
        <v>25.740345098039214</v>
      </c>
      <c r="KW17" s="955">
        <v>0.89161433099141951</v>
      </c>
      <c r="KX17" s="955">
        <v>9.7019058823529427</v>
      </c>
      <c r="KY17" s="955">
        <v>12.595183718055589</v>
      </c>
      <c r="KZ17" s="955">
        <v>0</v>
      </c>
      <c r="LA17" s="955">
        <v>0</v>
      </c>
      <c r="LB17" s="955">
        <v>42.994950980392161</v>
      </c>
      <c r="LC17" s="956">
        <v>112.32271312969389</v>
      </c>
      <c r="LD17" s="954">
        <v>26.78824930447059</v>
      </c>
      <c r="LE17" s="955">
        <v>5.4042832896553943</v>
      </c>
      <c r="LF17" s="955">
        <v>11.14806274509804</v>
      </c>
      <c r="LG17" s="955">
        <v>12.461944535210566</v>
      </c>
      <c r="LH17" s="955">
        <v>23.028088156862744</v>
      </c>
      <c r="LI17" s="955">
        <v>4.3468182485285327</v>
      </c>
      <c r="LJ17" s="955">
        <v>8.7041921568627458</v>
      </c>
      <c r="LK17" s="955">
        <v>6.5583950321226281</v>
      </c>
      <c r="LL17" s="955">
        <v>0</v>
      </c>
      <c r="LM17" s="955">
        <v>0</v>
      </c>
      <c r="LN17" s="955">
        <v>38.913343137254905</v>
      </c>
      <c r="LO17" s="956">
        <v>77.211099771766342</v>
      </c>
      <c r="LP17" s="954">
        <v>21.172088235294119</v>
      </c>
      <c r="LQ17" s="955">
        <v>0</v>
      </c>
      <c r="LR17" s="955">
        <v>12.688131372549019</v>
      </c>
      <c r="LS17" s="955">
        <v>19.707569954103526</v>
      </c>
      <c r="LT17" s="955">
        <v>18.674882352941179</v>
      </c>
      <c r="LU17" s="955">
        <v>0.11266458112960701</v>
      </c>
      <c r="LV17" s="955">
        <v>9.9083294117647061</v>
      </c>
      <c r="LW17" s="955">
        <v>10.012119772036954</v>
      </c>
      <c r="LX17" s="955">
        <v>0</v>
      </c>
      <c r="LY17" s="955">
        <v>0</v>
      </c>
      <c r="LZ17" s="955">
        <v>43.839421568627458</v>
      </c>
      <c r="MA17" s="956">
        <v>116.7755200090926</v>
      </c>
      <c r="MB17" s="954">
        <v>29.284818509803923</v>
      </c>
      <c r="MC17" s="955">
        <v>2.5518487553868994</v>
      </c>
      <c r="MD17" s="955">
        <v>12.820137254901962</v>
      </c>
      <c r="ME17" s="955">
        <v>17.787700789249499</v>
      </c>
      <c r="MF17" s="955">
        <v>25.700850666666671</v>
      </c>
      <c r="MG17" s="955">
        <v>2.2462255892215661</v>
      </c>
      <c r="MH17" s="955">
        <v>10.01154117647059</v>
      </c>
      <c r="MI17" s="955">
        <v>10.025701438084708</v>
      </c>
      <c r="MJ17" s="955">
        <v>0</v>
      </c>
      <c r="MK17" s="955">
        <v>0</v>
      </c>
      <c r="ML17" s="955">
        <v>44.261656862745106</v>
      </c>
      <c r="MM17" s="956">
        <v>96.607378473912803</v>
      </c>
      <c r="MN17" s="954">
        <v>20.559706682352939</v>
      </c>
      <c r="MO17" s="955">
        <v>0</v>
      </c>
      <c r="MP17" s="955">
        <v>17.000323529411766</v>
      </c>
      <c r="MQ17" s="955">
        <v>23.84752867118009</v>
      </c>
      <c r="MR17" s="955">
        <v>17.440039215686276</v>
      </c>
      <c r="MS17" s="955">
        <v>0</v>
      </c>
      <c r="MT17" s="955">
        <v>13.279913725490196</v>
      </c>
      <c r="MU17" s="955">
        <v>11.006568037993162</v>
      </c>
      <c r="MV17" s="955">
        <v>0</v>
      </c>
      <c r="MW17" s="955">
        <v>0</v>
      </c>
      <c r="MX17" s="955">
        <v>57.632441176470593</v>
      </c>
      <c r="MY17" s="956">
        <v>151.20586126402932</v>
      </c>
      <c r="MZ17" s="954">
        <v>18.958950494117655</v>
      </c>
      <c r="NA17" s="955">
        <v>0</v>
      </c>
      <c r="NB17" s="955">
        <v>14.052192156862743</v>
      </c>
      <c r="NC17" s="955">
        <v>23.579008428206901</v>
      </c>
      <c r="ND17" s="955">
        <v>15.584364705882356</v>
      </c>
      <c r="NE17" s="955">
        <v>0</v>
      </c>
      <c r="NF17" s="955">
        <v>10.974850980392157</v>
      </c>
      <c r="NG17" s="955">
        <v>11.796747091570824</v>
      </c>
      <c r="NH17" s="955">
        <v>0</v>
      </c>
      <c r="NI17" s="955">
        <v>0</v>
      </c>
      <c r="NJ17" s="955">
        <v>48.202519607843136</v>
      </c>
      <c r="NK17" s="956">
        <v>145.71771117020498</v>
      </c>
      <c r="NL17" s="954">
        <v>25.524790196078431</v>
      </c>
      <c r="NM17" s="955">
        <v>1.4837995378266018</v>
      </c>
      <c r="NN17" s="955">
        <v>13.348160784313725</v>
      </c>
      <c r="NO17" s="955">
        <v>17.71970792769994</v>
      </c>
      <c r="NP17" s="955">
        <v>22.985839215686273</v>
      </c>
      <c r="NQ17" s="955">
        <v>1.3661003897037036</v>
      </c>
      <c r="NR17" s="955">
        <v>10.424388235294119</v>
      </c>
      <c r="NS17" s="955">
        <v>9.5077588278362537</v>
      </c>
      <c r="NT17" s="955">
        <v>0</v>
      </c>
      <c r="NU17" s="955">
        <v>0</v>
      </c>
      <c r="NV17" s="955">
        <v>45.950598039215691</v>
      </c>
      <c r="NW17" s="956">
        <v>101.04206033688995</v>
      </c>
      <c r="NX17" s="954">
        <v>26.68285043137255</v>
      </c>
      <c r="NY17" s="955">
        <v>3.0381139485293658</v>
      </c>
      <c r="NZ17" s="955">
        <v>12.556125490196077</v>
      </c>
      <c r="OA17" s="955">
        <v>18.978360571275005</v>
      </c>
      <c r="OB17" s="955">
        <v>23.636454745098039</v>
      </c>
      <c r="OC17" s="955">
        <v>2.5823053914478624</v>
      </c>
      <c r="OD17" s="955">
        <v>9.8051176470588253</v>
      </c>
      <c r="OE17" s="955">
        <v>10.911252351096278</v>
      </c>
      <c r="OF17" s="955">
        <v>0</v>
      </c>
      <c r="OG17" s="955">
        <v>0</v>
      </c>
      <c r="OH17" s="955">
        <v>43.41718627450981</v>
      </c>
      <c r="OI17" s="956">
        <v>98.024957761838536</v>
      </c>
      <c r="OJ17" s="954">
        <v>27.149094117647056</v>
      </c>
      <c r="OK17" s="955">
        <v>0</v>
      </c>
      <c r="OL17" s="955">
        <v>14.536213725490196</v>
      </c>
      <c r="OM17" s="955">
        <v>19.380169751657281</v>
      </c>
      <c r="ON17" s="955">
        <v>24.419211764705878</v>
      </c>
      <c r="OO17" s="955">
        <v>1.6654349704681159E-2</v>
      </c>
      <c r="OP17" s="955">
        <v>11.35329411764706</v>
      </c>
      <c r="OQ17" s="955">
        <v>9.4842582550736765</v>
      </c>
      <c r="OR17" s="955">
        <v>0</v>
      </c>
      <c r="OS17" s="955">
        <v>0</v>
      </c>
      <c r="OT17" s="955">
        <v>49.750715686274503</v>
      </c>
      <c r="OU17" s="956">
        <v>120.15918567897458</v>
      </c>
      <c r="OV17" s="954">
        <v>26.959322431372545</v>
      </c>
      <c r="OW17" s="955">
        <v>4.7769871559636909</v>
      </c>
      <c r="OX17" s="955">
        <v>11.896096078431372</v>
      </c>
      <c r="OY17" s="955">
        <v>14.320742640566225</v>
      </c>
      <c r="OZ17" s="955">
        <v>23.873776156862746</v>
      </c>
      <c r="PA17" s="955">
        <v>3.905007307294095</v>
      </c>
      <c r="PB17" s="955">
        <v>9.2890588235294125</v>
      </c>
      <c r="PC17" s="955">
        <v>7.4479474867809845</v>
      </c>
      <c r="PD17" s="955">
        <v>0</v>
      </c>
      <c r="PE17" s="955">
        <v>0</v>
      </c>
      <c r="PF17" s="955">
        <v>41.306009803921576</v>
      </c>
      <c r="PG17" s="956">
        <v>84.316792742563734</v>
      </c>
      <c r="PH17" s="954">
        <v>25.700396862745094</v>
      </c>
      <c r="PI17" s="955">
        <v>0</v>
      </c>
      <c r="PJ17" s="955">
        <v>16.384296078431372</v>
      </c>
      <c r="PK17" s="955">
        <v>22.99829033305771</v>
      </c>
      <c r="PL17" s="955">
        <v>22.861659607843141</v>
      </c>
      <c r="PM17" s="955">
        <v>0</v>
      </c>
      <c r="PN17" s="955">
        <v>12.798258823529414</v>
      </c>
      <c r="PO17" s="955">
        <v>11.737386861799541</v>
      </c>
      <c r="PP17" s="955">
        <v>0</v>
      </c>
      <c r="PQ17" s="955">
        <v>0</v>
      </c>
      <c r="PR17" s="955">
        <v>55.66200980392157</v>
      </c>
      <c r="PS17" s="956">
        <v>134.22025855503776</v>
      </c>
      <c r="PT17" s="954">
        <v>31.050704392156867</v>
      </c>
      <c r="PU17" s="955">
        <v>2.853081150154344</v>
      </c>
      <c r="PV17" s="955">
        <v>12.688131372549019</v>
      </c>
      <c r="PW17" s="955">
        <v>15.349343093650456</v>
      </c>
      <c r="PX17" s="955">
        <v>27.061801254901962</v>
      </c>
      <c r="PY17" s="955">
        <v>2.4486175979021989</v>
      </c>
      <c r="PZ17" s="955">
        <v>9.9083294117647061</v>
      </c>
      <c r="QA17" s="955">
        <v>8.2709231541804122</v>
      </c>
      <c r="QB17" s="955">
        <v>0</v>
      </c>
      <c r="QC17" s="955">
        <v>0</v>
      </c>
      <c r="QD17" s="955">
        <v>43.839421568627458</v>
      </c>
      <c r="QE17" s="956">
        <v>88.719141624704207</v>
      </c>
      <c r="QF17" s="954">
        <v>27.495206196078435</v>
      </c>
      <c r="QG17" s="955">
        <v>3.0143492164433057</v>
      </c>
      <c r="QH17" s="955">
        <v>12.468121568627451</v>
      </c>
      <c r="QI17" s="955">
        <v>18.007128249932375</v>
      </c>
      <c r="QJ17" s="955">
        <v>24.296391686274514</v>
      </c>
      <c r="QK17" s="955">
        <v>2.5709819019283882</v>
      </c>
      <c r="QL17" s="955">
        <v>9.7363098039215696</v>
      </c>
      <c r="QM17" s="955">
        <v>10.193305035309539</v>
      </c>
      <c r="QN17" s="955">
        <v>0</v>
      </c>
      <c r="QO17" s="955">
        <v>0</v>
      </c>
      <c r="QP17" s="955">
        <v>43.13569607843138</v>
      </c>
      <c r="QQ17" s="956">
        <v>96.73377380548159</v>
      </c>
      <c r="QR17" s="954">
        <v>22.359033333333336</v>
      </c>
      <c r="QS17" s="955">
        <v>0</v>
      </c>
      <c r="QT17" s="955">
        <v>14.140196078431373</v>
      </c>
      <c r="QU17" s="955">
        <v>20.409233649232842</v>
      </c>
      <c r="QV17" s="955">
        <v>19.959749019607848</v>
      </c>
      <c r="QW17" s="955">
        <v>0</v>
      </c>
      <c r="QX17" s="955">
        <v>11.043658823529412</v>
      </c>
      <c r="QY17" s="955">
        <v>9.1112482303286768</v>
      </c>
      <c r="QZ17" s="955">
        <v>0</v>
      </c>
      <c r="RA17" s="955">
        <v>0</v>
      </c>
      <c r="RB17" s="955">
        <v>48.484009803921566</v>
      </c>
      <c r="RC17" s="956">
        <v>138.29473884312333</v>
      </c>
      <c r="RD17" s="954">
        <v>28.647757568627451</v>
      </c>
      <c r="RE17" s="955">
        <v>3.4712262851445144</v>
      </c>
      <c r="RF17" s="955">
        <v>12.644129411764705</v>
      </c>
      <c r="RG17" s="955">
        <v>16.773314133629345</v>
      </c>
      <c r="RH17" s="955">
        <v>25.186045019607846</v>
      </c>
      <c r="RI17" s="955">
        <v>2.8921896624230161</v>
      </c>
      <c r="RJ17" s="955">
        <v>9.8739254901960791</v>
      </c>
      <c r="RK17" s="955">
        <v>9.2633373097177145</v>
      </c>
      <c r="RL17" s="955">
        <v>0</v>
      </c>
      <c r="RM17" s="955">
        <v>0</v>
      </c>
      <c r="RN17" s="955">
        <v>43.698676470588239</v>
      </c>
      <c r="RO17" s="956">
        <v>93.001592260018583</v>
      </c>
      <c r="RP17" s="954">
        <v>26.962655529411769</v>
      </c>
      <c r="RQ17" s="955">
        <v>3.1150122065978558</v>
      </c>
      <c r="RR17" s="955">
        <v>12.556125490196077</v>
      </c>
      <c r="RS17" s="955">
        <v>16.302303608778768</v>
      </c>
      <c r="RT17" s="955">
        <v>23.869516705882358</v>
      </c>
      <c r="RU17" s="955">
        <v>2.6413290890029235</v>
      </c>
      <c r="RV17" s="955">
        <v>9.8051176470588253</v>
      </c>
      <c r="RW17" s="955">
        <v>8.9350103846598863</v>
      </c>
      <c r="RX17" s="955">
        <v>0</v>
      </c>
      <c r="RY17" s="955">
        <v>0</v>
      </c>
      <c r="RZ17" s="955">
        <v>43.41718627450981</v>
      </c>
      <c r="SA17" s="956">
        <v>92.326270471455388</v>
      </c>
    </row>
    <row r="18" spans="1:495">
      <c r="A18" s="961">
        <f>[3]Eingabedaten!A20</f>
        <v>4.04</v>
      </c>
      <c r="B18" s="169" t="str">
        <f>[3]Eingabedaten!C20</f>
        <v>Hörsaal</v>
      </c>
      <c r="C18" s="987">
        <f t="shared" si="1"/>
        <v>12</v>
      </c>
      <c r="D18" s="954" cm="1">
        <f t="array" ref="D18">INDEX($P$7:$SA$51,$C18,$G$3-1+D$2)</f>
        <v>65.781691764705883</v>
      </c>
      <c r="E18" s="955" cm="1">
        <f t="array" ref="E18">INDEX($P$7:$SA$51,$C18,$G$3-1+E$2)</f>
        <v>31.632011877622929</v>
      </c>
      <c r="F18" s="955" cm="1">
        <f t="array" ref="F18">INDEX($P$7:$SA$51,$C18,$G$3-1+F$2)</f>
        <v>12.556125490196077</v>
      </c>
      <c r="G18" s="955" cm="1">
        <f t="array" ref="G18">INDEX($P$7:$SA$51,$C18,$G$3-1+G$2)</f>
        <v>1.5668089762001363</v>
      </c>
      <c r="H18" s="955" cm="1">
        <f t="array" ref="H18">INDEX($P$7:$SA$51,$C18,$G$3-1+H$2)</f>
        <v>51.241138823529404</v>
      </c>
      <c r="I18" s="955" cm="1">
        <f t="array" ref="I18">INDEX($P$7:$SA$51,$C18,$G$3-1+I$2)</f>
        <v>17.670848559665853</v>
      </c>
      <c r="J18" s="955" cm="1">
        <f t="array" ref="J18">INDEX($P$7:$SA$51,$C18,$G$3-1+J$2)</f>
        <v>9.8051176470588253</v>
      </c>
      <c r="K18" s="955" cm="1">
        <f t="array" ref="K18">INDEX($P$7:$SA$51,$C18,$G$3-1+K$2)</f>
        <v>2.1461301141673812</v>
      </c>
      <c r="L18" s="955" cm="1">
        <f t="array" ref="L18">INDEX($P$7:$SA$51,$C18,$G$3-1+L$2)</f>
        <v>87.813929411764704</v>
      </c>
      <c r="M18" s="955" cm="1">
        <f t="array" ref="M18">INDEX($P$7:$SA$51,$C18,$G$3-1+M$2)</f>
        <v>9.101661112835032</v>
      </c>
      <c r="N18" s="955" cm="1">
        <f t="array" ref="N18">INDEX($P$7:$SA$51,$C18,$G$3-1+N$2)</f>
        <v>37.292386274509802</v>
      </c>
      <c r="O18" s="956" cm="1">
        <f t="array" ref="O18">INDEX($P$7:$SA$51,$C18,$G$3-1+O$2)</f>
        <v>57.373023070717565</v>
      </c>
      <c r="P18" s="954">
        <v>53.133435294117639</v>
      </c>
      <c r="Q18" s="955">
        <v>16.970776448167005</v>
      </c>
      <c r="R18" s="955">
        <v>13.744178431372548</v>
      </c>
      <c r="S18" s="955">
        <v>1.6884111290996071</v>
      </c>
      <c r="T18" s="955">
        <v>40.227003921568631</v>
      </c>
      <c r="U18" s="955">
        <v>7.6684772805677301</v>
      </c>
      <c r="V18" s="955">
        <v>10.734023529411765</v>
      </c>
      <c r="W18" s="955">
        <v>1.9171922135801964</v>
      </c>
      <c r="X18" s="955">
        <v>0</v>
      </c>
      <c r="Y18" s="955">
        <v>0</v>
      </c>
      <c r="Z18" s="955">
        <v>40.574103921568629</v>
      </c>
      <c r="AA18" s="956">
        <v>75.133736212766706</v>
      </c>
      <c r="AB18" s="954">
        <v>66.117360392156868</v>
      </c>
      <c r="AC18" s="955">
        <v>32.746530362264991</v>
      </c>
      <c r="AD18" s="955">
        <v>11.676086274509803</v>
      </c>
      <c r="AE18" s="955">
        <v>1.3073317498660593</v>
      </c>
      <c r="AF18" s="955">
        <v>51.530895686274505</v>
      </c>
      <c r="AG18" s="955">
        <v>18.431969473358443</v>
      </c>
      <c r="AH18" s="955">
        <v>9.1170392156862761</v>
      </c>
      <c r="AI18" s="955">
        <v>1.8867693049384606</v>
      </c>
      <c r="AJ18" s="955">
        <v>88.701929411764709</v>
      </c>
      <c r="AK18" s="955">
        <v>10.233246861318518</v>
      </c>
      <c r="AL18" s="955">
        <v>34.861484313725484</v>
      </c>
      <c r="AM18" s="956">
        <v>53.667740460739012</v>
      </c>
      <c r="AN18" s="954">
        <v>65.252895686274513</v>
      </c>
      <c r="AO18" s="955">
        <v>30.171050054008752</v>
      </c>
      <c r="AP18" s="955">
        <v>11.720088235294117</v>
      </c>
      <c r="AQ18" s="955">
        <v>1.7641987495457834</v>
      </c>
      <c r="AR18" s="955">
        <v>53.445378823529424</v>
      </c>
      <c r="AS18" s="955">
        <v>16.807551352984955</v>
      </c>
      <c r="AT18" s="955">
        <v>9.151443137254903</v>
      </c>
      <c r="AU18" s="955">
        <v>2.643705075206531</v>
      </c>
      <c r="AV18" s="955">
        <v>88.692399999999992</v>
      </c>
      <c r="AW18" s="955">
        <v>7.589376794357471</v>
      </c>
      <c r="AX18" s="955">
        <v>34.983029411764704</v>
      </c>
      <c r="AY18" s="956">
        <v>58.211123796502186</v>
      </c>
      <c r="AZ18" s="954">
        <v>69.354596470588248</v>
      </c>
      <c r="BA18" s="955">
        <v>35.733582230682401</v>
      </c>
      <c r="BB18" s="955">
        <v>12.11610588235294</v>
      </c>
      <c r="BC18" s="955">
        <v>0.93375292419394074</v>
      </c>
      <c r="BD18" s="955">
        <v>54.063178823529412</v>
      </c>
      <c r="BE18" s="955">
        <v>20.412981262457556</v>
      </c>
      <c r="BF18" s="955">
        <v>9.4610784313725489</v>
      </c>
      <c r="BG18" s="955">
        <v>1.379078929961717</v>
      </c>
      <c r="BH18" s="955">
        <v>95.123835294117654</v>
      </c>
      <c r="BI18" s="955">
        <v>13.057275302822143</v>
      </c>
      <c r="BJ18" s="955">
        <v>36.076935294117646</v>
      </c>
      <c r="BK18" s="956">
        <v>48.772834802001931</v>
      </c>
      <c r="BL18" s="954">
        <v>66.837585098039213</v>
      </c>
      <c r="BM18" s="955">
        <v>31.160319603528006</v>
      </c>
      <c r="BN18" s="955">
        <v>12.512123529411763</v>
      </c>
      <c r="BO18" s="955">
        <v>1.7331666445315372</v>
      </c>
      <c r="BP18" s="955">
        <v>52.075338039215694</v>
      </c>
      <c r="BQ18" s="955">
        <v>17.345941839538945</v>
      </c>
      <c r="BR18" s="955">
        <v>9.7707137254901966</v>
      </c>
      <c r="BS18" s="955">
        <v>2.2841613947093382</v>
      </c>
      <c r="BT18" s="955">
        <v>89.975905882352947</v>
      </c>
      <c r="BU18" s="955">
        <v>9.0645569353813702</v>
      </c>
      <c r="BV18" s="955">
        <v>37.170841176470589</v>
      </c>
      <c r="BW18" s="956">
        <v>59.334876590717791</v>
      </c>
      <c r="BX18" s="954">
        <v>67.888633725490209</v>
      </c>
      <c r="BY18" s="955">
        <v>32.127410519957508</v>
      </c>
      <c r="BZ18" s="955">
        <v>12.380117647058825</v>
      </c>
      <c r="CA18" s="955">
        <v>1.9223978080456732</v>
      </c>
      <c r="CB18" s="955">
        <v>52.966069019607843</v>
      </c>
      <c r="CC18" s="955">
        <v>18.127744268398736</v>
      </c>
      <c r="CD18" s="955">
        <v>9.667501960784314</v>
      </c>
      <c r="CE18" s="955">
        <v>2.7471594484586062</v>
      </c>
      <c r="CF18" s="955">
        <v>92.621129411764713</v>
      </c>
      <c r="CG18" s="955">
        <v>10.305033652350479</v>
      </c>
      <c r="CH18" s="955">
        <v>36.806205882352941</v>
      </c>
      <c r="CI18" s="956">
        <v>59.329705384624937</v>
      </c>
      <c r="CJ18" s="954">
        <v>67.064499607843146</v>
      </c>
      <c r="CK18" s="955">
        <v>31.383899576461282</v>
      </c>
      <c r="CL18" s="955">
        <v>12.424119607843135</v>
      </c>
      <c r="CM18" s="955">
        <v>1.148447726351238</v>
      </c>
      <c r="CN18" s="955">
        <v>52.257417254901959</v>
      </c>
      <c r="CO18" s="955">
        <v>17.444840403877375</v>
      </c>
      <c r="CP18" s="955">
        <v>9.7019058823529427</v>
      </c>
      <c r="CQ18" s="955">
        <v>1.5156034021740539</v>
      </c>
      <c r="CR18" s="955">
        <v>90.463458823529407</v>
      </c>
      <c r="CS18" s="955">
        <v>8.121412667780513</v>
      </c>
      <c r="CT18" s="955">
        <v>36.927750980392155</v>
      </c>
      <c r="CU18" s="956">
        <v>53.709142609751964</v>
      </c>
      <c r="CV18" s="954">
        <v>48.606000000000002</v>
      </c>
      <c r="CW18" s="955">
        <v>13.096256120506405</v>
      </c>
      <c r="CX18" s="955">
        <v>15.020235294117647</v>
      </c>
      <c r="CY18" s="955">
        <v>3.3456160276576123</v>
      </c>
      <c r="CZ18" s="955">
        <v>35.733352941176477</v>
      </c>
      <c r="DA18" s="955">
        <v>5.3749459245403317</v>
      </c>
      <c r="DB18" s="955">
        <v>11.731737254901962</v>
      </c>
      <c r="DC18" s="955">
        <v>3.2422343099383735</v>
      </c>
      <c r="DD18" s="955">
        <v>0</v>
      </c>
      <c r="DE18" s="955">
        <v>0</v>
      </c>
      <c r="DF18" s="955">
        <v>44.098911764705882</v>
      </c>
      <c r="DG18" s="956">
        <v>90.967161248851255</v>
      </c>
      <c r="DH18" s="954">
        <v>64.318434509803922</v>
      </c>
      <c r="DI18" s="955">
        <v>20.382607367161761</v>
      </c>
      <c r="DJ18" s="955">
        <v>13.52416862745098</v>
      </c>
      <c r="DK18" s="955">
        <v>1.4884105293628356</v>
      </c>
      <c r="DL18" s="955">
        <v>50.035975686274512</v>
      </c>
      <c r="DM18" s="955">
        <v>9.996188729600771</v>
      </c>
      <c r="DN18" s="955">
        <v>10.562003921568628</v>
      </c>
      <c r="DO18" s="955">
        <v>1.6977670361355961</v>
      </c>
      <c r="DP18" s="955">
        <v>0</v>
      </c>
      <c r="DQ18" s="955">
        <v>0</v>
      </c>
      <c r="DR18" s="955">
        <v>39.966378431372547</v>
      </c>
      <c r="DS18" s="956">
        <v>68.887401999447704</v>
      </c>
      <c r="DT18" s="954">
        <v>64.126156470588242</v>
      </c>
      <c r="DU18" s="955">
        <v>18.986589904557245</v>
      </c>
      <c r="DV18" s="955">
        <v>14.184198039215687</v>
      </c>
      <c r="DW18" s="955">
        <v>3.8625525758107639</v>
      </c>
      <c r="DX18" s="955">
        <v>50.190843137254909</v>
      </c>
      <c r="DY18" s="955">
        <v>9.2419565466926326</v>
      </c>
      <c r="DZ18" s="955">
        <v>11.078062745098041</v>
      </c>
      <c r="EA18" s="955">
        <v>4.6703153009377569</v>
      </c>
      <c r="EB18" s="955">
        <v>0</v>
      </c>
      <c r="EC18" s="955">
        <v>0</v>
      </c>
      <c r="ED18" s="955">
        <v>41.789554901960784</v>
      </c>
      <c r="EE18" s="956">
        <v>80.931155824958026</v>
      </c>
      <c r="EF18" s="954">
        <v>69.009521568627449</v>
      </c>
      <c r="EG18" s="955">
        <v>37.193412547277887</v>
      </c>
      <c r="EH18" s="955">
        <v>11.104060784313724</v>
      </c>
      <c r="EI18" s="955">
        <v>0.89976669903475992</v>
      </c>
      <c r="EJ18" s="955">
        <v>53.806698039215675</v>
      </c>
      <c r="EK18" s="955">
        <v>21.521945994950702</v>
      </c>
      <c r="EL18" s="955">
        <v>8.6697882352941189</v>
      </c>
      <c r="EM18" s="955">
        <v>1.3143166969196287</v>
      </c>
      <c r="EN18" s="955">
        <v>94.549176470588236</v>
      </c>
      <c r="EO18" s="955">
        <v>15.059516953293809</v>
      </c>
      <c r="EP18" s="955">
        <v>33.281398039215688</v>
      </c>
      <c r="EQ18" s="956">
        <v>47.461590099595661</v>
      </c>
      <c r="ER18" s="954">
        <v>67.147740392156848</v>
      </c>
      <c r="ES18" s="955">
        <v>26.855523923715829</v>
      </c>
      <c r="ET18" s="955">
        <v>12.864139215686274</v>
      </c>
      <c r="EU18" s="955">
        <v>3.1553151365309318</v>
      </c>
      <c r="EV18" s="955">
        <v>52.356869803921569</v>
      </c>
      <c r="EW18" s="955">
        <v>14.401136855028868</v>
      </c>
      <c r="EX18" s="955">
        <v>10.045945098039216</v>
      </c>
      <c r="EY18" s="955">
        <v>4.2784927367152772</v>
      </c>
      <c r="EZ18" s="955">
        <v>90.909152941176458</v>
      </c>
      <c r="FA18" s="955">
        <v>4.7086725338584055</v>
      </c>
      <c r="FB18" s="955">
        <v>38.14320196078431</v>
      </c>
      <c r="FC18" s="956">
        <v>70.514221677790701</v>
      </c>
      <c r="FD18" s="954">
        <v>30.491823529411768</v>
      </c>
      <c r="FE18" s="955">
        <v>5.2444212398268535</v>
      </c>
      <c r="FF18" s="955">
        <v>16.032280392156864</v>
      </c>
      <c r="FG18" s="955">
        <v>6.0106891347849132</v>
      </c>
      <c r="FH18" s="955">
        <v>17.395647058823535</v>
      </c>
      <c r="FI18" s="955">
        <v>1.2734509543074235</v>
      </c>
      <c r="FJ18" s="955">
        <v>12.523027450980393</v>
      </c>
      <c r="FK18" s="955">
        <v>5.4688351494899097</v>
      </c>
      <c r="FL18" s="955">
        <v>0</v>
      </c>
      <c r="FM18" s="955">
        <v>0</v>
      </c>
      <c r="FN18" s="955">
        <v>46.894449019607841</v>
      </c>
      <c r="FO18" s="956">
        <v>117.79450453798606</v>
      </c>
      <c r="FP18" s="954">
        <v>65.353376078431381</v>
      </c>
      <c r="FQ18" s="955">
        <v>30.857619938698519</v>
      </c>
      <c r="FR18" s="955">
        <v>12.336115686274509</v>
      </c>
      <c r="FS18" s="955">
        <v>2.0252029099605924</v>
      </c>
      <c r="FT18" s="955">
        <v>50.885205490196078</v>
      </c>
      <c r="FU18" s="955">
        <v>17.272992118427339</v>
      </c>
      <c r="FV18" s="955">
        <v>9.6330980392156871</v>
      </c>
      <c r="FW18" s="955">
        <v>2.8242555312767652</v>
      </c>
      <c r="FX18" s="955">
        <v>86.793576470588235</v>
      </c>
      <c r="FY18" s="955">
        <v>8.8843985608387968</v>
      </c>
      <c r="FZ18" s="955">
        <v>36.684660784313728</v>
      </c>
      <c r="GA18" s="956">
        <v>60.923871279914422</v>
      </c>
      <c r="GB18" s="954">
        <v>63.338798039215689</v>
      </c>
      <c r="GC18" s="955">
        <v>28.452947939166751</v>
      </c>
      <c r="GD18" s="955">
        <v>12.336115686274509</v>
      </c>
      <c r="GE18" s="955">
        <v>2.2226064104455951</v>
      </c>
      <c r="GF18" s="955">
        <v>49.306239215686276</v>
      </c>
      <c r="GG18" s="955">
        <v>15.527154588767386</v>
      </c>
      <c r="GH18" s="955">
        <v>9.6330980392156871</v>
      </c>
      <c r="GI18" s="955">
        <v>2.8954662074696764</v>
      </c>
      <c r="GJ18" s="955">
        <v>82.771882352941191</v>
      </c>
      <c r="GK18" s="955">
        <v>6.2729264703101943</v>
      </c>
      <c r="GL18" s="955">
        <v>36.684660784313728</v>
      </c>
      <c r="GM18" s="956">
        <v>63.991712619733931</v>
      </c>
      <c r="GN18" s="954">
        <v>62.644086666666674</v>
      </c>
      <c r="GO18" s="955">
        <v>20.786106881275057</v>
      </c>
      <c r="GP18" s="955">
        <v>13.436164705882351</v>
      </c>
      <c r="GQ18" s="955">
        <v>1.958660127006167</v>
      </c>
      <c r="GR18" s="955">
        <v>51.909694117647064</v>
      </c>
      <c r="GS18" s="955">
        <v>10.304916379137833</v>
      </c>
      <c r="GT18" s="955">
        <v>10.493196078431373</v>
      </c>
      <c r="GU18" s="955">
        <v>2.2999827816766714</v>
      </c>
      <c r="GV18" s="955">
        <v>0</v>
      </c>
      <c r="GW18" s="955">
        <v>0</v>
      </c>
      <c r="GX18" s="955">
        <v>39.72328823529412</v>
      </c>
      <c r="GY18" s="956">
        <v>71.832709500805507</v>
      </c>
      <c r="GZ18" s="954">
        <v>60.607958823529408</v>
      </c>
      <c r="HA18" s="955">
        <v>18.125172543403902</v>
      </c>
      <c r="HB18" s="955">
        <v>13.480166666666666</v>
      </c>
      <c r="HC18" s="955">
        <v>2.8720235497333673</v>
      </c>
      <c r="HD18" s="955">
        <v>47.275635294117649</v>
      </c>
      <c r="HE18" s="955">
        <v>8.7297198304134191</v>
      </c>
      <c r="HF18" s="955">
        <v>10.527600000000001</v>
      </c>
      <c r="HG18" s="955">
        <v>3.5475593799081406</v>
      </c>
      <c r="HH18" s="955">
        <v>0</v>
      </c>
      <c r="HI18" s="955">
        <v>0</v>
      </c>
      <c r="HJ18" s="955">
        <v>39.844833333333334</v>
      </c>
      <c r="HK18" s="956">
        <v>80.536766740818152</v>
      </c>
      <c r="HL18" s="954">
        <v>65.892868235294117</v>
      </c>
      <c r="HM18" s="955">
        <v>42.929788027347904</v>
      </c>
      <c r="HN18" s="955">
        <v>9.8280039215686266</v>
      </c>
      <c r="HO18" s="955">
        <v>0.26907363369431087</v>
      </c>
      <c r="HP18" s="955">
        <v>51.320550588235285</v>
      </c>
      <c r="HQ18" s="955">
        <v>25.342798941337499</v>
      </c>
      <c r="HR18" s="955">
        <v>7.672074509803922</v>
      </c>
      <c r="HS18" s="955">
        <v>0.39787270568675392</v>
      </c>
      <c r="HT18" s="955">
        <v>87.972752941176466</v>
      </c>
      <c r="HU18" s="955">
        <v>21.751663844127492</v>
      </c>
      <c r="HV18" s="955">
        <v>29.756590196078431</v>
      </c>
      <c r="HW18" s="956">
        <v>34.920534725949771</v>
      </c>
      <c r="HX18" s="954">
        <v>67.599713333333341</v>
      </c>
      <c r="HY18" s="955">
        <v>43.680207852976913</v>
      </c>
      <c r="HZ18" s="955">
        <v>9.607994117647058</v>
      </c>
      <c r="IA18" s="955">
        <v>0.24138502088957944</v>
      </c>
      <c r="IB18" s="955">
        <v>52.589719215686266</v>
      </c>
      <c r="IC18" s="955">
        <v>25.7075671472819</v>
      </c>
      <c r="ID18" s="955">
        <v>7.5000549019607847</v>
      </c>
      <c r="IE18" s="955">
        <v>0.3418583244461289</v>
      </c>
      <c r="IF18" s="955">
        <v>90.819576470588231</v>
      </c>
      <c r="IG18" s="955">
        <v>23.229379844318206</v>
      </c>
      <c r="IH18" s="955">
        <v>29.148864705882353</v>
      </c>
      <c r="II18" s="956">
        <v>34.14296988016897</v>
      </c>
      <c r="IJ18" s="954">
        <v>68.319371764705878</v>
      </c>
      <c r="IK18" s="955">
        <v>31.602314625853388</v>
      </c>
      <c r="IL18" s="955">
        <v>12.072103921568626</v>
      </c>
      <c r="IM18" s="955">
        <v>1.8224315796447152</v>
      </c>
      <c r="IN18" s="955">
        <v>53.293736470588229</v>
      </c>
      <c r="IO18" s="955">
        <v>17.767668077807677</v>
      </c>
      <c r="IP18" s="955">
        <v>9.426674509803922</v>
      </c>
      <c r="IQ18" s="955">
        <v>2.5731562342570289</v>
      </c>
      <c r="IR18" s="955">
        <v>93.399858823529414</v>
      </c>
      <c r="IS18" s="955">
        <v>9.783336931830469</v>
      </c>
      <c r="IT18" s="955">
        <v>35.955390196078426</v>
      </c>
      <c r="IU18" s="956">
        <v>58.66243996960187</v>
      </c>
      <c r="IV18" s="954">
        <v>67.022879215686274</v>
      </c>
      <c r="IW18" s="955">
        <v>41.610954509839772</v>
      </c>
      <c r="IX18" s="955">
        <v>10.57603725490196</v>
      </c>
      <c r="IY18" s="955">
        <v>0.76991045045422446</v>
      </c>
      <c r="IZ18" s="955">
        <v>52.207690980392165</v>
      </c>
      <c r="JA18" s="955">
        <v>24.713054624829038</v>
      </c>
      <c r="JB18" s="955">
        <v>8.2569411764705887</v>
      </c>
      <c r="JC18" s="955">
        <v>1.0444002560645924</v>
      </c>
      <c r="JD18" s="955">
        <v>90.240611764705889</v>
      </c>
      <c r="JE18" s="955">
        <v>21.836912926518579</v>
      </c>
      <c r="JF18" s="955">
        <v>31.822856862745098</v>
      </c>
      <c r="JG18" s="956">
        <v>43.504458339316308</v>
      </c>
      <c r="JH18" s="954">
        <v>65.442435294117644</v>
      </c>
      <c r="JI18" s="955">
        <v>19.912521998067163</v>
      </c>
      <c r="JJ18" s="955">
        <v>13.480166666666666</v>
      </c>
      <c r="JK18" s="955">
        <v>1.3197025326039367</v>
      </c>
      <c r="JL18" s="955">
        <v>51.718650980392155</v>
      </c>
      <c r="JM18" s="955">
        <v>9.8194305017413797</v>
      </c>
      <c r="JN18" s="955">
        <v>10.527600000000001</v>
      </c>
      <c r="JO18" s="955">
        <v>1.3990520432039573</v>
      </c>
      <c r="JP18" s="955">
        <v>0</v>
      </c>
      <c r="JQ18" s="955">
        <v>0</v>
      </c>
      <c r="JR18" s="955">
        <v>39.844833333333334</v>
      </c>
      <c r="JS18" s="956">
        <v>68.391319054398849</v>
      </c>
      <c r="JT18" s="954">
        <v>63.801750196078444</v>
      </c>
      <c r="JU18" s="955">
        <v>34.273462874261604</v>
      </c>
      <c r="JV18" s="955">
        <v>11.632084313725487</v>
      </c>
      <c r="JW18" s="955">
        <v>1.3587965836820364</v>
      </c>
      <c r="JX18" s="955">
        <v>49.716909019607847</v>
      </c>
      <c r="JY18" s="955">
        <v>19.603894038296797</v>
      </c>
      <c r="JZ18" s="955">
        <v>9.0826352941176474</v>
      </c>
      <c r="KA18" s="955">
        <v>2.0229595540055865</v>
      </c>
      <c r="KB18" s="955">
        <v>84.086799999999982</v>
      </c>
      <c r="KC18" s="955">
        <v>12.555013297114382</v>
      </c>
      <c r="KD18" s="955">
        <v>34.73993921568627</v>
      </c>
      <c r="KE18" s="956">
        <v>53.43693718884623</v>
      </c>
      <c r="KF18" s="954">
        <v>68.076350196078423</v>
      </c>
      <c r="KG18" s="955">
        <v>32.515851076503672</v>
      </c>
      <c r="KH18" s="955">
        <v>12.204109803921567</v>
      </c>
      <c r="KI18" s="955">
        <v>1.6964562616006789</v>
      </c>
      <c r="KJ18" s="955">
        <v>53.070156078431367</v>
      </c>
      <c r="KK18" s="955">
        <v>18.264695534027258</v>
      </c>
      <c r="KL18" s="955">
        <v>9.5298862745098045</v>
      </c>
      <c r="KM18" s="955">
        <v>2.3201260718174264</v>
      </c>
      <c r="KN18" s="955">
        <v>92.644211764705872</v>
      </c>
      <c r="KO18" s="955">
        <v>10.262182227723567</v>
      </c>
      <c r="KP18" s="955">
        <v>36.320025490196073</v>
      </c>
      <c r="KQ18" s="956">
        <v>57.371911597954146</v>
      </c>
      <c r="KR18" s="954">
        <v>63.677172156862753</v>
      </c>
      <c r="KS18" s="955">
        <v>24.436636292277473</v>
      </c>
      <c r="KT18" s="955">
        <v>12.424119607843135</v>
      </c>
      <c r="KU18" s="955">
        <v>3.5552587053348024</v>
      </c>
      <c r="KV18" s="955">
        <v>49.487942745098032</v>
      </c>
      <c r="KW18" s="955">
        <v>12.753561237705521</v>
      </c>
      <c r="KX18" s="955">
        <v>9.7019058823529427</v>
      </c>
      <c r="KY18" s="955">
        <v>4.5345896594761665</v>
      </c>
      <c r="KZ18" s="955">
        <v>82.765105882352941</v>
      </c>
      <c r="LA18" s="955">
        <v>3.5702754492995026</v>
      </c>
      <c r="LB18" s="955">
        <v>36.927750980392155</v>
      </c>
      <c r="LC18" s="956">
        <v>72.363954376551106</v>
      </c>
      <c r="LD18" s="954">
        <v>65.260729019607851</v>
      </c>
      <c r="LE18" s="955">
        <v>37.844877269068284</v>
      </c>
      <c r="LF18" s="955">
        <v>11.14806274509804</v>
      </c>
      <c r="LG18" s="955">
        <v>0.68386313485308925</v>
      </c>
      <c r="LH18" s="955">
        <v>50.819029019607839</v>
      </c>
      <c r="LI18" s="955">
        <v>21.870508962998652</v>
      </c>
      <c r="LJ18" s="955">
        <v>8.7041921568627458</v>
      </c>
      <c r="LK18" s="955">
        <v>1.027486408729344</v>
      </c>
      <c r="LL18" s="955">
        <v>86.661223529411757</v>
      </c>
      <c r="LM18" s="955">
        <v>15.336396684447937</v>
      </c>
      <c r="LN18" s="955">
        <v>33.402943137254901</v>
      </c>
      <c r="LO18" s="956">
        <v>44.549965692853924</v>
      </c>
      <c r="LP18" s="954">
        <v>54.048423529411771</v>
      </c>
      <c r="LQ18" s="955">
        <v>21.24775856516192</v>
      </c>
      <c r="LR18" s="955">
        <v>12.688131372549019</v>
      </c>
      <c r="LS18" s="955">
        <v>2.4884317293121261</v>
      </c>
      <c r="LT18" s="955">
        <v>40.700600000000001</v>
      </c>
      <c r="LU18" s="955">
        <v>10.621840321795366</v>
      </c>
      <c r="LV18" s="955">
        <v>9.9083294117647061</v>
      </c>
      <c r="LW18" s="955">
        <v>2.9330939463814745</v>
      </c>
      <c r="LX18" s="955">
        <v>68.192729411764702</v>
      </c>
      <c r="LY18" s="955">
        <v>0.54265926351088389</v>
      </c>
      <c r="LZ18" s="955">
        <v>37.657021568627449</v>
      </c>
      <c r="MA18" s="956">
        <v>73.637783901459571</v>
      </c>
      <c r="MB18" s="954">
        <v>68.009216470588242</v>
      </c>
      <c r="MC18" s="955">
        <v>29.854114676574905</v>
      </c>
      <c r="MD18" s="955">
        <v>12.820137254901962</v>
      </c>
      <c r="ME18" s="955">
        <v>1.8696040000181964</v>
      </c>
      <c r="MF18" s="955">
        <v>53.012204705882361</v>
      </c>
      <c r="MG18" s="955">
        <v>16.480715990122743</v>
      </c>
      <c r="MH18" s="955">
        <v>10.01154117647059</v>
      </c>
      <c r="MI18" s="955">
        <v>2.608287156784781</v>
      </c>
      <c r="MJ18" s="955">
        <v>92.466611764705902</v>
      </c>
      <c r="MK18" s="955">
        <v>7.5159356321431208</v>
      </c>
      <c r="ML18" s="955">
        <v>38.021656862745097</v>
      </c>
      <c r="MM18" s="956">
        <v>60.414754414047408</v>
      </c>
      <c r="MN18" s="954">
        <v>55.041964705882357</v>
      </c>
      <c r="MO18" s="955">
        <v>12.260269825697124</v>
      </c>
      <c r="MP18" s="955">
        <v>17.000323529411766</v>
      </c>
      <c r="MQ18" s="955">
        <v>6.1347493635032784</v>
      </c>
      <c r="MR18" s="955">
        <v>41.590239215686275</v>
      </c>
      <c r="MS18" s="955">
        <v>4.6920682273255894</v>
      </c>
      <c r="MT18" s="955">
        <v>13.279913725490196</v>
      </c>
      <c r="MU18" s="955">
        <v>5.3139330078984885</v>
      </c>
      <c r="MV18" s="955">
        <v>0</v>
      </c>
      <c r="MW18" s="955">
        <v>0</v>
      </c>
      <c r="MX18" s="955">
        <v>49.568441176470586</v>
      </c>
      <c r="MY18" s="956">
        <v>107.09014632839828</v>
      </c>
      <c r="MZ18" s="954">
        <v>51.920152941176482</v>
      </c>
      <c r="NA18" s="955">
        <v>12.151436374826698</v>
      </c>
      <c r="NB18" s="955">
        <v>14.052192156862743</v>
      </c>
      <c r="NC18" s="955">
        <v>3.9321048922869011</v>
      </c>
      <c r="ND18" s="955">
        <v>38.640505882352954</v>
      </c>
      <c r="NE18" s="955">
        <v>4.9716545236507228</v>
      </c>
      <c r="NF18" s="955">
        <v>10.974850980392157</v>
      </c>
      <c r="NG18" s="955">
        <v>4.2085858793737758</v>
      </c>
      <c r="NH18" s="955">
        <v>0</v>
      </c>
      <c r="NI18" s="955">
        <v>0</v>
      </c>
      <c r="NJ18" s="955">
        <v>41.424919607843137</v>
      </c>
      <c r="NK18" s="956">
        <v>96.602897949082859</v>
      </c>
      <c r="NL18" s="954">
        <v>66.25864117647059</v>
      </c>
      <c r="NM18" s="955">
        <v>26.995602724200275</v>
      </c>
      <c r="NN18" s="955">
        <v>13.348160784313725</v>
      </c>
      <c r="NO18" s="955">
        <v>1.9438892434672543</v>
      </c>
      <c r="NP18" s="955">
        <v>52.751572549019599</v>
      </c>
      <c r="NQ18" s="955">
        <v>14.357757458616085</v>
      </c>
      <c r="NR18" s="955">
        <v>10.424388235294119</v>
      </c>
      <c r="NS18" s="955">
        <v>2.5421787703136207</v>
      </c>
      <c r="NT18" s="955">
        <v>82.445419607843135</v>
      </c>
      <c r="NU18" s="955">
        <v>4.4820401551818554</v>
      </c>
      <c r="NV18" s="955">
        <v>39.480198039215693</v>
      </c>
      <c r="NW18" s="956">
        <v>63.87942401722043</v>
      </c>
      <c r="NX18" s="954">
        <v>63.966092549019614</v>
      </c>
      <c r="NY18" s="955">
        <v>31.045649970387643</v>
      </c>
      <c r="NZ18" s="955">
        <v>12.556125490196077</v>
      </c>
      <c r="OA18" s="955">
        <v>2.236300323122876</v>
      </c>
      <c r="OB18" s="955">
        <v>49.864292549019609</v>
      </c>
      <c r="OC18" s="955">
        <v>17.459570264563521</v>
      </c>
      <c r="OD18" s="955">
        <v>9.8051176470588253</v>
      </c>
      <c r="OE18" s="955">
        <v>3.0921750334288305</v>
      </c>
      <c r="OF18" s="955">
        <v>84.566658823529423</v>
      </c>
      <c r="OG18" s="955">
        <v>9.4389922875301799</v>
      </c>
      <c r="OH18" s="955">
        <v>37.292386274509802</v>
      </c>
      <c r="OI18" s="956">
        <v>62.263707558991051</v>
      </c>
      <c r="OJ18" s="954">
        <v>63.059000784313731</v>
      </c>
      <c r="OK18" s="955">
        <v>20.122139008065705</v>
      </c>
      <c r="OL18" s="955">
        <v>14.536213725490196</v>
      </c>
      <c r="OM18" s="955">
        <v>3.4933745074308451</v>
      </c>
      <c r="ON18" s="955">
        <v>48.976400784313718</v>
      </c>
      <c r="OO18" s="955">
        <v>10.027102038823573</v>
      </c>
      <c r="OP18" s="955">
        <v>11.35329411764706</v>
      </c>
      <c r="OQ18" s="955">
        <v>3.5836008887821382</v>
      </c>
      <c r="OR18" s="955">
        <v>0</v>
      </c>
      <c r="OS18" s="955">
        <v>0</v>
      </c>
      <c r="OT18" s="955">
        <v>42.761915686274506</v>
      </c>
      <c r="OU18" s="956">
        <v>80.021119992896999</v>
      </c>
      <c r="OV18" s="954">
        <v>65.48764352941177</v>
      </c>
      <c r="OW18" s="955">
        <v>36.603265320907219</v>
      </c>
      <c r="OX18" s="955">
        <v>11.896096078431372</v>
      </c>
      <c r="OY18" s="955">
        <v>1.4467109658225006</v>
      </c>
      <c r="OZ18" s="955">
        <v>51.001108235294119</v>
      </c>
      <c r="PA18" s="955">
        <v>21.018361059748447</v>
      </c>
      <c r="PB18" s="955">
        <v>9.2890588235294125</v>
      </c>
      <c r="PC18" s="955">
        <v>1.831492296260538</v>
      </c>
      <c r="PD18" s="955">
        <v>87.148776470588246</v>
      </c>
      <c r="PE18" s="955">
        <v>13.766597634352626</v>
      </c>
      <c r="PF18" s="955">
        <v>35.469209803921565</v>
      </c>
      <c r="PG18" s="956">
        <v>52.401336864342909</v>
      </c>
      <c r="PH18" s="954">
        <v>62.42443921568627</v>
      </c>
      <c r="PI18" s="955">
        <v>16.737631886168849</v>
      </c>
      <c r="PJ18" s="955">
        <v>16.384296078431372</v>
      </c>
      <c r="PK18" s="955">
        <v>5.700649807110282</v>
      </c>
      <c r="PL18" s="955">
        <v>48.503145098039212</v>
      </c>
      <c r="PM18" s="955">
        <v>8.0119145681237356</v>
      </c>
      <c r="PN18" s="955">
        <v>12.798258823529414</v>
      </c>
      <c r="PO18" s="955">
        <v>5.3944617633933625</v>
      </c>
      <c r="PP18" s="955">
        <v>0</v>
      </c>
      <c r="PQ18" s="955">
        <v>0</v>
      </c>
      <c r="PR18" s="955">
        <v>47.866809803921569</v>
      </c>
      <c r="PS18" s="956">
        <v>93.349794160664871</v>
      </c>
      <c r="PT18" s="954">
        <v>69.127681960784315</v>
      </c>
      <c r="PU18" s="955">
        <v>32.814895688224219</v>
      </c>
      <c r="PV18" s="955">
        <v>12.688131372549019</v>
      </c>
      <c r="PW18" s="955">
        <v>1.2954152807077643</v>
      </c>
      <c r="PX18" s="955">
        <v>53.88109960784314</v>
      </c>
      <c r="PY18" s="955">
        <v>18.467694656142484</v>
      </c>
      <c r="PZ18" s="955">
        <v>9.9083294117647061</v>
      </c>
      <c r="QA18" s="955">
        <v>1.8078173093204355</v>
      </c>
      <c r="QB18" s="955">
        <v>94.63628235294118</v>
      </c>
      <c r="QC18" s="955">
        <v>9.3407573120808038</v>
      </c>
      <c r="QD18" s="955">
        <v>37.657021568627449</v>
      </c>
      <c r="QE18" s="956">
        <v>53.655737285538819</v>
      </c>
      <c r="QF18" s="954">
        <v>66.971852549019616</v>
      </c>
      <c r="QG18" s="955">
        <v>30.671446266909793</v>
      </c>
      <c r="QH18" s="955">
        <v>12.468121568627451</v>
      </c>
      <c r="QI18" s="955">
        <v>2.1107407228721962</v>
      </c>
      <c r="QJ18" s="955">
        <v>52.191240784313727</v>
      </c>
      <c r="QK18" s="955">
        <v>17.12927198022226</v>
      </c>
      <c r="QL18" s="955">
        <v>9.7363098039215696</v>
      </c>
      <c r="QM18" s="955">
        <v>2.8611344447965088</v>
      </c>
      <c r="QN18" s="955">
        <v>90.331105882352929</v>
      </c>
      <c r="QO18" s="955">
        <v>8.7881087509639624</v>
      </c>
      <c r="QP18" s="955">
        <v>37.049296078431368</v>
      </c>
      <c r="QQ18" s="956">
        <v>61.649060957550653</v>
      </c>
      <c r="QR18" s="954">
        <v>55.017300000000006</v>
      </c>
      <c r="QS18" s="955">
        <v>13.607093723331452</v>
      </c>
      <c r="QT18" s="955">
        <v>14.140196078431373</v>
      </c>
      <c r="QU18" s="955">
        <v>2.9007263263771077</v>
      </c>
      <c r="QV18" s="955">
        <v>42.202505882352938</v>
      </c>
      <c r="QW18" s="955">
        <v>5.869937879824783</v>
      </c>
      <c r="QX18" s="955">
        <v>11.043658823529412</v>
      </c>
      <c r="QY18" s="955">
        <v>2.9282083267887971</v>
      </c>
      <c r="QZ18" s="955">
        <v>0</v>
      </c>
      <c r="RA18" s="955">
        <v>0</v>
      </c>
      <c r="RB18" s="955">
        <v>41.668009803921564</v>
      </c>
      <c r="RC18" s="956">
        <v>89.696227786664068</v>
      </c>
      <c r="RD18" s="954">
        <v>67.462740392156846</v>
      </c>
      <c r="RE18" s="955">
        <v>32.085738071644037</v>
      </c>
      <c r="RF18" s="955">
        <v>12.644129411764705</v>
      </c>
      <c r="RG18" s="955">
        <v>1.7160214298699736</v>
      </c>
      <c r="RH18" s="955">
        <v>52.581869803921563</v>
      </c>
      <c r="RI18" s="955">
        <v>18.058715112237973</v>
      </c>
      <c r="RJ18" s="955">
        <v>9.8739254901960791</v>
      </c>
      <c r="RK18" s="955">
        <v>2.3329522679192141</v>
      </c>
      <c r="RL18" s="955">
        <v>91.359152941176447</v>
      </c>
      <c r="RM18" s="955">
        <v>10.001141500239822</v>
      </c>
      <c r="RN18" s="955">
        <v>37.535476470588236</v>
      </c>
      <c r="RO18" s="956">
        <v>58.464043969803065</v>
      </c>
      <c r="RP18" s="954">
        <v>65.781691764705883</v>
      </c>
      <c r="RQ18" s="955">
        <v>31.632011877622929</v>
      </c>
      <c r="RR18" s="955">
        <v>12.556125490196077</v>
      </c>
      <c r="RS18" s="955">
        <v>1.5668089762001363</v>
      </c>
      <c r="RT18" s="955">
        <v>51.241138823529404</v>
      </c>
      <c r="RU18" s="955">
        <v>17.670848559665853</v>
      </c>
      <c r="RV18" s="955">
        <v>9.8051176470588253</v>
      </c>
      <c r="RW18" s="955">
        <v>2.1461301141673812</v>
      </c>
      <c r="RX18" s="955">
        <v>87.813929411764704</v>
      </c>
      <c r="RY18" s="955">
        <v>9.101661112835032</v>
      </c>
      <c r="RZ18" s="955">
        <v>37.292386274509802</v>
      </c>
      <c r="SA18" s="956">
        <v>57.373023070717565</v>
      </c>
    </row>
    <row r="19" spans="1:495">
      <c r="A19" s="963">
        <f>[3]Eingabedaten!A21</f>
        <v>4.05</v>
      </c>
      <c r="B19" s="964" t="str">
        <f>[3]Eingabedaten!C21</f>
        <v>Schulfachraum (Spezialraum)</v>
      </c>
      <c r="C19" s="989">
        <f t="shared" si="1"/>
        <v>13</v>
      </c>
      <c r="D19" s="954" cm="1">
        <f t="array" ref="D19">INDEX($P$7:$SA$51,$C19,$G$3-1+D$2)</f>
        <v>45.919496739495791</v>
      </c>
      <c r="E19" s="955" cm="1">
        <f t="array" ref="E19">INDEX($P$7:$SA$51,$C19,$G$3-1+E$2)</f>
        <v>5.8079551317610028</v>
      </c>
      <c r="F19" s="955" cm="1">
        <f t="array" ref="F19">INDEX($P$7:$SA$51,$C19,$G$3-1+F$2)</f>
        <v>19.377043697478996</v>
      </c>
      <c r="G19" s="955" cm="1">
        <f t="array" ref="G19">INDEX($P$7:$SA$51,$C19,$G$3-1+G$2)</f>
        <v>22.144183297781986</v>
      </c>
      <c r="H19" s="955" cm="1">
        <f t="array" ref="H19">INDEX($P$7:$SA$51,$C19,$G$3-1+H$2)</f>
        <v>37.129237243697474</v>
      </c>
      <c r="I19" s="955" cm="1">
        <f t="array" ref="I19">INDEX($P$7:$SA$51,$C19,$G$3-1+I$2)</f>
        <v>3.9710379855684197</v>
      </c>
      <c r="J19" s="955" cm="1">
        <f t="array" ref="J19">INDEX($P$7:$SA$51,$C19,$G$3-1+J$2)</f>
        <v>14.499828571428573</v>
      </c>
      <c r="K19" s="955" cm="1">
        <f t="array" ref="K19">INDEX($P$7:$SA$51,$C19,$G$3-1+K$2)</f>
        <v>12.954753106709633</v>
      </c>
      <c r="L19" s="955" cm="1">
        <f t="array" ref="L19">INDEX($P$7:$SA$51,$C19,$G$3-1+L$2)</f>
        <v>0</v>
      </c>
      <c r="M19" s="955" cm="1">
        <f t="array" ref="M19">INDEX($P$7:$SA$51,$C19,$G$3-1+M$2)</f>
        <v>0</v>
      </c>
      <c r="N19" s="955" cm="1">
        <f t="array" ref="N19">INDEX($P$7:$SA$51,$C19,$G$3-1+N$2)</f>
        <v>54.063334453781522</v>
      </c>
      <c r="O19" s="956" cm="1">
        <f t="array" ref="O19">INDEX($P$7:$SA$51,$C19,$G$3-1+O$2)</f>
        <v>113.14245678791383</v>
      </c>
      <c r="P19" s="954">
        <v>35.21526050420168</v>
      </c>
      <c r="Q19" s="955">
        <v>0</v>
      </c>
      <c r="R19" s="955">
        <v>21.152191596638659</v>
      </c>
      <c r="S19" s="955">
        <v>22.658648293031423</v>
      </c>
      <c r="T19" s="955">
        <v>28.643029915966384</v>
      </c>
      <c r="U19" s="955">
        <v>0</v>
      </c>
      <c r="V19" s="955">
        <v>15.862171428571429</v>
      </c>
      <c r="W19" s="955">
        <v>10.811127588170351</v>
      </c>
      <c r="X19" s="955">
        <v>0</v>
      </c>
      <c r="Y19" s="955">
        <v>0</v>
      </c>
      <c r="Z19" s="955">
        <v>58.77431260504202</v>
      </c>
      <c r="AA19" s="956">
        <v>147.43501492316156</v>
      </c>
      <c r="AB19" s="954">
        <v>47.22184363025211</v>
      </c>
      <c r="AC19" s="955">
        <v>5.7008487658159837</v>
      </c>
      <c r="AD19" s="955">
        <v>18.062119327731097</v>
      </c>
      <c r="AE19" s="955">
        <v>21.31420058499539</v>
      </c>
      <c r="AF19" s="955">
        <v>37.221346823529416</v>
      </c>
      <c r="AG19" s="955">
        <v>3.8863717615222586</v>
      </c>
      <c r="AH19" s="955">
        <v>13.490685714285714</v>
      </c>
      <c r="AI19" s="955">
        <v>12.655651097797707</v>
      </c>
      <c r="AJ19" s="955">
        <v>0</v>
      </c>
      <c r="AK19" s="955">
        <v>0</v>
      </c>
      <c r="AL19" s="955">
        <v>50.573721008403368</v>
      </c>
      <c r="AM19" s="956">
        <v>109.43523810925099</v>
      </c>
      <c r="AN19" s="954">
        <v>43.558413848739498</v>
      </c>
      <c r="AO19" s="955">
        <v>3.454533567246354</v>
      </c>
      <c r="AP19" s="955">
        <v>18.127865546218494</v>
      </c>
      <c r="AQ19" s="955">
        <v>25.305013556394421</v>
      </c>
      <c r="AR19" s="955">
        <v>39.936854857142862</v>
      </c>
      <c r="AS19" s="955">
        <v>2.2870215533647849</v>
      </c>
      <c r="AT19" s="955">
        <v>13.541142857142859</v>
      </c>
      <c r="AU19" s="955">
        <v>15.84479327667856</v>
      </c>
      <c r="AV19" s="955">
        <v>0</v>
      </c>
      <c r="AW19" s="955">
        <v>0</v>
      </c>
      <c r="AX19" s="955">
        <v>50.748201680672281</v>
      </c>
      <c r="AY19" s="956">
        <v>119.64331074186946</v>
      </c>
      <c r="AZ19" s="954">
        <v>49.983717512605047</v>
      </c>
      <c r="BA19" s="955">
        <v>8.1608368157883806</v>
      </c>
      <c r="BB19" s="955">
        <v>18.719581512605046</v>
      </c>
      <c r="BC19" s="955">
        <v>18.847549334712866</v>
      </c>
      <c r="BD19" s="955">
        <v>39.782091159663864</v>
      </c>
      <c r="BE19" s="955">
        <v>5.6383314114675214</v>
      </c>
      <c r="BF19" s="955">
        <v>13.995257142857145</v>
      </c>
      <c r="BG19" s="955">
        <v>10.890264475584775</v>
      </c>
      <c r="BH19" s="955">
        <v>76.049115966386552</v>
      </c>
      <c r="BI19" s="955">
        <v>0.41193198509973011</v>
      </c>
      <c r="BJ19" s="955">
        <v>52.318527731092452</v>
      </c>
      <c r="BK19" s="956">
        <v>100.76751540796961</v>
      </c>
      <c r="BL19" s="954">
        <v>46.93502131092437</v>
      </c>
      <c r="BM19" s="955">
        <v>5.8389460602663581</v>
      </c>
      <c r="BN19" s="955">
        <v>19.311297478991602</v>
      </c>
      <c r="BO19" s="955">
        <v>22.479455793334658</v>
      </c>
      <c r="BP19" s="955">
        <v>37.911906689075629</v>
      </c>
      <c r="BQ19" s="955">
        <v>3.9935950680692849</v>
      </c>
      <c r="BR19" s="955">
        <v>14.44937142857143</v>
      </c>
      <c r="BS19" s="955">
        <v>12.983451540525319</v>
      </c>
      <c r="BT19" s="955">
        <v>0</v>
      </c>
      <c r="BU19" s="955">
        <v>0</v>
      </c>
      <c r="BV19" s="955">
        <v>53.888853781512609</v>
      </c>
      <c r="BW19" s="956">
        <v>115.53837437025378</v>
      </c>
      <c r="BX19" s="954">
        <v>47.346306957983188</v>
      </c>
      <c r="BY19" s="955">
        <v>6.1746414144964055</v>
      </c>
      <c r="BZ19" s="955">
        <v>19.114058823529415</v>
      </c>
      <c r="CA19" s="955">
        <v>24.875965883584144</v>
      </c>
      <c r="CB19" s="955">
        <v>38.305947966386562</v>
      </c>
      <c r="CC19" s="955">
        <v>4.2269547009930779</v>
      </c>
      <c r="CD19" s="955">
        <v>14.298000000000002</v>
      </c>
      <c r="CE19" s="955">
        <v>15.366101083119711</v>
      </c>
      <c r="CF19" s="955">
        <v>0</v>
      </c>
      <c r="CG19" s="955">
        <v>0</v>
      </c>
      <c r="CH19" s="955">
        <v>53.365411764705897</v>
      </c>
      <c r="CI19" s="956">
        <v>117.72968561769305</v>
      </c>
      <c r="CJ19" s="954">
        <v>47.125373042016811</v>
      </c>
      <c r="CK19" s="955">
        <v>4.3270760338482379</v>
      </c>
      <c r="CL19" s="955">
        <v>19.179805042016813</v>
      </c>
      <c r="CM19" s="955">
        <v>19.08508804983682</v>
      </c>
      <c r="CN19" s="955">
        <v>38.062195899159661</v>
      </c>
      <c r="CO19" s="955">
        <v>2.9115703578569549</v>
      </c>
      <c r="CP19" s="955">
        <v>14.348457142857145</v>
      </c>
      <c r="CQ19" s="955">
        <v>10.340609745069717</v>
      </c>
      <c r="CR19" s="955">
        <v>0</v>
      </c>
      <c r="CS19" s="955">
        <v>0</v>
      </c>
      <c r="CT19" s="955">
        <v>53.539892436974803</v>
      </c>
      <c r="CU19" s="956">
        <v>108.22531175602393</v>
      </c>
      <c r="CV19" s="954">
        <v>32.367142857142852</v>
      </c>
      <c r="CW19" s="955">
        <v>0</v>
      </c>
      <c r="CX19" s="955">
        <v>23.058831932773117</v>
      </c>
      <c r="CY19" s="955">
        <v>25.675748970815562</v>
      </c>
      <c r="CZ19" s="955">
        <v>25.407663865546219</v>
      </c>
      <c r="DA19" s="955">
        <v>0</v>
      </c>
      <c r="DB19" s="955">
        <v>17.325428571428574</v>
      </c>
      <c r="DC19" s="955">
        <v>12.127833262584891</v>
      </c>
      <c r="DD19" s="955">
        <v>0</v>
      </c>
      <c r="DE19" s="955">
        <v>0</v>
      </c>
      <c r="DF19" s="955">
        <v>63.834252100840352</v>
      </c>
      <c r="DG19" s="956">
        <v>161.65916643560291</v>
      </c>
      <c r="DH19" s="954">
        <v>45.000212302521007</v>
      </c>
      <c r="DI19" s="955">
        <v>0</v>
      </c>
      <c r="DJ19" s="955">
        <v>20.823460504201684</v>
      </c>
      <c r="DK19" s="955">
        <v>20.499553660459881</v>
      </c>
      <c r="DL19" s="955">
        <v>36.358015999999992</v>
      </c>
      <c r="DM19" s="955">
        <v>0</v>
      </c>
      <c r="DN19" s="955">
        <v>15.609885714285717</v>
      </c>
      <c r="DO19" s="955">
        <v>9.8730687033813265</v>
      </c>
      <c r="DP19" s="955">
        <v>0</v>
      </c>
      <c r="DQ19" s="955">
        <v>0</v>
      </c>
      <c r="DR19" s="955">
        <v>57.901909243697482</v>
      </c>
      <c r="DS19" s="956">
        <v>132.83021606353867</v>
      </c>
      <c r="DT19" s="954">
        <v>44.571270521008415</v>
      </c>
      <c r="DU19" s="955">
        <v>0</v>
      </c>
      <c r="DV19" s="955">
        <v>21.809653781512615</v>
      </c>
      <c r="DW19" s="955">
        <v>31.559685626538798</v>
      </c>
      <c r="DX19" s="955">
        <v>36.20080672268908</v>
      </c>
      <c r="DY19" s="955">
        <v>0</v>
      </c>
      <c r="DZ19" s="955">
        <v>16.36674285714286</v>
      </c>
      <c r="EA19" s="955">
        <v>18.737430812997548</v>
      </c>
      <c r="EB19" s="955">
        <v>0</v>
      </c>
      <c r="EC19" s="955">
        <v>0</v>
      </c>
      <c r="ED19" s="955">
        <v>60.519119327731111</v>
      </c>
      <c r="EE19" s="956">
        <v>153.97166082664609</v>
      </c>
      <c r="EF19" s="954">
        <v>48.870539831932774</v>
      </c>
      <c r="EG19" s="955">
        <v>9.2728207495862467</v>
      </c>
      <c r="EH19" s="955">
        <v>17.207418487394964</v>
      </c>
      <c r="EI19" s="955">
        <v>18.132084667281955</v>
      </c>
      <c r="EJ19" s="955">
        <v>39.423333109243693</v>
      </c>
      <c r="EK19" s="955">
        <v>6.406850979084826</v>
      </c>
      <c r="EL19" s="955">
        <v>12.834742857142858</v>
      </c>
      <c r="EM19" s="955">
        <v>10.43199108264079</v>
      </c>
      <c r="EN19" s="955">
        <v>74.054857142857145</v>
      </c>
      <c r="EO19" s="955">
        <v>2.1637840805906183</v>
      </c>
      <c r="EP19" s="955">
        <v>48.305472268907572</v>
      </c>
      <c r="EQ19" s="956">
        <v>97.683385720876217</v>
      </c>
      <c r="ER19" s="954">
        <v>46.870782386554623</v>
      </c>
      <c r="ES19" s="955">
        <v>2.0844456367089759</v>
      </c>
      <c r="ET19" s="955">
        <v>19.837267226890763</v>
      </c>
      <c r="EU19" s="955">
        <v>32.140282791541971</v>
      </c>
      <c r="EV19" s="955">
        <v>37.908992806722694</v>
      </c>
      <c r="EW19" s="955">
        <v>1.3545162963294841</v>
      </c>
      <c r="EX19" s="955">
        <v>14.853028571428574</v>
      </c>
      <c r="EY19" s="955">
        <v>20.617955913652469</v>
      </c>
      <c r="EZ19" s="955">
        <v>0</v>
      </c>
      <c r="FA19" s="955">
        <v>0</v>
      </c>
      <c r="FB19" s="955">
        <v>55.284699159663873</v>
      </c>
      <c r="FC19" s="956">
        <v>139.08223712434486</v>
      </c>
      <c r="FD19" s="954">
        <v>22.370840336134457</v>
      </c>
      <c r="FE19" s="955">
        <v>0</v>
      </c>
      <c r="FF19" s="955">
        <v>24.570994957983199</v>
      </c>
      <c r="FG19" s="955">
        <v>30.909827690002128</v>
      </c>
      <c r="FH19" s="955">
        <v>15.527165042016808</v>
      </c>
      <c r="FI19" s="955">
        <v>0</v>
      </c>
      <c r="FJ19" s="955">
        <v>18.485942857142859</v>
      </c>
      <c r="FK19" s="955">
        <v>15.098199886828812</v>
      </c>
      <c r="FL19" s="955">
        <v>0</v>
      </c>
      <c r="FM19" s="955">
        <v>0</v>
      </c>
      <c r="FN19" s="955">
        <v>67.847307563025225</v>
      </c>
      <c r="FO19" s="956">
        <v>190.32343119031108</v>
      </c>
      <c r="FP19" s="954">
        <v>45.681852705882363</v>
      </c>
      <c r="FQ19" s="955">
        <v>5.6252732088635966</v>
      </c>
      <c r="FR19" s="955">
        <v>19.048312605042021</v>
      </c>
      <c r="FS19" s="955">
        <v>24.978778698199907</v>
      </c>
      <c r="FT19" s="955">
        <v>36.923682285714293</v>
      </c>
      <c r="FU19" s="955">
        <v>3.8409856262814972</v>
      </c>
      <c r="FV19" s="955">
        <v>14.247542857142857</v>
      </c>
      <c r="FW19" s="955">
        <v>15.290219536399043</v>
      </c>
      <c r="FX19" s="955">
        <v>0</v>
      </c>
      <c r="FY19" s="955">
        <v>0</v>
      </c>
      <c r="FZ19" s="955">
        <v>53.190931092436983</v>
      </c>
      <c r="GA19" s="956">
        <v>119.12446529139963</v>
      </c>
      <c r="GB19" s="954">
        <v>43.618802352941181</v>
      </c>
      <c r="GC19" s="955">
        <v>3.5713846629607282</v>
      </c>
      <c r="GD19" s="955">
        <v>19.048312605042021</v>
      </c>
      <c r="GE19" s="955">
        <v>25.24491329899509</v>
      </c>
      <c r="GF19" s="955">
        <v>35.349809075630247</v>
      </c>
      <c r="GG19" s="955">
        <v>2.3799384606656915</v>
      </c>
      <c r="GH19" s="955">
        <v>14.247542857142857</v>
      </c>
      <c r="GI19" s="955">
        <v>14.898612722590103</v>
      </c>
      <c r="GJ19" s="955">
        <v>0</v>
      </c>
      <c r="GK19" s="955">
        <v>0</v>
      </c>
      <c r="GL19" s="955">
        <v>53.190931092436983</v>
      </c>
      <c r="GM19" s="956">
        <v>124.11419015267084</v>
      </c>
      <c r="GN19" s="954">
        <v>42.825157714285716</v>
      </c>
      <c r="GO19" s="955">
        <v>0.47864048728912145</v>
      </c>
      <c r="GP19" s="955">
        <v>20.691968067226895</v>
      </c>
      <c r="GQ19" s="955">
        <v>23.411685867101909</v>
      </c>
      <c r="GR19" s="955">
        <v>36.349183193277312</v>
      </c>
      <c r="GS19" s="955">
        <v>0.24515495794730274</v>
      </c>
      <c r="GT19" s="955">
        <v>15.508971428571432</v>
      </c>
      <c r="GU19" s="955">
        <v>12.071074876796859</v>
      </c>
      <c r="GV19" s="955">
        <v>0</v>
      </c>
      <c r="GW19" s="955">
        <v>0</v>
      </c>
      <c r="GX19" s="955">
        <v>57.552947899159676</v>
      </c>
      <c r="GY19" s="956">
        <v>135.88692053293269</v>
      </c>
      <c r="GZ19" s="954">
        <v>41.360815126050426</v>
      </c>
      <c r="HA19" s="955">
        <v>0</v>
      </c>
      <c r="HB19" s="955">
        <v>20.757714285714293</v>
      </c>
      <c r="HC19" s="955">
        <v>29.617408834781372</v>
      </c>
      <c r="HD19" s="955">
        <v>33.651754621848745</v>
      </c>
      <c r="HE19" s="955">
        <v>0</v>
      </c>
      <c r="HF19" s="955">
        <v>15.559428571428574</v>
      </c>
      <c r="HG19" s="955">
        <v>16.62807123768717</v>
      </c>
      <c r="HH19" s="955">
        <v>0</v>
      </c>
      <c r="HI19" s="955">
        <v>0</v>
      </c>
      <c r="HJ19" s="955">
        <v>57.72742857142859</v>
      </c>
      <c r="HK19" s="956">
        <v>151.35040332420661</v>
      </c>
      <c r="HL19" s="954">
        <v>46.110084974789913</v>
      </c>
      <c r="HM19" s="955">
        <v>12.39758255351186</v>
      </c>
      <c r="HN19" s="955">
        <v>15.300778151260509</v>
      </c>
      <c r="HO19" s="955">
        <v>11.973701375235729</v>
      </c>
      <c r="HP19" s="955">
        <v>37.26537169747899</v>
      </c>
      <c r="HQ19" s="955">
        <v>8.5312565102039137</v>
      </c>
      <c r="HR19" s="955">
        <v>11.371485714285715</v>
      </c>
      <c r="HS19" s="955">
        <v>5.9491965432145317</v>
      </c>
      <c r="HT19" s="955">
        <v>67.786272268907567</v>
      </c>
      <c r="HU19" s="955">
        <v>5.6585423397617953</v>
      </c>
      <c r="HV19" s="955">
        <v>43.245532773109261</v>
      </c>
      <c r="HW19" s="956">
        <v>79.092488916743065</v>
      </c>
      <c r="HX19" s="954">
        <v>48.539493714285726</v>
      </c>
      <c r="HY19" s="955">
        <v>13.40309634900156</v>
      </c>
      <c r="HZ19" s="955">
        <v>14.972047058823534</v>
      </c>
      <c r="IA19" s="955">
        <v>10.980692932605487</v>
      </c>
      <c r="IB19" s="955">
        <v>39.036472873949585</v>
      </c>
      <c r="IC19" s="955">
        <v>9.2452034823695097</v>
      </c>
      <c r="ID19" s="955">
        <v>11.119200000000003</v>
      </c>
      <c r="IE19" s="955">
        <v>5.190227012304713</v>
      </c>
      <c r="IF19" s="955">
        <v>71.703986554621849</v>
      </c>
      <c r="IG19" s="955">
        <v>6.7515062513043294</v>
      </c>
      <c r="IH19" s="955">
        <v>42.373129411764715</v>
      </c>
      <c r="II19" s="956">
        <v>78.079901729147679</v>
      </c>
      <c r="IJ19" s="954">
        <v>47.886070453781514</v>
      </c>
      <c r="IK19" s="955">
        <v>5.4680550123259897</v>
      </c>
      <c r="IL19" s="955">
        <v>18.653835294117652</v>
      </c>
      <c r="IM19" s="955">
        <v>24.124466799743125</v>
      </c>
      <c r="IN19" s="955">
        <v>38.705817008403358</v>
      </c>
      <c r="IO19" s="955">
        <v>3.721801376017368</v>
      </c>
      <c r="IP19" s="955">
        <v>13.944800000000001</v>
      </c>
      <c r="IQ19" s="955">
        <v>14.718596579622149</v>
      </c>
      <c r="IR19" s="955">
        <v>0</v>
      </c>
      <c r="IS19" s="955">
        <v>0</v>
      </c>
      <c r="IT19" s="955">
        <v>52.144047058823539</v>
      </c>
      <c r="IU19" s="956">
        <v>117.16325305583851</v>
      </c>
      <c r="IV19" s="954">
        <v>47.252668369747902</v>
      </c>
      <c r="IW19" s="955">
        <v>12.346332371433331</v>
      </c>
      <c r="IX19" s="955">
        <v>16.418463865546222</v>
      </c>
      <c r="IY19" s="955">
        <v>15.779167087046321</v>
      </c>
      <c r="IZ19" s="955">
        <v>38.138797445378152</v>
      </c>
      <c r="JA19" s="955">
        <v>8.4937938037966969</v>
      </c>
      <c r="JB19" s="955">
        <v>12.229257142857145</v>
      </c>
      <c r="JC19" s="955">
        <v>8.4090626696682573</v>
      </c>
      <c r="JD19" s="955">
        <v>70.13394285714287</v>
      </c>
      <c r="JE19" s="955">
        <v>5.5206218263608537</v>
      </c>
      <c r="JF19" s="955">
        <v>46.211704201680682</v>
      </c>
      <c r="JG19" s="956">
        <v>90.846369118157</v>
      </c>
      <c r="JH19" s="954">
        <v>45.788117647058826</v>
      </c>
      <c r="JI19" s="955">
        <v>0.16064478772678767</v>
      </c>
      <c r="JJ19" s="955">
        <v>20.757714285714293</v>
      </c>
      <c r="JK19" s="955">
        <v>18.126940136703396</v>
      </c>
      <c r="JL19" s="955">
        <v>37.420793277310928</v>
      </c>
      <c r="JM19" s="955">
        <v>6.5902948273727349E-2</v>
      </c>
      <c r="JN19" s="955">
        <v>15.559428571428574</v>
      </c>
      <c r="JO19" s="955">
        <v>8.0628667038797808</v>
      </c>
      <c r="JP19" s="955">
        <v>0</v>
      </c>
      <c r="JQ19" s="955">
        <v>0</v>
      </c>
      <c r="JR19" s="955">
        <v>57.72742857142859</v>
      </c>
      <c r="JS19" s="956">
        <v>125.90805337237462</v>
      </c>
      <c r="JT19" s="954">
        <v>43.617856336134452</v>
      </c>
      <c r="JU19" s="955">
        <v>7.2434726528984328</v>
      </c>
      <c r="JV19" s="955">
        <v>17.996373109243702</v>
      </c>
      <c r="JW19" s="955">
        <v>21.939110473267579</v>
      </c>
      <c r="JX19" s="955">
        <v>35.406428100840344</v>
      </c>
      <c r="JY19" s="955">
        <v>4.9813183576298927</v>
      </c>
      <c r="JZ19" s="955">
        <v>13.440228571428571</v>
      </c>
      <c r="KA19" s="955">
        <v>13.405319026190865</v>
      </c>
      <c r="KB19" s="955">
        <v>63.242258823529419</v>
      </c>
      <c r="KC19" s="955">
        <v>0.17096628921254187</v>
      </c>
      <c r="KD19" s="955">
        <v>50.399240336134461</v>
      </c>
      <c r="KE19" s="956">
        <v>108.88646269381714</v>
      </c>
      <c r="KF19" s="954">
        <v>48.713602285714288</v>
      </c>
      <c r="KG19" s="955">
        <v>6.6593828892373521</v>
      </c>
      <c r="KH19" s="955">
        <v>18.851073949579835</v>
      </c>
      <c r="KI19" s="955">
        <v>22.473601274511726</v>
      </c>
      <c r="KJ19" s="955">
        <v>38.727152806722678</v>
      </c>
      <c r="KK19" s="955">
        <v>4.5761856170013084</v>
      </c>
      <c r="KL19" s="955">
        <v>14.096171428571431</v>
      </c>
      <c r="KM19" s="955">
        <v>13.39681853101745</v>
      </c>
      <c r="KN19" s="955">
        <v>0</v>
      </c>
      <c r="KO19" s="955">
        <v>0</v>
      </c>
      <c r="KP19" s="955">
        <v>52.667489075630257</v>
      </c>
      <c r="KQ19" s="956">
        <v>112.45125673014141</v>
      </c>
      <c r="KR19" s="954">
        <v>44.794805983193285</v>
      </c>
      <c r="KS19" s="955">
        <v>1.9032354802881102</v>
      </c>
      <c r="KT19" s="955">
        <v>19.179805042016813</v>
      </c>
      <c r="KU19" s="955">
        <v>29.826511506922575</v>
      </c>
      <c r="KV19" s="955">
        <v>36.146840605042009</v>
      </c>
      <c r="KW19" s="955">
        <v>1.245768398708728</v>
      </c>
      <c r="KX19" s="955">
        <v>14.348457142857145</v>
      </c>
      <c r="KY19" s="955">
        <v>18.674911795588226</v>
      </c>
      <c r="KZ19" s="955">
        <v>0</v>
      </c>
      <c r="LA19" s="955">
        <v>0</v>
      </c>
      <c r="LB19" s="955">
        <v>53.539892436974803</v>
      </c>
      <c r="LC19" s="956">
        <v>138.95264241224413</v>
      </c>
      <c r="LD19" s="954">
        <v>45.682083159663868</v>
      </c>
      <c r="LE19" s="955">
        <v>9.5704085602843492</v>
      </c>
      <c r="LF19" s="955">
        <v>17.273164705882358</v>
      </c>
      <c r="LG19" s="955">
        <v>16.745668640345151</v>
      </c>
      <c r="LH19" s="955">
        <v>36.810236907563031</v>
      </c>
      <c r="LI19" s="955">
        <v>6.5427402853240348</v>
      </c>
      <c r="LJ19" s="955">
        <v>12.885200000000001</v>
      </c>
      <c r="LK19" s="955">
        <v>9.4465714558438219</v>
      </c>
      <c r="LL19" s="955">
        <v>68.025976470588247</v>
      </c>
      <c r="LM19" s="955">
        <v>2.2646244167250775</v>
      </c>
      <c r="LN19" s="955">
        <v>48.479952941176485</v>
      </c>
      <c r="LO19" s="956">
        <v>93.709262234193318</v>
      </c>
      <c r="LP19" s="954">
        <v>37.485697478991597</v>
      </c>
      <c r="LQ19" s="955">
        <v>0.24097498175819076</v>
      </c>
      <c r="LR19" s="955">
        <v>19.574282352941182</v>
      </c>
      <c r="LS19" s="955">
        <v>26.104354782317767</v>
      </c>
      <c r="LT19" s="955">
        <v>29.725606722689079</v>
      </c>
      <c r="LU19" s="955">
        <v>0.11962951404815945</v>
      </c>
      <c r="LV19" s="955">
        <v>14.651200000000001</v>
      </c>
      <c r="LW19" s="955">
        <v>14.17353785949688</v>
      </c>
      <c r="LX19" s="955">
        <v>0</v>
      </c>
      <c r="LY19" s="955">
        <v>0</v>
      </c>
      <c r="LZ19" s="955">
        <v>54.586776470588248</v>
      </c>
      <c r="MA19" s="956">
        <v>142.02643898403616</v>
      </c>
      <c r="MB19" s="954">
        <v>47.950309378151267</v>
      </c>
      <c r="MC19" s="955">
        <v>4.9824453196138441</v>
      </c>
      <c r="MD19" s="955">
        <v>19.771521008403365</v>
      </c>
      <c r="ME19" s="955">
        <v>24.370010712054508</v>
      </c>
      <c r="MF19" s="955">
        <v>38.7087308907563</v>
      </c>
      <c r="MG19" s="955">
        <v>3.3873901777067887</v>
      </c>
      <c r="MH19" s="955">
        <v>14.802571428571431</v>
      </c>
      <c r="MI19" s="955">
        <v>14.720012852595193</v>
      </c>
      <c r="MJ19" s="955">
        <v>0</v>
      </c>
      <c r="MK19" s="955">
        <v>0</v>
      </c>
      <c r="ML19" s="955">
        <v>55.110218487394974</v>
      </c>
      <c r="MM19" s="956">
        <v>118.96524460945585</v>
      </c>
      <c r="MN19" s="954">
        <v>38.487025210084035</v>
      </c>
      <c r="MO19" s="955">
        <v>0</v>
      </c>
      <c r="MP19" s="955">
        <v>26.017411764705891</v>
      </c>
      <c r="MQ19" s="955">
        <v>30.594339698301816</v>
      </c>
      <c r="MR19" s="955">
        <v>30.551146218487393</v>
      </c>
      <c r="MS19" s="955">
        <v>0</v>
      </c>
      <c r="MT19" s="955">
        <v>19.596000000000004</v>
      </c>
      <c r="MU19" s="955">
        <v>14.532181466130783</v>
      </c>
      <c r="MV19" s="955">
        <v>0</v>
      </c>
      <c r="MW19" s="955">
        <v>0</v>
      </c>
      <c r="MX19" s="955">
        <v>71.685882352941192</v>
      </c>
      <c r="MY19" s="956">
        <v>178.46719318701511</v>
      </c>
      <c r="MZ19" s="954">
        <v>35.942890756302525</v>
      </c>
      <c r="NA19" s="955">
        <v>0</v>
      </c>
      <c r="NB19" s="955">
        <v>21.612415126050426</v>
      </c>
      <c r="NC19" s="955">
        <v>31.010902834688395</v>
      </c>
      <c r="ND19" s="955">
        <v>28.292685714285717</v>
      </c>
      <c r="NE19" s="955">
        <v>0</v>
      </c>
      <c r="NF19" s="955">
        <v>16.21537142857143</v>
      </c>
      <c r="NG19" s="955">
        <v>16.470497138763765</v>
      </c>
      <c r="NH19" s="955">
        <v>0</v>
      </c>
      <c r="NI19" s="955">
        <v>0</v>
      </c>
      <c r="NJ19" s="955">
        <v>59.995677310924378</v>
      </c>
      <c r="NK19" s="956">
        <v>175.69060408707259</v>
      </c>
      <c r="NL19" s="954">
        <v>45.432613445378145</v>
      </c>
      <c r="NM19" s="955">
        <v>3.1253722770373509</v>
      </c>
      <c r="NN19" s="955">
        <v>20.560475630252107</v>
      </c>
      <c r="NO19" s="955">
        <v>23.889360878071916</v>
      </c>
      <c r="NP19" s="955">
        <v>37.442625210084032</v>
      </c>
      <c r="NQ19" s="955">
        <v>2.0733903479214777</v>
      </c>
      <c r="NR19" s="955">
        <v>15.408057142857144</v>
      </c>
      <c r="NS19" s="955">
        <v>13.722282740111208</v>
      </c>
      <c r="NT19" s="955">
        <v>0</v>
      </c>
      <c r="NU19" s="955">
        <v>0</v>
      </c>
      <c r="NV19" s="955">
        <v>57.203986554621856</v>
      </c>
      <c r="NW19" s="956">
        <v>123.30191341504978</v>
      </c>
      <c r="NX19" s="954">
        <v>43.601619226890762</v>
      </c>
      <c r="NY19" s="955">
        <v>5.596039019555529</v>
      </c>
      <c r="NZ19" s="955">
        <v>19.377043697478996</v>
      </c>
      <c r="OA19" s="955">
        <v>26.164089319634833</v>
      </c>
      <c r="OB19" s="955">
        <v>35.74265882352941</v>
      </c>
      <c r="OC19" s="955">
        <v>3.816233576517253</v>
      </c>
      <c r="OD19" s="955">
        <v>14.499828571428573</v>
      </c>
      <c r="OE19" s="955">
        <v>16.128070204439016</v>
      </c>
      <c r="OF19" s="955">
        <v>0</v>
      </c>
      <c r="OG19" s="955">
        <v>0</v>
      </c>
      <c r="OH19" s="955">
        <v>54.063334453781522</v>
      </c>
      <c r="OI19" s="956">
        <v>122.02555662982617</v>
      </c>
      <c r="OJ19" s="954">
        <v>44.440033613445387</v>
      </c>
      <c r="OK19" s="955">
        <v>9.9449870431149473E-2</v>
      </c>
      <c r="OL19" s="955">
        <v>22.33562352941177</v>
      </c>
      <c r="OM19" s="955">
        <v>25.351292194691077</v>
      </c>
      <c r="ON19" s="955">
        <v>35.836374588235302</v>
      </c>
      <c r="OO19" s="955">
        <v>2.2887433783971289E-2</v>
      </c>
      <c r="OP19" s="955">
        <v>16.770400000000002</v>
      </c>
      <c r="OQ19" s="955">
        <v>13.073900074134819</v>
      </c>
      <c r="OR19" s="955">
        <v>0</v>
      </c>
      <c r="OS19" s="955">
        <v>0</v>
      </c>
      <c r="OT19" s="955">
        <v>61.914964705882362</v>
      </c>
      <c r="OU19" s="956">
        <v>143.23942952891804</v>
      </c>
      <c r="OV19" s="954">
        <v>45.713380907563021</v>
      </c>
      <c r="OW19" s="955">
        <v>8.5403629244241124</v>
      </c>
      <c r="OX19" s="955">
        <v>18.390850420168071</v>
      </c>
      <c r="OY19" s="955">
        <v>19.149138942302471</v>
      </c>
      <c r="OZ19" s="955">
        <v>36.960526117647063</v>
      </c>
      <c r="PA19" s="955">
        <v>5.8570101571419038</v>
      </c>
      <c r="PB19" s="955">
        <v>13.74297142857143</v>
      </c>
      <c r="PC19" s="955">
        <v>10.543389619803522</v>
      </c>
      <c r="PD19" s="955">
        <v>66.951273949579829</v>
      </c>
      <c r="PE19" s="955">
        <v>0.72411824038417627</v>
      </c>
      <c r="PF19" s="955">
        <v>51.446124369747906</v>
      </c>
      <c r="PG19" s="956">
        <v>102.58031937625846</v>
      </c>
      <c r="PH19" s="954">
        <v>43.541164369747897</v>
      </c>
      <c r="PI19" s="955">
        <v>0</v>
      </c>
      <c r="PJ19" s="955">
        <v>25.096964705882364</v>
      </c>
      <c r="PK19" s="955">
        <v>30.425849202850038</v>
      </c>
      <c r="PL19" s="955">
        <v>35.186925714285714</v>
      </c>
      <c r="PM19" s="955">
        <v>0</v>
      </c>
      <c r="PN19" s="955">
        <v>18.889600000000002</v>
      </c>
      <c r="PO19" s="955">
        <v>16.068226552964667</v>
      </c>
      <c r="PP19" s="955">
        <v>0</v>
      </c>
      <c r="PQ19" s="955">
        <v>0</v>
      </c>
      <c r="PR19" s="955">
        <v>69.24315294117649</v>
      </c>
      <c r="PS19" s="956">
        <v>159.46108364365077</v>
      </c>
      <c r="PT19" s="954">
        <v>49.17242278991597</v>
      </c>
      <c r="PU19" s="955">
        <v>5.2490920266187029</v>
      </c>
      <c r="PV19" s="955">
        <v>19.574282352941182</v>
      </c>
      <c r="PW19" s="955">
        <v>20.754768262812387</v>
      </c>
      <c r="PX19" s="955">
        <v>39.631801949579838</v>
      </c>
      <c r="PY19" s="955">
        <v>3.5671381573570704</v>
      </c>
      <c r="PZ19" s="955">
        <v>14.651200000000001</v>
      </c>
      <c r="QA19" s="955">
        <v>11.964742709384469</v>
      </c>
      <c r="QB19" s="955">
        <v>0</v>
      </c>
      <c r="QC19" s="955">
        <v>0</v>
      </c>
      <c r="QD19" s="955">
        <v>54.586776470588248</v>
      </c>
      <c r="QE19" s="956">
        <v>108.74825989758979</v>
      </c>
      <c r="QF19" s="954">
        <v>46.966549512605049</v>
      </c>
      <c r="QG19" s="955">
        <v>5.665791716009954</v>
      </c>
      <c r="QH19" s="955">
        <v>19.245551260504207</v>
      </c>
      <c r="QI19" s="955">
        <v>24.697004177860801</v>
      </c>
      <c r="QJ19" s="955">
        <v>37.9487505210084</v>
      </c>
      <c r="QK19" s="955">
        <v>3.8707968740942067</v>
      </c>
      <c r="QL19" s="955">
        <v>14.398914285714287</v>
      </c>
      <c r="QM19" s="955">
        <v>14.950754782049584</v>
      </c>
      <c r="QN19" s="955">
        <v>0</v>
      </c>
      <c r="QO19" s="955">
        <v>0</v>
      </c>
      <c r="QP19" s="955">
        <v>53.714373109243709</v>
      </c>
      <c r="QQ19" s="956">
        <v>119.3641726110454</v>
      </c>
      <c r="QR19" s="954">
        <v>35.988142857142854</v>
      </c>
      <c r="QS19" s="955">
        <v>0</v>
      </c>
      <c r="QT19" s="955">
        <v>21.743907563025214</v>
      </c>
      <c r="QU19" s="955">
        <v>26.008869659894511</v>
      </c>
      <c r="QV19" s="955">
        <v>29.152299159663873</v>
      </c>
      <c r="QW19" s="955">
        <v>0</v>
      </c>
      <c r="QX19" s="955">
        <v>16.316285714285716</v>
      </c>
      <c r="QY19" s="955">
        <v>12.284779343943885</v>
      </c>
      <c r="QZ19" s="955">
        <v>0</v>
      </c>
      <c r="RA19" s="955">
        <v>0</v>
      </c>
      <c r="RB19" s="955">
        <v>60.344638655462198</v>
      </c>
      <c r="RC19" s="956">
        <v>164.95280024697215</v>
      </c>
      <c r="RD19" s="954">
        <v>47.410782386554615</v>
      </c>
      <c r="RE19" s="955">
        <v>6.3486512143051756</v>
      </c>
      <c r="RF19" s="955">
        <v>19.508536134453784</v>
      </c>
      <c r="RG19" s="955">
        <v>22.83067344453347</v>
      </c>
      <c r="RH19" s="955">
        <v>38.294707092436973</v>
      </c>
      <c r="RI19" s="955">
        <v>4.3542484441210849</v>
      </c>
      <c r="RJ19" s="955">
        <v>14.600742857142858</v>
      </c>
      <c r="RK19" s="955">
        <v>13.459765382965411</v>
      </c>
      <c r="RL19" s="955">
        <v>0</v>
      </c>
      <c r="RM19" s="955">
        <v>0</v>
      </c>
      <c r="RN19" s="955">
        <v>54.412295798319334</v>
      </c>
      <c r="RO19" s="956">
        <v>114.35420646527474</v>
      </c>
      <c r="RP19" s="954">
        <v>45.919496739495791</v>
      </c>
      <c r="RQ19" s="955">
        <v>5.8079551317610028</v>
      </c>
      <c r="RR19" s="955">
        <v>19.377043697478996</v>
      </c>
      <c r="RS19" s="955">
        <v>22.144183297781986</v>
      </c>
      <c r="RT19" s="955">
        <v>37.129237243697474</v>
      </c>
      <c r="RU19" s="955">
        <v>3.9710379855684197</v>
      </c>
      <c r="RV19" s="955">
        <v>14.499828571428573</v>
      </c>
      <c r="RW19" s="955">
        <v>12.954753106709633</v>
      </c>
      <c r="RX19" s="955">
        <v>0</v>
      </c>
      <c r="RY19" s="955">
        <v>0</v>
      </c>
      <c r="RZ19" s="955">
        <v>54.063334453781522</v>
      </c>
      <c r="SA19" s="956">
        <v>113.14245678791383</v>
      </c>
    </row>
    <row r="20" spans="1:495">
      <c r="A20" s="965">
        <f>[3]Eingabedaten!A22</f>
        <v>5.01</v>
      </c>
      <c r="B20" s="930" t="str">
        <f>[3]Eingabedaten!C22</f>
        <v>Lebensmittelverkauf</v>
      </c>
      <c r="C20" s="988">
        <f t="shared" si="1"/>
        <v>14</v>
      </c>
      <c r="D20" s="954" cm="1">
        <f t="array" ref="D20">INDEX($P$7:$SA$51,$C20,$G$3-1+D$2)</f>
        <v>26.596120000000003</v>
      </c>
      <c r="E20" s="955" cm="1">
        <f t="array" ref="E20">INDEX($P$7:$SA$51,$C20,$G$3-1+E$2)</f>
        <v>23.643795487460274</v>
      </c>
      <c r="F20" s="955" cm="1">
        <f t="array" ref="F20">INDEX($P$7:$SA$51,$C20,$G$3-1+F$2)</f>
        <v>8.3600000000000012</v>
      </c>
      <c r="G20" s="955" cm="1">
        <f t="array" ref="G20">INDEX($P$7:$SA$51,$C20,$G$3-1+G$2)</f>
        <v>0.5825805913929244</v>
      </c>
      <c r="H20" s="955" cm="1">
        <f t="array" ref="H20">INDEX($P$7:$SA$51,$C20,$G$3-1+H$2)</f>
        <v>20.822878371040723</v>
      </c>
      <c r="I20" s="955" cm="1">
        <f t="array" ref="I20">INDEX($P$7:$SA$51,$C20,$G$3-1+I$2)</f>
        <v>22.9733566588522</v>
      </c>
      <c r="J20" s="955" cm="1">
        <f t="array" ref="J20">INDEX($P$7:$SA$51,$C20,$G$3-1+J$2)</f>
        <v>6.3670588235294119</v>
      </c>
      <c r="K20" s="955" cm="1">
        <f t="array" ref="K20">INDEX($P$7:$SA$51,$C20,$G$3-1+K$2)</f>
        <v>4.4989952065780998E-2</v>
      </c>
      <c r="L20" s="955" cm="1">
        <f t="array" ref="L20">INDEX($P$7:$SA$51,$C20,$G$3-1+L$2)</f>
        <v>0</v>
      </c>
      <c r="M20" s="955" cm="1">
        <f t="array" ref="M20">INDEX($P$7:$SA$51,$C20,$G$3-1+M$2)</f>
        <v>0</v>
      </c>
      <c r="N20" s="955" cm="1">
        <f t="array" ref="N20">INDEX($P$7:$SA$51,$C20,$G$3-1+N$2)</f>
        <v>35.958070588235294</v>
      </c>
      <c r="O20" s="956" cm="1">
        <f t="array" ref="O20">INDEX($P$7:$SA$51,$C20,$G$3-1+O$2)</f>
        <v>86.712530981456084</v>
      </c>
      <c r="P20" s="954">
        <v>22.1874</v>
      </c>
      <c r="Q20" s="955">
        <v>14.555487127494516</v>
      </c>
      <c r="R20" s="955">
        <v>9.1808000000000014</v>
      </c>
      <c r="S20" s="955">
        <v>1.5148942997315926</v>
      </c>
      <c r="T20" s="955">
        <v>17.11578190045249</v>
      </c>
      <c r="U20" s="955">
        <v>15.873634214074103</v>
      </c>
      <c r="V20" s="955">
        <v>6.9921882352941171</v>
      </c>
      <c r="W20" s="955">
        <v>0.16692169178418709</v>
      </c>
      <c r="X20" s="955">
        <v>0</v>
      </c>
      <c r="Y20" s="955">
        <v>0</v>
      </c>
      <c r="Z20" s="955">
        <v>39.231105882352935</v>
      </c>
      <c r="AA20" s="956">
        <v>119.18067669970358</v>
      </c>
      <c r="AB20" s="954">
        <v>26.757280000000002</v>
      </c>
      <c r="AC20" s="955">
        <v>25.530321873298625</v>
      </c>
      <c r="AD20" s="955">
        <v>7.7520000000000016</v>
      </c>
      <c r="AE20" s="955">
        <v>0.39565508239254038</v>
      </c>
      <c r="AF20" s="955">
        <v>20.944897194570135</v>
      </c>
      <c r="AG20" s="955">
        <v>24.49467961296272</v>
      </c>
      <c r="AH20" s="955">
        <v>5.9039999999999999</v>
      </c>
      <c r="AI20" s="955">
        <v>2.6920721976479371E-2</v>
      </c>
      <c r="AJ20" s="955">
        <v>35.817181512605039</v>
      </c>
      <c r="AK20" s="955">
        <v>0.17102655403689146</v>
      </c>
      <c r="AL20" s="955">
        <v>33.5336</v>
      </c>
      <c r="AM20" s="956">
        <v>80.479798578837318</v>
      </c>
      <c r="AN20" s="954">
        <v>28.100280000000001</v>
      </c>
      <c r="AO20" s="955">
        <v>25.07881191623013</v>
      </c>
      <c r="AP20" s="955">
        <v>7.7824000000000009</v>
      </c>
      <c r="AQ20" s="955">
        <v>0.39086926610953576</v>
      </c>
      <c r="AR20" s="955">
        <v>21.961720723981902</v>
      </c>
      <c r="AS20" s="955">
        <v>24.208460565429753</v>
      </c>
      <c r="AT20" s="955">
        <v>5.9271529411764714</v>
      </c>
      <c r="AU20" s="955">
        <v>2.6745763480586524E-2</v>
      </c>
      <c r="AV20" s="955">
        <v>0</v>
      </c>
      <c r="AW20" s="955">
        <v>0</v>
      </c>
      <c r="AX20" s="955">
        <v>33.654823529411765</v>
      </c>
      <c r="AY20" s="956">
        <v>81.12495635241649</v>
      </c>
      <c r="AZ20" s="954">
        <v>27.724240000000002</v>
      </c>
      <c r="BA20" s="955">
        <v>26.492234390531504</v>
      </c>
      <c r="BB20" s="955">
        <v>8.0560000000000009</v>
      </c>
      <c r="BC20" s="955">
        <v>0.27967829749051754</v>
      </c>
      <c r="BD20" s="955">
        <v>21.677010135746606</v>
      </c>
      <c r="BE20" s="955">
        <v>25.387993759229509</v>
      </c>
      <c r="BF20" s="955">
        <v>6.1355294117647059</v>
      </c>
      <c r="BG20" s="955">
        <v>1.7260767746797672E-2</v>
      </c>
      <c r="BH20" s="955">
        <v>38.524805042016808</v>
      </c>
      <c r="BI20" s="955">
        <v>0.97693720879591261</v>
      </c>
      <c r="BJ20" s="955">
        <v>34.745835294117647</v>
      </c>
      <c r="BK20" s="956">
        <v>77.048149491871172</v>
      </c>
      <c r="BL20" s="954">
        <v>27.240760000000002</v>
      </c>
      <c r="BM20" s="955">
        <v>23.195230160546568</v>
      </c>
      <c r="BN20" s="955">
        <v>8.329600000000001</v>
      </c>
      <c r="BO20" s="955">
        <v>0.73906947236146636</v>
      </c>
      <c r="BP20" s="955">
        <v>21.310953665158369</v>
      </c>
      <c r="BQ20" s="955">
        <v>22.446331189282095</v>
      </c>
      <c r="BR20" s="955">
        <v>6.3439058823529413</v>
      </c>
      <c r="BS20" s="955">
        <v>6.2374441923046406E-2</v>
      </c>
      <c r="BT20" s="955">
        <v>0</v>
      </c>
      <c r="BU20" s="955">
        <v>0</v>
      </c>
      <c r="BV20" s="955">
        <v>35.83684705882353</v>
      </c>
      <c r="BW20" s="956">
        <v>89.237603115294377</v>
      </c>
      <c r="BX20" s="954">
        <v>27.724240000000002</v>
      </c>
      <c r="BY20" s="955">
        <v>24.603744917923287</v>
      </c>
      <c r="BZ20" s="955">
        <v>8.2384000000000022</v>
      </c>
      <c r="CA20" s="955">
        <v>0.52912866466898345</v>
      </c>
      <c r="CB20" s="955">
        <v>21.677010135746606</v>
      </c>
      <c r="CC20" s="955">
        <v>23.648570695829765</v>
      </c>
      <c r="CD20" s="955">
        <v>6.2744470588235295</v>
      </c>
      <c r="CE20" s="955">
        <v>3.9596642944920032E-2</v>
      </c>
      <c r="CF20" s="955">
        <v>0</v>
      </c>
      <c r="CG20" s="955">
        <v>0</v>
      </c>
      <c r="CH20" s="955">
        <v>35.473176470588236</v>
      </c>
      <c r="CI20" s="956">
        <v>84.181528005620734</v>
      </c>
      <c r="CJ20" s="954">
        <v>27.079599999999999</v>
      </c>
      <c r="CK20" s="955">
        <v>24.572335529605475</v>
      </c>
      <c r="CL20" s="955">
        <v>8.2688000000000006</v>
      </c>
      <c r="CM20" s="955">
        <v>0.56040295652493344</v>
      </c>
      <c r="CN20" s="955">
        <v>21.443828959276015</v>
      </c>
      <c r="CO20" s="955">
        <v>23.555355306654107</v>
      </c>
      <c r="CP20" s="955">
        <v>6.2975999999999992</v>
      </c>
      <c r="CQ20" s="955">
        <v>4.2872964205344553E-2</v>
      </c>
      <c r="CR20" s="955">
        <v>0</v>
      </c>
      <c r="CS20" s="955">
        <v>0</v>
      </c>
      <c r="CT20" s="955">
        <v>35.5944</v>
      </c>
      <c r="CU20" s="956">
        <v>84.018507467550236</v>
      </c>
      <c r="CV20" s="954">
        <v>19.4194</v>
      </c>
      <c r="CW20" s="955">
        <v>10.648332092272597</v>
      </c>
      <c r="CX20" s="955">
        <v>10.062400000000002</v>
      </c>
      <c r="CY20" s="955">
        <v>4.4704395866218567</v>
      </c>
      <c r="CZ20" s="955">
        <v>14.492723076923077</v>
      </c>
      <c r="DA20" s="955">
        <v>11.973315597297745</v>
      </c>
      <c r="DB20" s="955">
        <v>7.6636235294117654</v>
      </c>
      <c r="DC20" s="955">
        <v>0.86480739717745214</v>
      </c>
      <c r="DD20" s="955">
        <v>0</v>
      </c>
      <c r="DE20" s="955">
        <v>0</v>
      </c>
      <c r="DF20" s="955">
        <v>42.746588235294126</v>
      </c>
      <c r="DG20" s="956">
        <v>145.48954429737825</v>
      </c>
      <c r="DH20" s="954">
        <v>26.112639999999999</v>
      </c>
      <c r="DI20" s="955">
        <v>16.476367531805476</v>
      </c>
      <c r="DJ20" s="955">
        <v>9.0288000000000022</v>
      </c>
      <c r="DK20" s="955">
        <v>1.4387219683523207</v>
      </c>
      <c r="DL20" s="955">
        <v>20.456821900452486</v>
      </c>
      <c r="DM20" s="955">
        <v>17.194002529960983</v>
      </c>
      <c r="DN20" s="955">
        <v>6.876423529411765</v>
      </c>
      <c r="DO20" s="955">
        <v>0.1571486522434018</v>
      </c>
      <c r="DP20" s="955">
        <v>0</v>
      </c>
      <c r="DQ20" s="955">
        <v>0</v>
      </c>
      <c r="DR20" s="955">
        <v>38.624988235294119</v>
      </c>
      <c r="DS20" s="956">
        <v>112.79279832523783</v>
      </c>
      <c r="DT20" s="954">
        <v>26.477799999999998</v>
      </c>
      <c r="DU20" s="955">
        <v>15.992466643034239</v>
      </c>
      <c r="DV20" s="955">
        <v>9.4847999999999999</v>
      </c>
      <c r="DW20" s="955">
        <v>1.8108972297313652</v>
      </c>
      <c r="DX20" s="955">
        <v>21.181523076923074</v>
      </c>
      <c r="DY20" s="955">
        <v>16.642063640227338</v>
      </c>
      <c r="DZ20" s="955">
        <v>7.2237176470588231</v>
      </c>
      <c r="EA20" s="955">
        <v>0.22260150676538526</v>
      </c>
      <c r="EB20" s="955">
        <v>0</v>
      </c>
      <c r="EC20" s="955">
        <v>0</v>
      </c>
      <c r="ED20" s="955">
        <v>40.443341176470582</v>
      </c>
      <c r="EE20" s="956">
        <v>116.20655049869471</v>
      </c>
      <c r="EF20" s="954">
        <v>28.207720000000002</v>
      </c>
      <c r="EG20" s="955">
        <v>27.21366877845616</v>
      </c>
      <c r="EH20" s="955">
        <v>7.3568000000000007</v>
      </c>
      <c r="EI20" s="955">
        <v>0.27630093358004837</v>
      </c>
      <c r="EJ20" s="955">
        <v>22.043066606334843</v>
      </c>
      <c r="EK20" s="955">
        <v>25.845705221463867</v>
      </c>
      <c r="EL20" s="955">
        <v>5.6030117647058821</v>
      </c>
      <c r="EM20" s="955">
        <v>1.6944775021953067E-2</v>
      </c>
      <c r="EN20" s="955">
        <v>39.87861680672269</v>
      </c>
      <c r="EO20" s="955">
        <v>2.1560076815655891</v>
      </c>
      <c r="EP20" s="955">
        <v>31.957694117647058</v>
      </c>
      <c r="EQ20" s="956">
        <v>76.150748814023331</v>
      </c>
      <c r="ER20" s="954">
        <v>26.811</v>
      </c>
      <c r="ES20" s="955">
        <v>22.409995452601368</v>
      </c>
      <c r="ET20" s="955">
        <v>8.5728000000000009</v>
      </c>
      <c r="EU20" s="955">
        <v>0.92624702820778404</v>
      </c>
      <c r="EV20" s="955">
        <v>20.98557013574661</v>
      </c>
      <c r="EW20" s="955">
        <v>21.702998214060766</v>
      </c>
      <c r="EX20" s="955">
        <v>6.5291294117647052</v>
      </c>
      <c r="EY20" s="955">
        <v>8.598936566119024E-2</v>
      </c>
      <c r="EZ20" s="955">
        <v>0</v>
      </c>
      <c r="FA20" s="955">
        <v>0</v>
      </c>
      <c r="FB20" s="955">
        <v>36.806635294117648</v>
      </c>
      <c r="FC20" s="956">
        <v>91.829878273797078</v>
      </c>
      <c r="FD20" s="954">
        <v>13.053000000000001</v>
      </c>
      <c r="FE20" s="955">
        <v>3.711611856195888</v>
      </c>
      <c r="FF20" s="955">
        <v>10.761600000000001</v>
      </c>
      <c r="FG20" s="955">
        <v>9.5665871434487695</v>
      </c>
      <c r="FH20" s="955">
        <v>8.45968778280543</v>
      </c>
      <c r="FI20" s="955">
        <v>6.3419163073650324</v>
      </c>
      <c r="FJ20" s="955">
        <v>8.1961411764705883</v>
      </c>
      <c r="FK20" s="955">
        <v>2.5548558719017724</v>
      </c>
      <c r="FL20" s="955">
        <v>0</v>
      </c>
      <c r="FM20" s="955">
        <v>0</v>
      </c>
      <c r="FN20" s="955">
        <v>45.534729411764701</v>
      </c>
      <c r="FO20" s="956">
        <v>187.92807484084054</v>
      </c>
      <c r="FP20" s="954">
        <v>26.477799999999998</v>
      </c>
      <c r="FQ20" s="955">
        <v>23.312033823353421</v>
      </c>
      <c r="FR20" s="955">
        <v>8.208000000000002</v>
      </c>
      <c r="FS20" s="955">
        <v>0.62153226313690879</v>
      </c>
      <c r="FT20" s="955">
        <v>21.181523076923074</v>
      </c>
      <c r="FU20" s="955">
        <v>22.702673509515172</v>
      </c>
      <c r="FV20" s="955">
        <v>6.2512941176470589</v>
      </c>
      <c r="FW20" s="955">
        <v>4.9222259562890315E-2</v>
      </c>
      <c r="FX20" s="955">
        <v>0</v>
      </c>
      <c r="FY20" s="955">
        <v>0</v>
      </c>
      <c r="FZ20" s="955">
        <v>35.351952941176471</v>
      </c>
      <c r="GA20" s="956">
        <v>87.935529456510437</v>
      </c>
      <c r="GB20" s="954">
        <v>25.414279999999998</v>
      </c>
      <c r="GC20" s="955">
        <v>22.233317643313693</v>
      </c>
      <c r="GD20" s="955">
        <v>8.208000000000002</v>
      </c>
      <c r="GE20" s="955">
        <v>0.91016635048763728</v>
      </c>
      <c r="GF20" s="955">
        <v>19.928073665158369</v>
      </c>
      <c r="GG20" s="955">
        <v>21.62890393035703</v>
      </c>
      <c r="GH20" s="955">
        <v>6.2512941176470589</v>
      </c>
      <c r="GI20" s="955">
        <v>8.3731919297607024E-2</v>
      </c>
      <c r="GJ20" s="955">
        <v>0</v>
      </c>
      <c r="GK20" s="955">
        <v>0</v>
      </c>
      <c r="GL20" s="955">
        <v>35.351952941176471</v>
      </c>
      <c r="GM20" s="956">
        <v>92.459064650578568</v>
      </c>
      <c r="GN20" s="954">
        <v>25.521720000000002</v>
      </c>
      <c r="GO20" s="955">
        <v>15.935537126708216</v>
      </c>
      <c r="GP20" s="955">
        <v>8.9680000000000017</v>
      </c>
      <c r="GQ20" s="955">
        <v>1.4702370097769129</v>
      </c>
      <c r="GR20" s="955">
        <v>20.00941954751131</v>
      </c>
      <c r="GS20" s="955">
        <v>16.893625684092434</v>
      </c>
      <c r="GT20" s="955">
        <v>6.8301176470588238</v>
      </c>
      <c r="GU20" s="955">
        <v>0.16224915060661532</v>
      </c>
      <c r="GV20" s="955">
        <v>0</v>
      </c>
      <c r="GW20" s="955">
        <v>0</v>
      </c>
      <c r="GX20" s="955">
        <v>38.382541176470589</v>
      </c>
      <c r="GY20" s="956">
        <v>114.46703985109193</v>
      </c>
      <c r="GZ20" s="954">
        <v>23.017800000000001</v>
      </c>
      <c r="HA20" s="955">
        <v>14.256116395090405</v>
      </c>
      <c r="HB20" s="955">
        <v>8.998400000000002</v>
      </c>
      <c r="HC20" s="955">
        <v>1.4978993575967949</v>
      </c>
      <c r="HD20" s="955">
        <v>17.902699547511311</v>
      </c>
      <c r="HE20" s="955">
        <v>15.708117144832702</v>
      </c>
      <c r="HF20" s="955">
        <v>6.8532705882352944</v>
      </c>
      <c r="HG20" s="955">
        <v>0.16326996727476173</v>
      </c>
      <c r="HH20" s="955">
        <v>0</v>
      </c>
      <c r="HI20" s="955">
        <v>0</v>
      </c>
      <c r="HJ20" s="955">
        <v>38.503764705882354</v>
      </c>
      <c r="HK20" s="956">
        <v>119.97536423138045</v>
      </c>
      <c r="HL20" s="954">
        <v>26.757280000000002</v>
      </c>
      <c r="HM20" s="955">
        <v>32.542756022372593</v>
      </c>
      <c r="HN20" s="955">
        <v>6.475200000000001</v>
      </c>
      <c r="HO20" s="955">
        <v>9.1225008770589311E-2</v>
      </c>
      <c r="HP20" s="955">
        <v>20.944897194570135</v>
      </c>
      <c r="HQ20" s="955">
        <v>29.491861021142753</v>
      </c>
      <c r="HR20" s="955">
        <v>4.9315764705882348</v>
      </c>
      <c r="HS20" s="955">
        <v>4.3645869486183542E-3</v>
      </c>
      <c r="HT20" s="955">
        <v>35.817181512605039</v>
      </c>
      <c r="HU20" s="955">
        <v>5.0424491102260998</v>
      </c>
      <c r="HV20" s="955">
        <v>28.442211764705888</v>
      </c>
      <c r="HW20" s="956">
        <v>62.494690502787137</v>
      </c>
      <c r="HX20" s="954">
        <v>26.864719999999998</v>
      </c>
      <c r="HY20" s="955">
        <v>32.902982444642461</v>
      </c>
      <c r="HZ20" s="955">
        <v>6.3232000000000017</v>
      </c>
      <c r="IA20" s="955">
        <v>9.0651247392135162E-2</v>
      </c>
      <c r="IB20" s="955">
        <v>21.443828959276015</v>
      </c>
      <c r="IC20" s="955">
        <v>29.711156199523966</v>
      </c>
      <c r="ID20" s="955">
        <v>4.8158117647058827</v>
      </c>
      <c r="IE20" s="955">
        <v>4.3142703316629656E-3</v>
      </c>
      <c r="IF20" s="955">
        <v>36.118028571428574</v>
      </c>
      <c r="IG20" s="955">
        <v>5.6714817445821293</v>
      </c>
      <c r="IH20" s="955">
        <v>27.836094117647065</v>
      </c>
      <c r="II20" s="956">
        <v>62.133056242681576</v>
      </c>
      <c r="IJ20" s="954">
        <v>27.724240000000002</v>
      </c>
      <c r="IK20" s="955">
        <v>24.723493210884932</v>
      </c>
      <c r="IL20" s="955">
        <v>8.0256000000000007</v>
      </c>
      <c r="IM20" s="955">
        <v>0.5384227732834399</v>
      </c>
      <c r="IN20" s="955">
        <v>21.677010135746606</v>
      </c>
      <c r="IO20" s="955">
        <v>23.719677306803511</v>
      </c>
      <c r="IP20" s="955">
        <v>6.1123764705882353</v>
      </c>
      <c r="IQ20" s="955">
        <v>4.0400805478553181E-2</v>
      </c>
      <c r="IR20" s="955">
        <v>38.524805042016808</v>
      </c>
      <c r="IS20" s="955">
        <v>8.0328825362300113E-2</v>
      </c>
      <c r="IT20" s="955">
        <v>34.624611764705882</v>
      </c>
      <c r="IU20" s="956">
        <v>83.997355021811913</v>
      </c>
      <c r="IV20" s="954">
        <v>27.187040000000003</v>
      </c>
      <c r="IW20" s="955">
        <v>31.045335021276703</v>
      </c>
      <c r="IX20" s="955">
        <v>6.9920000000000009</v>
      </c>
      <c r="IY20" s="955">
        <v>0.34864005108434498</v>
      </c>
      <c r="IZ20" s="955">
        <v>21.270280723981902</v>
      </c>
      <c r="JA20" s="955">
        <v>28.005195070700101</v>
      </c>
      <c r="JB20" s="955">
        <v>5.3251764705882358</v>
      </c>
      <c r="JC20" s="955">
        <v>2.2681650291963625E-2</v>
      </c>
      <c r="JD20" s="955">
        <v>37.02056974789916</v>
      </c>
      <c r="JE20" s="955">
        <v>5.2150673680261246</v>
      </c>
      <c r="JF20" s="955">
        <v>30.503011764705882</v>
      </c>
      <c r="JG20" s="956">
        <v>69.768207794104868</v>
      </c>
      <c r="JH20" s="954">
        <v>25.3706</v>
      </c>
      <c r="JI20" s="955">
        <v>14.497576067783559</v>
      </c>
      <c r="JJ20" s="955">
        <v>8.998400000000002</v>
      </c>
      <c r="JK20" s="955">
        <v>1.8221897911440426</v>
      </c>
      <c r="JL20" s="955">
        <v>20.132299547511312</v>
      </c>
      <c r="JM20" s="955">
        <v>15.597179588006338</v>
      </c>
      <c r="JN20" s="955">
        <v>6.8532705882352944</v>
      </c>
      <c r="JO20" s="955">
        <v>0.21876766199203151</v>
      </c>
      <c r="JP20" s="955">
        <v>0</v>
      </c>
      <c r="JQ20" s="955">
        <v>0</v>
      </c>
      <c r="JR20" s="955">
        <v>38.503764705882354</v>
      </c>
      <c r="JS20" s="956">
        <v>121.16638177082852</v>
      </c>
      <c r="JT20" s="954">
        <v>26.166360000000001</v>
      </c>
      <c r="JU20" s="955">
        <v>26.253719347993147</v>
      </c>
      <c r="JV20" s="955">
        <v>7.7216000000000005</v>
      </c>
      <c r="JW20" s="955">
        <v>0.3398351161824727</v>
      </c>
      <c r="JX20" s="955">
        <v>20.497494841628956</v>
      </c>
      <c r="JY20" s="955">
        <v>25.064727569844678</v>
      </c>
      <c r="JZ20" s="955">
        <v>5.8808470588235293</v>
      </c>
      <c r="KA20" s="955">
        <v>2.2196839033173314E-2</v>
      </c>
      <c r="KB20" s="955">
        <v>34.16252268907563</v>
      </c>
      <c r="KC20" s="955">
        <v>1.4304258521688655</v>
      </c>
      <c r="KD20" s="955">
        <v>33.412376470588235</v>
      </c>
      <c r="KE20" s="956">
        <v>79.018353189063632</v>
      </c>
      <c r="KF20" s="954">
        <v>27.616800000000001</v>
      </c>
      <c r="KG20" s="955">
        <v>23.854827315220543</v>
      </c>
      <c r="KH20" s="955">
        <v>8.1168000000000013</v>
      </c>
      <c r="KI20" s="955">
        <v>0.60565756537767135</v>
      </c>
      <c r="KJ20" s="955">
        <v>21.595664253393664</v>
      </c>
      <c r="KK20" s="955">
        <v>23.064779444389867</v>
      </c>
      <c r="KL20" s="955">
        <v>6.1818352941176471</v>
      </c>
      <c r="KM20" s="955">
        <v>4.7400301881422857E-2</v>
      </c>
      <c r="KN20" s="955">
        <v>0</v>
      </c>
      <c r="KO20" s="955">
        <v>0</v>
      </c>
      <c r="KP20" s="955">
        <v>34.988282352941177</v>
      </c>
      <c r="KQ20" s="956">
        <v>86.688371396693086</v>
      </c>
      <c r="KR20" s="954">
        <v>26.754599999999996</v>
      </c>
      <c r="KS20" s="955">
        <v>19.561925729720542</v>
      </c>
      <c r="KT20" s="955">
        <v>8.2688000000000006</v>
      </c>
      <c r="KU20" s="955">
        <v>1.266964750697233</v>
      </c>
      <c r="KV20" s="955">
        <v>21.443828959276015</v>
      </c>
      <c r="KW20" s="955">
        <v>19.547276602868894</v>
      </c>
      <c r="KX20" s="955">
        <v>6.2975999999999992</v>
      </c>
      <c r="KY20" s="955">
        <v>0.13435123867135043</v>
      </c>
      <c r="KZ20" s="955">
        <v>0</v>
      </c>
      <c r="LA20" s="955">
        <v>0</v>
      </c>
      <c r="LB20" s="955">
        <v>35.5944</v>
      </c>
      <c r="LC20" s="956">
        <v>101.88871922979118</v>
      </c>
      <c r="LD20" s="954">
        <v>27.025879999999997</v>
      </c>
      <c r="LE20" s="955">
        <v>27.811996038954788</v>
      </c>
      <c r="LF20" s="955">
        <v>7.3872000000000018</v>
      </c>
      <c r="LG20" s="955">
        <v>0.19375805293010467</v>
      </c>
      <c r="LH20" s="955">
        <v>21.148261900452489</v>
      </c>
      <c r="LI20" s="955">
        <v>26.425911265627782</v>
      </c>
      <c r="LJ20" s="955">
        <v>5.6261647058823527</v>
      </c>
      <c r="LK20" s="955">
        <v>1.100881354602031E-2</v>
      </c>
      <c r="LL20" s="955">
        <v>36.569299159663856</v>
      </c>
      <c r="LM20" s="955">
        <v>2.1560076815655935</v>
      </c>
      <c r="LN20" s="955">
        <v>32.07891764705883</v>
      </c>
      <c r="LO20" s="956">
        <v>73.328176050404238</v>
      </c>
      <c r="LP20" s="954">
        <v>22.048999999999999</v>
      </c>
      <c r="LQ20" s="955">
        <v>17.637533356179453</v>
      </c>
      <c r="LR20" s="955">
        <v>8.4512000000000018</v>
      </c>
      <c r="LS20" s="955">
        <v>1.6723802057007671</v>
      </c>
      <c r="LT20" s="955">
        <v>16.984628959276016</v>
      </c>
      <c r="LU20" s="955">
        <v>18.077939154260179</v>
      </c>
      <c r="LV20" s="955">
        <v>6.4365176470588237</v>
      </c>
      <c r="LW20" s="955">
        <v>0.20482320463350287</v>
      </c>
      <c r="LX20" s="955">
        <v>0</v>
      </c>
      <c r="LY20" s="955">
        <v>0</v>
      </c>
      <c r="LZ20" s="955">
        <v>36.321741176470589</v>
      </c>
      <c r="MA20" s="956">
        <v>109.42780596021937</v>
      </c>
      <c r="MB20" s="954">
        <v>27.455639999999999</v>
      </c>
      <c r="MC20" s="955">
        <v>22.623971910516435</v>
      </c>
      <c r="MD20" s="955">
        <v>8.5424000000000024</v>
      </c>
      <c r="ME20" s="955">
        <v>0.59061275705450622</v>
      </c>
      <c r="MF20" s="955">
        <v>21.473645429864256</v>
      </c>
      <c r="MG20" s="955">
        <v>22.335787298272489</v>
      </c>
      <c r="MH20" s="955">
        <v>6.5059764705882355</v>
      </c>
      <c r="MI20" s="955">
        <v>4.5864004631854062E-2</v>
      </c>
      <c r="MJ20" s="955">
        <v>0</v>
      </c>
      <c r="MK20" s="955">
        <v>0</v>
      </c>
      <c r="ML20" s="955">
        <v>36.685411764705883</v>
      </c>
      <c r="MM20" s="956">
        <v>89.187823169601316</v>
      </c>
      <c r="MN20" s="954">
        <v>21.356999999999999</v>
      </c>
      <c r="MO20" s="955">
        <v>9.2614112893643803</v>
      </c>
      <c r="MP20" s="955">
        <v>11.430400000000002</v>
      </c>
      <c r="MQ20" s="955">
        <v>8.6675350364131347</v>
      </c>
      <c r="MR20" s="955">
        <v>16.328864253393665</v>
      </c>
      <c r="MS20" s="955">
        <v>10.919239309317243</v>
      </c>
      <c r="MT20" s="955">
        <v>8.7055058823529414</v>
      </c>
      <c r="MU20" s="955">
        <v>2.6026110194684913</v>
      </c>
      <c r="MV20" s="955">
        <v>0</v>
      </c>
      <c r="MW20" s="955">
        <v>0</v>
      </c>
      <c r="MX20" s="955">
        <v>48.201647058823532</v>
      </c>
      <c r="MY20" s="956">
        <v>164.09870135612215</v>
      </c>
      <c r="MZ20" s="954">
        <v>19.5578</v>
      </c>
      <c r="NA20" s="955">
        <v>10.674833763665749</v>
      </c>
      <c r="NB20" s="955">
        <v>9.3936000000000011</v>
      </c>
      <c r="NC20" s="955">
        <v>3.6677824957632184</v>
      </c>
      <c r="ND20" s="955">
        <v>14.623876018099546</v>
      </c>
      <c r="NE20" s="955">
        <v>12.099395386503289</v>
      </c>
      <c r="NF20" s="955">
        <v>7.1542588235294122</v>
      </c>
      <c r="NG20" s="955">
        <v>0.61422816275553338</v>
      </c>
      <c r="NH20" s="955">
        <v>0</v>
      </c>
      <c r="NI20" s="955">
        <v>0</v>
      </c>
      <c r="NJ20" s="955">
        <v>40.079670588235295</v>
      </c>
      <c r="NK20" s="956">
        <v>142.55250982949426</v>
      </c>
      <c r="NL20" s="954">
        <v>25.3706</v>
      </c>
      <c r="NM20" s="955">
        <v>20.223116790973965</v>
      </c>
      <c r="NN20" s="955">
        <v>8.9072000000000013</v>
      </c>
      <c r="NO20" s="955">
        <v>0.85371754029463742</v>
      </c>
      <c r="NP20" s="955">
        <v>20.132299547511312</v>
      </c>
      <c r="NQ20" s="955">
        <v>20.481040067495158</v>
      </c>
      <c r="NR20" s="955">
        <v>6.7838117647058827</v>
      </c>
      <c r="NS20" s="955">
        <v>7.5915628877404204E-2</v>
      </c>
      <c r="NT20" s="955">
        <v>0</v>
      </c>
      <c r="NU20" s="955">
        <v>0</v>
      </c>
      <c r="NV20" s="955">
        <v>38.14009411764706</v>
      </c>
      <c r="NW20" s="956">
        <v>97.249687714079954</v>
      </c>
      <c r="NX20" s="954">
        <v>26.477799999999998</v>
      </c>
      <c r="NY20" s="955">
        <v>23.972612521412323</v>
      </c>
      <c r="NZ20" s="955">
        <v>8.3600000000000012</v>
      </c>
      <c r="OA20" s="955">
        <v>0.67595697397157961</v>
      </c>
      <c r="OB20" s="955">
        <v>21.181523076923074</v>
      </c>
      <c r="OC20" s="955">
        <v>23.012196404342056</v>
      </c>
      <c r="OD20" s="955">
        <v>6.3670588235294119</v>
      </c>
      <c r="OE20" s="955">
        <v>5.5172438751055979E-2</v>
      </c>
      <c r="OF20" s="955">
        <v>0</v>
      </c>
      <c r="OG20" s="955">
        <v>0</v>
      </c>
      <c r="OH20" s="955">
        <v>35.958070588235294</v>
      </c>
      <c r="OI20" s="956">
        <v>86.948961940395748</v>
      </c>
      <c r="OJ20" s="954">
        <v>25.785800000000002</v>
      </c>
      <c r="OK20" s="955">
        <v>15.511510384417804</v>
      </c>
      <c r="OL20" s="955">
        <v>9.7280000000000015</v>
      </c>
      <c r="OM20" s="955">
        <v>3.4582138653701393</v>
      </c>
      <c r="ON20" s="955">
        <v>20.525758371040723</v>
      </c>
      <c r="OO20" s="955">
        <v>15.828010953529883</v>
      </c>
      <c r="OP20" s="955">
        <v>7.4089411764705879</v>
      </c>
      <c r="OQ20" s="955">
        <v>0.62429668724496434</v>
      </c>
      <c r="OR20" s="955">
        <v>0</v>
      </c>
      <c r="OS20" s="955">
        <v>0</v>
      </c>
      <c r="OT20" s="955">
        <v>41.413129411764707</v>
      </c>
      <c r="OU20" s="956">
        <v>125.33339467927198</v>
      </c>
      <c r="OV20" s="954">
        <v>26.616200000000003</v>
      </c>
      <c r="OW20" s="955">
        <v>26.644373615195889</v>
      </c>
      <c r="OX20" s="955">
        <v>7.9040000000000017</v>
      </c>
      <c r="OY20" s="955">
        <v>0.72338143120497933</v>
      </c>
      <c r="OZ20" s="955">
        <v>21.312676018099548</v>
      </c>
      <c r="PA20" s="955">
        <v>24.589090071230384</v>
      </c>
      <c r="PB20" s="955">
        <v>6.0197647058823538</v>
      </c>
      <c r="PC20" s="955">
        <v>6.1315129953690831E-2</v>
      </c>
      <c r="PD20" s="955">
        <v>34.012099159663862</v>
      </c>
      <c r="PE20" s="955">
        <v>1.3397281234942731</v>
      </c>
      <c r="PF20" s="955">
        <v>34.139717647058824</v>
      </c>
      <c r="PG20" s="956">
        <v>81.480618896556692</v>
      </c>
      <c r="PH20" s="954">
        <v>25.785800000000002</v>
      </c>
      <c r="PI20" s="955">
        <v>12.901955704075338</v>
      </c>
      <c r="PJ20" s="955">
        <v>11.004800000000003</v>
      </c>
      <c r="PK20" s="955">
        <v>6.2092670023405176</v>
      </c>
      <c r="PL20" s="955">
        <v>20.525758371040723</v>
      </c>
      <c r="PM20" s="955">
        <v>13.520721691823512</v>
      </c>
      <c r="PN20" s="955">
        <v>8.3813647058823531</v>
      </c>
      <c r="PO20" s="955">
        <v>1.6090012782582899</v>
      </c>
      <c r="PP20" s="955">
        <v>0</v>
      </c>
      <c r="PQ20" s="955">
        <v>0</v>
      </c>
      <c r="PR20" s="955">
        <v>46.504517647058833</v>
      </c>
      <c r="PS20" s="956">
        <v>143.86122081991337</v>
      </c>
      <c r="PT20" s="954">
        <v>28.26144</v>
      </c>
      <c r="PU20" s="955">
        <v>25.472410813587668</v>
      </c>
      <c r="PV20" s="955">
        <v>8.4512000000000018</v>
      </c>
      <c r="PW20" s="955">
        <v>0.47169956012206354</v>
      </c>
      <c r="PX20" s="955">
        <v>22.083739547511314</v>
      </c>
      <c r="PY20" s="955">
        <v>24.281359780041495</v>
      </c>
      <c r="PZ20" s="955">
        <v>6.4365176470588237</v>
      </c>
      <c r="QA20" s="955">
        <v>3.4002150026485566E-2</v>
      </c>
      <c r="QB20" s="955">
        <v>0</v>
      </c>
      <c r="QC20" s="955">
        <v>0</v>
      </c>
      <c r="QD20" s="955">
        <v>36.321741176470589</v>
      </c>
      <c r="QE20" s="956">
        <v>80.96200622911762</v>
      </c>
      <c r="QF20" s="954">
        <v>26.434960000000004</v>
      </c>
      <c r="QG20" s="955">
        <v>22.892914797987665</v>
      </c>
      <c r="QH20" s="955">
        <v>8.2992000000000008</v>
      </c>
      <c r="QI20" s="955">
        <v>0.73051332035996108</v>
      </c>
      <c r="QJ20" s="955">
        <v>20.788064253393664</v>
      </c>
      <c r="QK20" s="955">
        <v>22.267668360028729</v>
      </c>
      <c r="QL20" s="955">
        <v>6.3207529411764707</v>
      </c>
      <c r="QM20" s="955">
        <v>6.1415499649273904E-2</v>
      </c>
      <c r="QN20" s="955">
        <v>0</v>
      </c>
      <c r="QO20" s="955">
        <v>0</v>
      </c>
      <c r="QP20" s="955">
        <v>35.715623529411772</v>
      </c>
      <c r="QQ20" s="956">
        <v>89.880330858896812</v>
      </c>
      <c r="QR20" s="954">
        <v>23.156200000000002</v>
      </c>
      <c r="QS20" s="955">
        <v>11.942006273612323</v>
      </c>
      <c r="QT20" s="955">
        <v>9.4544000000000032</v>
      </c>
      <c r="QU20" s="955">
        <v>3.6540214828872939</v>
      </c>
      <c r="QV20" s="955">
        <v>18.033852488687781</v>
      </c>
      <c r="QW20" s="955">
        <v>13.197066347501345</v>
      </c>
      <c r="QX20" s="955">
        <v>7.2005647058823534</v>
      </c>
      <c r="QY20" s="955">
        <v>0.63533639587593782</v>
      </c>
      <c r="QZ20" s="955">
        <v>0</v>
      </c>
      <c r="RA20" s="955">
        <v>0</v>
      </c>
      <c r="RB20" s="955">
        <v>40.322117647058825</v>
      </c>
      <c r="RC20" s="956">
        <v>137.73686249634412</v>
      </c>
      <c r="RD20" s="954">
        <v>27.133320000000001</v>
      </c>
      <c r="RE20" s="955">
        <v>23.823417926902739</v>
      </c>
      <c r="RF20" s="955">
        <v>8.4208000000000016</v>
      </c>
      <c r="RG20" s="955">
        <v>0.64465117858894161</v>
      </c>
      <c r="RH20" s="955">
        <v>21.229607782805431</v>
      </c>
      <c r="RI20" s="955">
        <v>22.976941866128186</v>
      </c>
      <c r="RJ20" s="955">
        <v>6.4133647058823531</v>
      </c>
      <c r="RK20" s="955">
        <v>5.170189624318268E-2</v>
      </c>
      <c r="RL20" s="955">
        <v>0</v>
      </c>
      <c r="RM20" s="955">
        <v>0</v>
      </c>
      <c r="RN20" s="955">
        <v>36.200517647058824</v>
      </c>
      <c r="RO20" s="956">
        <v>87.037026608945624</v>
      </c>
      <c r="RP20" s="954">
        <v>26.596120000000003</v>
      </c>
      <c r="RQ20" s="955">
        <v>23.643795487460274</v>
      </c>
      <c r="RR20" s="955">
        <v>8.3600000000000012</v>
      </c>
      <c r="RS20" s="955">
        <v>0.5825805913929244</v>
      </c>
      <c r="RT20" s="955">
        <v>20.822878371040723</v>
      </c>
      <c r="RU20" s="955">
        <v>22.9733566588522</v>
      </c>
      <c r="RV20" s="955">
        <v>6.3670588235294119</v>
      </c>
      <c r="RW20" s="955">
        <v>4.4989952065780998E-2</v>
      </c>
      <c r="RX20" s="955">
        <v>0</v>
      </c>
      <c r="RY20" s="955">
        <v>0</v>
      </c>
      <c r="RZ20" s="955">
        <v>35.958070588235294</v>
      </c>
      <c r="SA20" s="956">
        <v>86.712530981456084</v>
      </c>
    </row>
    <row r="21" spans="1:495">
      <c r="A21" s="961">
        <f>[3]Eingabedaten!A23</f>
        <v>5.0199999999999996</v>
      </c>
      <c r="B21" s="169" t="str">
        <f>[3]Eingabedaten!C23</f>
        <v>Fachgeschäft</v>
      </c>
      <c r="C21" s="987">
        <f t="shared" si="1"/>
        <v>15</v>
      </c>
      <c r="D21" s="954" cm="1">
        <f t="array" ref="D21">INDEX($P$7:$SA$51,$C21,$G$3-1+D$2)</f>
        <v>26.596120000000003</v>
      </c>
      <c r="E21" s="955" cm="1">
        <f t="array" ref="E21">INDEX($P$7:$SA$51,$C21,$G$3-1+E$2)</f>
        <v>23.071192747734237</v>
      </c>
      <c r="F21" s="955" cm="1">
        <f t="array" ref="F21">INDEX($P$7:$SA$51,$C21,$G$3-1+F$2)</f>
        <v>8.3600000000000012</v>
      </c>
      <c r="G21" s="955" cm="1">
        <f t="array" ref="G21">INDEX($P$7:$SA$51,$C21,$G$3-1+G$2)</f>
        <v>0.64363818642413462</v>
      </c>
      <c r="H21" s="955" cm="1">
        <f t="array" ref="H21">INDEX($P$7:$SA$51,$C21,$G$3-1+H$2)</f>
        <v>20.822878371040723</v>
      </c>
      <c r="I21" s="955" cm="1">
        <f t="array" ref="I21">INDEX($P$7:$SA$51,$C21,$G$3-1+I$2)</f>
        <v>22.593356658852201</v>
      </c>
      <c r="J21" s="955" cm="1">
        <f t="array" ref="J21">INDEX($P$7:$SA$51,$C21,$G$3-1+J$2)</f>
        <v>6.3670588235294119</v>
      </c>
      <c r="K21" s="955" cm="1">
        <f t="array" ref="K21">INDEX($P$7:$SA$51,$C21,$G$3-1+K$2)</f>
        <v>4.957922207061384E-2</v>
      </c>
      <c r="L21" s="955" cm="1">
        <f t="array" ref="L21">INDEX($P$7:$SA$51,$C21,$G$3-1+L$2)</f>
        <v>0</v>
      </c>
      <c r="M21" s="955" cm="1">
        <f t="array" ref="M21">INDEX($P$7:$SA$51,$C21,$G$3-1+M$2)</f>
        <v>0</v>
      </c>
      <c r="N21" s="955" cm="1">
        <f t="array" ref="N21">INDEX($P$7:$SA$51,$C21,$G$3-1+N$2)</f>
        <v>35.958070588235294</v>
      </c>
      <c r="O21" s="956" cm="1">
        <f t="array" ref="O21">INDEX($P$7:$SA$51,$C21,$G$3-1+O$2)</f>
        <v>87.674473937548285</v>
      </c>
      <c r="P21" s="954">
        <v>22.1874</v>
      </c>
      <c r="Q21" s="955">
        <v>14.109898086398623</v>
      </c>
      <c r="R21" s="955">
        <v>9.1808000000000014</v>
      </c>
      <c r="S21" s="955">
        <v>1.6469494399583651</v>
      </c>
      <c r="T21" s="955">
        <v>17.11578190045249</v>
      </c>
      <c r="U21" s="955">
        <v>15.525908186676842</v>
      </c>
      <c r="V21" s="955">
        <v>6.9921882352941171</v>
      </c>
      <c r="W21" s="955">
        <v>0.18222891458473273</v>
      </c>
      <c r="X21" s="955">
        <v>0</v>
      </c>
      <c r="Y21" s="955">
        <v>0</v>
      </c>
      <c r="Z21" s="955">
        <v>39.231105882352935</v>
      </c>
      <c r="AA21" s="956">
        <v>120.32023861571734</v>
      </c>
      <c r="AB21" s="954">
        <v>26.757280000000002</v>
      </c>
      <c r="AC21" s="955">
        <v>24.957719133572592</v>
      </c>
      <c r="AD21" s="955">
        <v>7.7520000000000016</v>
      </c>
      <c r="AE21" s="955">
        <v>0.44050041735071049</v>
      </c>
      <c r="AF21" s="955">
        <v>20.944897194570135</v>
      </c>
      <c r="AG21" s="955">
        <v>24.114679612962732</v>
      </c>
      <c r="AH21" s="955">
        <v>5.9039999999999999</v>
      </c>
      <c r="AI21" s="955">
        <v>2.9759834248570292E-2</v>
      </c>
      <c r="AJ21" s="955">
        <v>35.817181512605039</v>
      </c>
      <c r="AK21" s="955">
        <v>7.4204636228671655E-2</v>
      </c>
      <c r="AL21" s="955">
        <v>33.5336</v>
      </c>
      <c r="AM21" s="956">
        <v>81.409272885899711</v>
      </c>
      <c r="AN21" s="954">
        <v>28.100280000000001</v>
      </c>
      <c r="AO21" s="955">
        <v>24.506209176504097</v>
      </c>
      <c r="AP21" s="955">
        <v>7.7824000000000009</v>
      </c>
      <c r="AQ21" s="955">
        <v>0.43576093167762353</v>
      </c>
      <c r="AR21" s="955">
        <v>21.961720723981902</v>
      </c>
      <c r="AS21" s="955">
        <v>23.828460565429751</v>
      </c>
      <c r="AT21" s="955">
        <v>5.9271529411764714</v>
      </c>
      <c r="AU21" s="955">
        <v>2.9574797803098265E-2</v>
      </c>
      <c r="AV21" s="955">
        <v>0</v>
      </c>
      <c r="AW21" s="955">
        <v>0</v>
      </c>
      <c r="AX21" s="955">
        <v>33.654823529411765</v>
      </c>
      <c r="AY21" s="956">
        <v>82.07338377203817</v>
      </c>
      <c r="AZ21" s="954">
        <v>27.724240000000002</v>
      </c>
      <c r="BA21" s="955">
        <v>25.919631650805471</v>
      </c>
      <c r="BB21" s="955">
        <v>8.0560000000000009</v>
      </c>
      <c r="BC21" s="955">
        <v>0.31357308814482227</v>
      </c>
      <c r="BD21" s="955">
        <v>21.677010135746606</v>
      </c>
      <c r="BE21" s="955">
        <v>25.007993759229517</v>
      </c>
      <c r="BF21" s="955">
        <v>6.1355294117647059</v>
      </c>
      <c r="BG21" s="955">
        <v>1.9127906435942619E-2</v>
      </c>
      <c r="BH21" s="955">
        <v>38.524805042016808</v>
      </c>
      <c r="BI21" s="955">
        <v>0.7832933731794729</v>
      </c>
      <c r="BJ21" s="955">
        <v>34.745835294117647</v>
      </c>
      <c r="BK21" s="956">
        <v>77.962874352198924</v>
      </c>
      <c r="BL21" s="954">
        <v>27.240760000000002</v>
      </c>
      <c r="BM21" s="955">
        <v>22.622627420820542</v>
      </c>
      <c r="BN21" s="955">
        <v>8.329600000000001</v>
      </c>
      <c r="BO21" s="955">
        <v>0.8118683043696191</v>
      </c>
      <c r="BP21" s="955">
        <v>21.310953665158369</v>
      </c>
      <c r="BQ21" s="955">
        <v>22.066331189282096</v>
      </c>
      <c r="BR21" s="955">
        <v>6.3439058823529413</v>
      </c>
      <c r="BS21" s="955">
        <v>6.8562454307034379E-2</v>
      </c>
      <c r="BT21" s="955">
        <v>0</v>
      </c>
      <c r="BU21" s="955">
        <v>0</v>
      </c>
      <c r="BV21" s="955">
        <v>35.83684705882353</v>
      </c>
      <c r="BW21" s="956">
        <v>90.200619930757483</v>
      </c>
      <c r="BX21" s="954">
        <v>27.724240000000002</v>
      </c>
      <c r="BY21" s="955">
        <v>24.031142178197253</v>
      </c>
      <c r="BZ21" s="955">
        <v>8.2384000000000022</v>
      </c>
      <c r="CA21" s="955">
        <v>0.58585571448137197</v>
      </c>
      <c r="CB21" s="955">
        <v>21.677010135746606</v>
      </c>
      <c r="CC21" s="955">
        <v>23.268570695829773</v>
      </c>
      <c r="CD21" s="955">
        <v>6.2744470588235295</v>
      </c>
      <c r="CE21" s="955">
        <v>4.3674318653164193E-2</v>
      </c>
      <c r="CF21" s="955">
        <v>0</v>
      </c>
      <c r="CG21" s="955">
        <v>0</v>
      </c>
      <c r="CH21" s="955">
        <v>35.473176470588236</v>
      </c>
      <c r="CI21" s="956">
        <v>85.117782501146522</v>
      </c>
      <c r="CJ21" s="954">
        <v>27.079599999999999</v>
      </c>
      <c r="CK21" s="955">
        <v>23.999732789879438</v>
      </c>
      <c r="CL21" s="955">
        <v>8.2688000000000006</v>
      </c>
      <c r="CM21" s="955">
        <v>0.61961695002032946</v>
      </c>
      <c r="CN21" s="955">
        <v>21.443828959276015</v>
      </c>
      <c r="CO21" s="955">
        <v>23.175355306654108</v>
      </c>
      <c r="CP21" s="955">
        <v>6.2975999999999992</v>
      </c>
      <c r="CQ21" s="955">
        <v>4.7260482926684153E-2</v>
      </c>
      <c r="CR21" s="955">
        <v>0</v>
      </c>
      <c r="CS21" s="955">
        <v>0</v>
      </c>
      <c r="CT21" s="955">
        <v>35.5944</v>
      </c>
      <c r="CU21" s="956">
        <v>84.97350356010827</v>
      </c>
      <c r="CV21" s="954">
        <v>19.4194</v>
      </c>
      <c r="CW21" s="955">
        <v>10.265208804601361</v>
      </c>
      <c r="CX21" s="955">
        <v>10.062400000000002</v>
      </c>
      <c r="CY21" s="955">
        <v>4.7191638113078005</v>
      </c>
      <c r="CZ21" s="955">
        <v>14.492723076923077</v>
      </c>
      <c r="DA21" s="955">
        <v>11.712898350799874</v>
      </c>
      <c r="DB21" s="955">
        <v>7.6636235294117654</v>
      </c>
      <c r="DC21" s="955">
        <v>0.92185206858626856</v>
      </c>
      <c r="DD21" s="955">
        <v>0</v>
      </c>
      <c r="DE21" s="955">
        <v>0</v>
      </c>
      <c r="DF21" s="955">
        <v>42.746588235294126</v>
      </c>
      <c r="DG21" s="956">
        <v>146.62952747318568</v>
      </c>
      <c r="DH21" s="954">
        <v>26.112639999999999</v>
      </c>
      <c r="DI21" s="955">
        <v>16.030778490709579</v>
      </c>
      <c r="DJ21" s="955">
        <v>9.0288000000000022</v>
      </c>
      <c r="DK21" s="955">
        <v>1.5640164930927409</v>
      </c>
      <c r="DL21" s="955">
        <v>20.456821900452486</v>
      </c>
      <c r="DM21" s="955">
        <v>16.839886653326122</v>
      </c>
      <c r="DN21" s="955">
        <v>6.876423529411765</v>
      </c>
      <c r="DO21" s="955">
        <v>0.17159215637203226</v>
      </c>
      <c r="DP21" s="955">
        <v>0</v>
      </c>
      <c r="DQ21" s="955">
        <v>0</v>
      </c>
      <c r="DR21" s="955">
        <v>38.624988235294119</v>
      </c>
      <c r="DS21" s="956">
        <v>113.93022277833373</v>
      </c>
      <c r="DT21" s="954">
        <v>26.477799999999998</v>
      </c>
      <c r="DU21" s="955">
        <v>15.546877601938345</v>
      </c>
      <c r="DV21" s="955">
        <v>9.4847999999999999</v>
      </c>
      <c r="DW21" s="955">
        <v>1.9527351484311006</v>
      </c>
      <c r="DX21" s="955">
        <v>21.181523076923074</v>
      </c>
      <c r="DY21" s="955">
        <v>16.317716821030853</v>
      </c>
      <c r="DZ21" s="955">
        <v>7.2237176470588231</v>
      </c>
      <c r="EA21" s="955">
        <v>0.24189772645614566</v>
      </c>
      <c r="EB21" s="955">
        <v>0</v>
      </c>
      <c r="EC21" s="955">
        <v>0</v>
      </c>
      <c r="ED21" s="955">
        <v>40.443341176470582</v>
      </c>
      <c r="EE21" s="956">
        <v>117.34529823228617</v>
      </c>
      <c r="EF21" s="954">
        <v>28.207720000000002</v>
      </c>
      <c r="EG21" s="955">
        <v>26.641066038730127</v>
      </c>
      <c r="EH21" s="955">
        <v>7.3568000000000007</v>
      </c>
      <c r="EI21" s="955">
        <v>0.30974587288771682</v>
      </c>
      <c r="EJ21" s="955">
        <v>22.043066606334843</v>
      </c>
      <c r="EK21" s="955">
        <v>25.465705221463875</v>
      </c>
      <c r="EL21" s="955">
        <v>5.6030117647058821</v>
      </c>
      <c r="EM21" s="955">
        <v>1.8777894671728253E-2</v>
      </c>
      <c r="EN21" s="955">
        <v>39.87861680672269</v>
      </c>
      <c r="EO21" s="955">
        <v>1.9623638459491493</v>
      </c>
      <c r="EP21" s="955">
        <v>31.957694117647058</v>
      </c>
      <c r="EQ21" s="956">
        <v>77.045012366003604</v>
      </c>
      <c r="ER21" s="954">
        <v>26.811</v>
      </c>
      <c r="ES21" s="955">
        <v>21.837392712875335</v>
      </c>
      <c r="ET21" s="955">
        <v>8.5728000000000009</v>
      </c>
      <c r="EU21" s="955">
        <v>1.0116536770833233</v>
      </c>
      <c r="EV21" s="955">
        <v>20.98557013574661</v>
      </c>
      <c r="EW21" s="955">
        <v>21.322998214060767</v>
      </c>
      <c r="EX21" s="955">
        <v>6.5291294117647052</v>
      </c>
      <c r="EY21" s="955">
        <v>9.4251169969688089E-2</v>
      </c>
      <c r="EZ21" s="955">
        <v>0</v>
      </c>
      <c r="FA21" s="955">
        <v>0</v>
      </c>
      <c r="FB21" s="955">
        <v>36.806635294117648</v>
      </c>
      <c r="FC21" s="956">
        <v>92.857932473447349</v>
      </c>
      <c r="FD21" s="954">
        <v>13.053000000000001</v>
      </c>
      <c r="FE21" s="955">
        <v>3.4575844589356111</v>
      </c>
      <c r="FF21" s="955">
        <v>10.761600000000001</v>
      </c>
      <c r="FG21" s="955">
        <v>9.9534656433831863</v>
      </c>
      <c r="FH21" s="955">
        <v>8.45968778280543</v>
      </c>
      <c r="FI21" s="955">
        <v>6.1503546635294191</v>
      </c>
      <c r="FJ21" s="955">
        <v>8.1961411764705883</v>
      </c>
      <c r="FK21" s="955">
        <v>2.6799858886896928</v>
      </c>
      <c r="FL21" s="955">
        <v>0</v>
      </c>
      <c r="FM21" s="955">
        <v>0</v>
      </c>
      <c r="FN21" s="955">
        <v>45.534729411764701</v>
      </c>
      <c r="FO21" s="956">
        <v>189.0680747660486</v>
      </c>
      <c r="FP21" s="954">
        <v>26.477799999999998</v>
      </c>
      <c r="FQ21" s="955">
        <v>22.739431083627395</v>
      </c>
      <c r="FR21" s="955">
        <v>8.208000000000002</v>
      </c>
      <c r="FS21" s="955">
        <v>0.6858725927210868</v>
      </c>
      <c r="FT21" s="955">
        <v>21.181523076923074</v>
      </c>
      <c r="FU21" s="955">
        <v>22.322673509515177</v>
      </c>
      <c r="FV21" s="955">
        <v>6.2512941176470589</v>
      </c>
      <c r="FW21" s="955">
        <v>5.4211847131490444E-2</v>
      </c>
      <c r="FX21" s="955">
        <v>0</v>
      </c>
      <c r="FY21" s="955">
        <v>0</v>
      </c>
      <c r="FZ21" s="955">
        <v>35.351952941176471</v>
      </c>
      <c r="GA21" s="956">
        <v>88.900351342026099</v>
      </c>
      <c r="GB21" s="954">
        <v>25.414279999999998</v>
      </c>
      <c r="GC21" s="955">
        <v>21.660714903587667</v>
      </c>
      <c r="GD21" s="955">
        <v>8.208000000000002</v>
      </c>
      <c r="GE21" s="955">
        <v>0.99436184523885385</v>
      </c>
      <c r="GF21" s="955">
        <v>19.928073665158369</v>
      </c>
      <c r="GG21" s="955">
        <v>21.248903930357031</v>
      </c>
      <c r="GH21" s="955">
        <v>6.2512941176470589</v>
      </c>
      <c r="GI21" s="955">
        <v>9.1791544980778239E-2</v>
      </c>
      <c r="GJ21" s="955">
        <v>0</v>
      </c>
      <c r="GK21" s="955">
        <v>0</v>
      </c>
      <c r="GL21" s="955">
        <v>35.351952941176471</v>
      </c>
      <c r="GM21" s="956">
        <v>93.462562953456668</v>
      </c>
      <c r="GN21" s="954">
        <v>25.521720000000002</v>
      </c>
      <c r="GO21" s="955">
        <v>15.489948085612324</v>
      </c>
      <c r="GP21" s="955">
        <v>8.9680000000000017</v>
      </c>
      <c r="GQ21" s="955">
        <v>1.5955990553142474</v>
      </c>
      <c r="GR21" s="955">
        <v>20.00941954751131</v>
      </c>
      <c r="GS21" s="955">
        <v>16.54589965669518</v>
      </c>
      <c r="GT21" s="955">
        <v>6.8301176470588238</v>
      </c>
      <c r="GU21" s="955">
        <v>0.17701512561000277</v>
      </c>
      <c r="GV21" s="955">
        <v>0</v>
      </c>
      <c r="GW21" s="955">
        <v>0</v>
      </c>
      <c r="GX21" s="955">
        <v>38.382541176470589</v>
      </c>
      <c r="GY21" s="956">
        <v>115.60539865091859</v>
      </c>
      <c r="GZ21" s="954">
        <v>23.017800000000001</v>
      </c>
      <c r="HA21" s="955">
        <v>13.810527353994512</v>
      </c>
      <c r="HB21" s="955">
        <v>8.998400000000002</v>
      </c>
      <c r="HC21" s="955">
        <v>1.6295867624932248</v>
      </c>
      <c r="HD21" s="955">
        <v>17.902699547511311</v>
      </c>
      <c r="HE21" s="955">
        <v>15.360391117435441</v>
      </c>
      <c r="HF21" s="955">
        <v>6.8532705882352944</v>
      </c>
      <c r="HG21" s="955">
        <v>0.1783096189773212</v>
      </c>
      <c r="HH21" s="955">
        <v>0</v>
      </c>
      <c r="HI21" s="955">
        <v>0</v>
      </c>
      <c r="HJ21" s="955">
        <v>38.503764705882354</v>
      </c>
      <c r="HK21" s="956">
        <v>121.11487795953211</v>
      </c>
      <c r="HL21" s="954">
        <v>26.757280000000002</v>
      </c>
      <c r="HM21" s="955">
        <v>31.847303967578068</v>
      </c>
      <c r="HN21" s="955">
        <v>6.475200000000001</v>
      </c>
      <c r="HO21" s="955">
        <v>0.10403094264302669</v>
      </c>
      <c r="HP21" s="955">
        <v>20.944897194570135</v>
      </c>
      <c r="HQ21" s="955">
        <v>29.111861021142762</v>
      </c>
      <c r="HR21" s="955">
        <v>4.9315764705882348</v>
      </c>
      <c r="HS21" s="955">
        <v>4.861626285850326E-3</v>
      </c>
      <c r="HT21" s="955">
        <v>35.817181512605039</v>
      </c>
      <c r="HU21" s="955">
        <v>4.7551066444726722</v>
      </c>
      <c r="HV21" s="955">
        <v>28.442211764705888</v>
      </c>
      <c r="HW21" s="956">
        <v>63.321619469689175</v>
      </c>
      <c r="HX21" s="954">
        <v>26.864719999999998</v>
      </c>
      <c r="HY21" s="955">
        <v>32.207530389847939</v>
      </c>
      <c r="HZ21" s="955">
        <v>6.3232000000000017</v>
      </c>
      <c r="IA21" s="955">
        <v>0.10336899491609881</v>
      </c>
      <c r="IB21" s="955">
        <v>21.443828959276015</v>
      </c>
      <c r="IC21" s="955">
        <v>29.331156199523974</v>
      </c>
      <c r="ID21" s="955">
        <v>4.8158117647058827</v>
      </c>
      <c r="IE21" s="955">
        <v>4.8055756017848566E-3</v>
      </c>
      <c r="IF21" s="955">
        <v>36.118028571428574</v>
      </c>
      <c r="IG21" s="955">
        <v>5.3841392788287026</v>
      </c>
      <c r="IH21" s="955">
        <v>27.836094117647065</v>
      </c>
      <c r="II21" s="956">
        <v>62.947167129661906</v>
      </c>
      <c r="IJ21" s="954">
        <v>27.724240000000002</v>
      </c>
      <c r="IK21" s="955">
        <v>24.150890471158895</v>
      </c>
      <c r="IL21" s="955">
        <v>8.0256000000000007</v>
      </c>
      <c r="IM21" s="955">
        <v>0.59536548779174803</v>
      </c>
      <c r="IN21" s="955">
        <v>21.677010135746606</v>
      </c>
      <c r="IO21" s="955">
        <v>23.339677306803519</v>
      </c>
      <c r="IP21" s="955">
        <v>6.1123764705882353</v>
      </c>
      <c r="IQ21" s="955">
        <v>4.4543928634189399E-2</v>
      </c>
      <c r="IR21" s="955">
        <v>0</v>
      </c>
      <c r="IS21" s="955">
        <v>0</v>
      </c>
      <c r="IT21" s="955">
        <v>34.624611764705882</v>
      </c>
      <c r="IU21" s="956">
        <v>84.934131444744153</v>
      </c>
      <c r="IV21" s="954">
        <v>27.187040000000003</v>
      </c>
      <c r="IW21" s="955">
        <v>30.4190265273315</v>
      </c>
      <c r="IX21" s="955">
        <v>6.9920000000000009</v>
      </c>
      <c r="IY21" s="955">
        <v>0.3879920796626618</v>
      </c>
      <c r="IZ21" s="955">
        <v>21.270280723981902</v>
      </c>
      <c r="JA21" s="955">
        <v>27.625195070700105</v>
      </c>
      <c r="JB21" s="955">
        <v>5.3251764705882358</v>
      </c>
      <c r="JC21" s="955">
        <v>2.5076313225886417E-2</v>
      </c>
      <c r="JD21" s="955">
        <v>37.02056974789916</v>
      </c>
      <c r="JE21" s="955">
        <v>4.9277249022726997</v>
      </c>
      <c r="JF21" s="955">
        <v>30.503011764705882</v>
      </c>
      <c r="JG21" s="956">
        <v>70.599125301230643</v>
      </c>
      <c r="JH21" s="954">
        <v>25.3706</v>
      </c>
      <c r="JI21" s="955">
        <v>14.051987026687662</v>
      </c>
      <c r="JJ21" s="955">
        <v>8.998400000000002</v>
      </c>
      <c r="JK21" s="955">
        <v>1.9710356798857505</v>
      </c>
      <c r="JL21" s="955">
        <v>20.132299547511312</v>
      </c>
      <c r="JM21" s="955">
        <v>15.278604245540585</v>
      </c>
      <c r="JN21" s="955">
        <v>6.8532705882352944</v>
      </c>
      <c r="JO21" s="955">
        <v>0.23806820323070427</v>
      </c>
      <c r="JP21" s="955">
        <v>0</v>
      </c>
      <c r="JQ21" s="955">
        <v>0</v>
      </c>
      <c r="JR21" s="955">
        <v>38.503764705882354</v>
      </c>
      <c r="JS21" s="956">
        <v>122.30571214031673</v>
      </c>
      <c r="JT21" s="954">
        <v>26.166360000000001</v>
      </c>
      <c r="JU21" s="955">
        <v>25.681116608267111</v>
      </c>
      <c r="JV21" s="955">
        <v>7.7216000000000005</v>
      </c>
      <c r="JW21" s="955">
        <v>0.37975528323348962</v>
      </c>
      <c r="JX21" s="955">
        <v>20.497494841628956</v>
      </c>
      <c r="JY21" s="955">
        <v>24.684727569844682</v>
      </c>
      <c r="JZ21" s="955">
        <v>5.8808470588235293</v>
      </c>
      <c r="KA21" s="955">
        <v>2.456831722008896E-2</v>
      </c>
      <c r="KB21" s="955">
        <v>34.16252268907563</v>
      </c>
      <c r="KC21" s="955">
        <v>1.2367820165524257</v>
      </c>
      <c r="KD21" s="955">
        <v>33.412376470588235</v>
      </c>
      <c r="KE21" s="956">
        <v>79.936370828289682</v>
      </c>
      <c r="KF21" s="954">
        <v>27.616800000000001</v>
      </c>
      <c r="KG21" s="955">
        <v>23.282224575494514</v>
      </c>
      <c r="KH21" s="955">
        <v>8.1168000000000013</v>
      </c>
      <c r="KI21" s="955">
        <v>0.66832360843399574</v>
      </c>
      <c r="KJ21" s="955">
        <v>21.595664253393664</v>
      </c>
      <c r="KK21" s="955">
        <v>22.684779444389871</v>
      </c>
      <c r="KL21" s="955">
        <v>6.1818352941176471</v>
      </c>
      <c r="KM21" s="955">
        <v>5.2210871343336435E-2</v>
      </c>
      <c r="KN21" s="955">
        <v>0</v>
      </c>
      <c r="KO21" s="955">
        <v>0</v>
      </c>
      <c r="KP21" s="955">
        <v>34.988282352941177</v>
      </c>
      <c r="KQ21" s="956">
        <v>87.637194855548145</v>
      </c>
      <c r="KR21" s="954">
        <v>26.754599999999996</v>
      </c>
      <c r="KS21" s="955">
        <v>19.05178874341917</v>
      </c>
      <c r="KT21" s="955">
        <v>8.2688000000000006</v>
      </c>
      <c r="KU21" s="955">
        <v>1.3745720359229248</v>
      </c>
      <c r="KV21" s="955">
        <v>21.443828959276015</v>
      </c>
      <c r="KW21" s="955">
        <v>19.199550575471637</v>
      </c>
      <c r="KX21" s="955">
        <v>6.2975999999999992</v>
      </c>
      <c r="KY21" s="955">
        <v>0.14666964247466482</v>
      </c>
      <c r="KZ21" s="955">
        <v>0</v>
      </c>
      <c r="LA21" s="955">
        <v>0</v>
      </c>
      <c r="LB21" s="955">
        <v>35.5944</v>
      </c>
      <c r="LC21" s="956">
        <v>102.97737935496974</v>
      </c>
      <c r="LD21" s="954">
        <v>27.025879999999997</v>
      </c>
      <c r="LE21" s="955">
        <v>27.174845354023276</v>
      </c>
      <c r="LF21" s="955">
        <v>7.3872000000000018</v>
      </c>
      <c r="LG21" s="955">
        <v>0.21873490310121252</v>
      </c>
      <c r="LH21" s="955">
        <v>21.148261900452489</v>
      </c>
      <c r="LI21" s="955">
        <v>26.04591126562779</v>
      </c>
      <c r="LJ21" s="955">
        <v>5.6261647058823527</v>
      </c>
      <c r="LK21" s="955">
        <v>1.2225314329849584E-2</v>
      </c>
      <c r="LL21" s="955">
        <v>36.569299159663856</v>
      </c>
      <c r="LM21" s="955">
        <v>1.9623638459491537</v>
      </c>
      <c r="LN21" s="955">
        <v>32.07891764705883</v>
      </c>
      <c r="LO21" s="956">
        <v>74.226236104531779</v>
      </c>
      <c r="LP21" s="954">
        <v>22.048999999999999</v>
      </c>
      <c r="LQ21" s="955">
        <v>17.191944315083557</v>
      </c>
      <c r="LR21" s="955">
        <v>8.4512000000000018</v>
      </c>
      <c r="LS21" s="955">
        <v>1.8002048729166429</v>
      </c>
      <c r="LT21" s="955">
        <v>16.984628959276016</v>
      </c>
      <c r="LU21" s="955">
        <v>17.730213126862921</v>
      </c>
      <c r="LV21" s="955">
        <v>6.4365176470588237</v>
      </c>
      <c r="LW21" s="955">
        <v>0.22244799389291209</v>
      </c>
      <c r="LX21" s="955">
        <v>0</v>
      </c>
      <c r="LY21" s="955">
        <v>0</v>
      </c>
      <c r="LZ21" s="955">
        <v>36.321741176470589</v>
      </c>
      <c r="MA21" s="956">
        <v>110.56048981400828</v>
      </c>
      <c r="MB21" s="954">
        <v>27.455639999999999</v>
      </c>
      <c r="MC21" s="955">
        <v>22.051369170790405</v>
      </c>
      <c r="MD21" s="955">
        <v>8.5424000000000024</v>
      </c>
      <c r="ME21" s="955">
        <v>0.65258852075234508</v>
      </c>
      <c r="MF21" s="955">
        <v>21.473645429864256</v>
      </c>
      <c r="MG21" s="955">
        <v>21.955787298272497</v>
      </c>
      <c r="MH21" s="955">
        <v>6.5059764705882355</v>
      </c>
      <c r="MI21" s="955">
        <v>5.0541506554129749E-2</v>
      </c>
      <c r="MJ21" s="955">
        <v>0</v>
      </c>
      <c r="MK21" s="955">
        <v>0</v>
      </c>
      <c r="ML21" s="955">
        <v>36.685411764705883</v>
      </c>
      <c r="MM21" s="956">
        <v>90.182709862252509</v>
      </c>
      <c r="MN21" s="954">
        <v>21.356999999999999</v>
      </c>
      <c r="MO21" s="955">
        <v>8.883376004727392</v>
      </c>
      <c r="MP21" s="955">
        <v>11.430400000000002</v>
      </c>
      <c r="MQ21" s="955">
        <v>8.9732022658147379</v>
      </c>
      <c r="MR21" s="955">
        <v>16.328864253393665</v>
      </c>
      <c r="MS21" s="955">
        <v>10.6964447887693</v>
      </c>
      <c r="MT21" s="955">
        <v>8.7055058823529414</v>
      </c>
      <c r="MU21" s="955">
        <v>2.7069366968298385</v>
      </c>
      <c r="MV21" s="955">
        <v>0</v>
      </c>
      <c r="MW21" s="955">
        <v>0</v>
      </c>
      <c r="MX21" s="955">
        <v>48.201647058823532</v>
      </c>
      <c r="MY21" s="956">
        <v>165.23869369101558</v>
      </c>
      <c r="MZ21" s="954">
        <v>19.5578</v>
      </c>
      <c r="NA21" s="955">
        <v>10.291710475994513</v>
      </c>
      <c r="NB21" s="955">
        <v>9.3936000000000011</v>
      </c>
      <c r="NC21" s="955">
        <v>3.900790143583452</v>
      </c>
      <c r="ND21" s="955">
        <v>14.623876018099546</v>
      </c>
      <c r="NE21" s="955">
        <v>11.813094016640283</v>
      </c>
      <c r="NF21" s="955">
        <v>7.1542588235294122</v>
      </c>
      <c r="NG21" s="955">
        <v>0.65946654790661086</v>
      </c>
      <c r="NH21" s="955">
        <v>0</v>
      </c>
      <c r="NI21" s="955">
        <v>0</v>
      </c>
      <c r="NJ21" s="955">
        <v>40.079670588235295</v>
      </c>
      <c r="NK21" s="956">
        <v>143.69247893973414</v>
      </c>
      <c r="NL21" s="954">
        <v>25.3706</v>
      </c>
      <c r="NM21" s="955">
        <v>19.655437925152047</v>
      </c>
      <c r="NN21" s="955">
        <v>8.9072000000000013</v>
      </c>
      <c r="NO21" s="955">
        <v>0.93632952043427042</v>
      </c>
      <c r="NP21" s="955">
        <v>20.132299547511312</v>
      </c>
      <c r="NQ21" s="955">
        <v>20.101040067495163</v>
      </c>
      <c r="NR21" s="955">
        <v>6.7838117647058827</v>
      </c>
      <c r="NS21" s="955">
        <v>8.3358446198788946E-2</v>
      </c>
      <c r="NT21" s="955">
        <v>0</v>
      </c>
      <c r="NU21" s="955">
        <v>0</v>
      </c>
      <c r="NV21" s="955">
        <v>38.14009411764706</v>
      </c>
      <c r="NW21" s="956">
        <v>98.339452216628032</v>
      </c>
      <c r="NX21" s="954">
        <v>26.477799999999998</v>
      </c>
      <c r="NY21" s="955">
        <v>23.40000978168629</v>
      </c>
      <c r="NZ21" s="955">
        <v>8.3600000000000012</v>
      </c>
      <c r="OA21" s="955">
        <v>0.74415450745278611</v>
      </c>
      <c r="OB21" s="955">
        <v>21.181523076923074</v>
      </c>
      <c r="OC21" s="955">
        <v>22.632196404342057</v>
      </c>
      <c r="OD21" s="955">
        <v>6.3670588235294119</v>
      </c>
      <c r="OE21" s="955">
        <v>6.070607014761463E-2</v>
      </c>
      <c r="OF21" s="955">
        <v>0</v>
      </c>
      <c r="OG21" s="955">
        <v>0</v>
      </c>
      <c r="OH21" s="955">
        <v>35.958070588235294</v>
      </c>
      <c r="OI21" s="956">
        <v>87.896042962296704</v>
      </c>
      <c r="OJ21" s="954">
        <v>25.785800000000002</v>
      </c>
      <c r="OK21" s="955">
        <v>15.065921343321909</v>
      </c>
      <c r="OL21" s="955">
        <v>9.7280000000000015</v>
      </c>
      <c r="OM21" s="955">
        <v>3.6572570461783296</v>
      </c>
      <c r="ON21" s="955">
        <v>20.525758371040723</v>
      </c>
      <c r="OO21" s="955">
        <v>15.541709583666876</v>
      </c>
      <c r="OP21" s="955">
        <v>7.4089411764705879</v>
      </c>
      <c r="OQ21" s="955">
        <v>0.66738427168526093</v>
      </c>
      <c r="OR21" s="955">
        <v>0</v>
      </c>
      <c r="OS21" s="955">
        <v>0</v>
      </c>
      <c r="OT21" s="955">
        <v>41.413129411764707</v>
      </c>
      <c r="OU21" s="956">
        <v>126.47212230836962</v>
      </c>
      <c r="OV21" s="954">
        <v>26.616200000000003</v>
      </c>
      <c r="OW21" s="955">
        <v>26.071770875469852</v>
      </c>
      <c r="OX21" s="955">
        <v>7.9040000000000017</v>
      </c>
      <c r="OY21" s="955">
        <v>0.79358660400441194</v>
      </c>
      <c r="OZ21" s="955">
        <v>21.312676018099548</v>
      </c>
      <c r="PA21" s="955">
        <v>24.209090071230392</v>
      </c>
      <c r="PB21" s="955">
        <v>6.0197647058823538</v>
      </c>
      <c r="PC21" s="955">
        <v>6.7364466417624891E-2</v>
      </c>
      <c r="PD21" s="955">
        <v>34.012099159663862</v>
      </c>
      <c r="PE21" s="955">
        <v>1.1460842878778335</v>
      </c>
      <c r="PF21" s="955">
        <v>34.139717647058824</v>
      </c>
      <c r="PG21" s="956">
        <v>82.365829285835403</v>
      </c>
      <c r="PH21" s="954">
        <v>25.785800000000002</v>
      </c>
      <c r="PI21" s="955">
        <v>12.518832416404104</v>
      </c>
      <c r="PJ21" s="955">
        <v>11.004800000000003</v>
      </c>
      <c r="PK21" s="955">
        <v>6.4679403061674634</v>
      </c>
      <c r="PL21" s="955">
        <v>20.525758371040723</v>
      </c>
      <c r="PM21" s="955">
        <v>13.265653198672833</v>
      </c>
      <c r="PN21" s="955">
        <v>8.3813647058823531</v>
      </c>
      <c r="PO21" s="955">
        <v>1.687379694910381</v>
      </c>
      <c r="PP21" s="955">
        <v>0</v>
      </c>
      <c r="PQ21" s="955">
        <v>0</v>
      </c>
      <c r="PR21" s="955">
        <v>46.504517647058833</v>
      </c>
      <c r="PS21" s="956">
        <v>145.00097617351159</v>
      </c>
      <c r="PT21" s="954">
        <v>28.26144</v>
      </c>
      <c r="PU21" s="955">
        <v>24.899808073861635</v>
      </c>
      <c r="PV21" s="955">
        <v>8.4512000000000018</v>
      </c>
      <c r="PW21" s="955">
        <v>0.52332093018047876</v>
      </c>
      <c r="PX21" s="955">
        <v>22.083739547511314</v>
      </c>
      <c r="PY21" s="955">
        <v>23.901359780041499</v>
      </c>
      <c r="PZ21" s="955">
        <v>6.4365176470588237</v>
      </c>
      <c r="QA21" s="955">
        <v>3.7535887819483263E-2</v>
      </c>
      <c r="QB21" s="955">
        <v>0</v>
      </c>
      <c r="QC21" s="955">
        <v>0</v>
      </c>
      <c r="QD21" s="955">
        <v>36.321741176470589</v>
      </c>
      <c r="QE21" s="956">
        <v>81.902848035592825</v>
      </c>
      <c r="QF21" s="954">
        <v>26.434960000000004</v>
      </c>
      <c r="QG21" s="955">
        <v>22.320312058261635</v>
      </c>
      <c r="QH21" s="955">
        <v>8.2992000000000008</v>
      </c>
      <c r="QI21" s="955">
        <v>0.80344803186888081</v>
      </c>
      <c r="QJ21" s="955">
        <v>20.788064253393664</v>
      </c>
      <c r="QK21" s="955">
        <v>21.887668360028737</v>
      </c>
      <c r="QL21" s="955">
        <v>6.3207529411764707</v>
      </c>
      <c r="QM21" s="955">
        <v>6.7535784401150753E-2</v>
      </c>
      <c r="QN21" s="955">
        <v>0</v>
      </c>
      <c r="QO21" s="955">
        <v>0</v>
      </c>
      <c r="QP21" s="955">
        <v>35.715623529411772</v>
      </c>
      <c r="QQ21" s="956">
        <v>90.852287285657141</v>
      </c>
      <c r="QR21" s="954">
        <v>23.156200000000002</v>
      </c>
      <c r="QS21" s="955">
        <v>11.558882985941089</v>
      </c>
      <c r="QT21" s="955">
        <v>9.4544000000000032</v>
      </c>
      <c r="QU21" s="955">
        <v>3.8759834937181417</v>
      </c>
      <c r="QV21" s="955">
        <v>18.033852488687781</v>
      </c>
      <c r="QW21" s="955">
        <v>12.910764977638333</v>
      </c>
      <c r="QX21" s="955">
        <v>7.2005647058823534</v>
      </c>
      <c r="QY21" s="955">
        <v>0.68070969832865791</v>
      </c>
      <c r="QZ21" s="955">
        <v>0</v>
      </c>
      <c r="RA21" s="955">
        <v>0</v>
      </c>
      <c r="RB21" s="955">
        <v>40.322117647058825</v>
      </c>
      <c r="RC21" s="956">
        <v>138.87679320036563</v>
      </c>
      <c r="RD21" s="954">
        <v>27.133320000000001</v>
      </c>
      <c r="RE21" s="955">
        <v>23.250815187176702</v>
      </c>
      <c r="RF21" s="955">
        <v>8.4208000000000016</v>
      </c>
      <c r="RG21" s="955">
        <v>0.71051509088079634</v>
      </c>
      <c r="RH21" s="955">
        <v>21.229607782805431</v>
      </c>
      <c r="RI21" s="955">
        <v>22.596941866128187</v>
      </c>
      <c r="RJ21" s="955">
        <v>6.4133647058823531</v>
      </c>
      <c r="RK21" s="955">
        <v>5.6916096716567409E-2</v>
      </c>
      <c r="RL21" s="955">
        <v>0</v>
      </c>
      <c r="RM21" s="955">
        <v>0</v>
      </c>
      <c r="RN21" s="955">
        <v>36.200517647058824</v>
      </c>
      <c r="RO21" s="956">
        <v>87.986147099267384</v>
      </c>
      <c r="RP21" s="954">
        <v>26.596120000000003</v>
      </c>
      <c r="RQ21" s="955">
        <v>23.071192747734237</v>
      </c>
      <c r="RR21" s="955">
        <v>8.3600000000000012</v>
      </c>
      <c r="RS21" s="955">
        <v>0.64363818642413462</v>
      </c>
      <c r="RT21" s="955">
        <v>20.822878371040723</v>
      </c>
      <c r="RU21" s="955">
        <v>22.593356658852201</v>
      </c>
      <c r="RV21" s="955">
        <v>6.3670588235294119</v>
      </c>
      <c r="RW21" s="955">
        <v>4.957922207061384E-2</v>
      </c>
      <c r="RX21" s="955">
        <v>0</v>
      </c>
      <c r="RY21" s="955">
        <v>0</v>
      </c>
      <c r="RZ21" s="955">
        <v>35.958070588235294</v>
      </c>
      <c r="SA21" s="956">
        <v>87.674473937548285</v>
      </c>
    </row>
    <row r="22" spans="1:495">
      <c r="A22" s="966">
        <f>[3]Eingabedaten!A24</f>
        <v>5.03</v>
      </c>
      <c r="B22" s="169" t="str">
        <f>[3]Eingabedaten!C24</f>
        <v>Verkauf Möbel, Bau, Garten</v>
      </c>
      <c r="C22" s="987">
        <f t="shared" si="1"/>
        <v>16</v>
      </c>
      <c r="D22" s="954" cm="1">
        <f t="array" ref="D22">INDEX($P$7:$SA$51,$C22,$G$3-1+D$2)</f>
        <v>18.698784</v>
      </c>
      <c r="E22" s="955" cm="1">
        <f t="array" ref="E22">INDEX($P$7:$SA$51,$C22,$G$3-1+E$2)</f>
        <v>13.799540998208217</v>
      </c>
      <c r="F22" s="955" cm="1">
        <f t="array" ref="F22">INDEX($P$7:$SA$51,$C22,$G$3-1+F$2)</f>
        <v>8.3600000000000012</v>
      </c>
      <c r="G22" s="955" cm="1">
        <f t="array" ref="G22">INDEX($P$7:$SA$51,$C22,$G$3-1+G$2)</f>
        <v>1.7244472232910455</v>
      </c>
      <c r="H22" s="955" cm="1">
        <f t="array" ref="H22">INDEX($P$7:$SA$51,$C22,$G$3-1+H$2)</f>
        <v>13.884664422322775</v>
      </c>
      <c r="I22" s="955" cm="1">
        <f t="array" ref="I22">INDEX($P$7:$SA$51,$C22,$G$3-1+I$2)</f>
        <v>10.381431342261552</v>
      </c>
      <c r="J22" s="955" cm="1">
        <f t="array" ref="J22">INDEX($P$7:$SA$51,$C22,$G$3-1+J$2)</f>
        <v>6.3670588235294119</v>
      </c>
      <c r="K22" s="955" cm="1">
        <f t="array" ref="K22">INDEX($P$7:$SA$51,$C22,$G$3-1+K$2)</f>
        <v>1.0143891674095527</v>
      </c>
      <c r="L22" s="955" cm="1">
        <f t="array" ref="L22">INDEX($P$7:$SA$51,$C22,$G$3-1+L$2)</f>
        <v>0</v>
      </c>
      <c r="M22" s="955" cm="1">
        <f t="array" ref="M22">INDEX($P$7:$SA$51,$C22,$G$3-1+M$2)</f>
        <v>0</v>
      </c>
      <c r="N22" s="955" cm="1">
        <f t="array" ref="N22">INDEX($P$7:$SA$51,$C22,$G$3-1+N$2)</f>
        <v>35.958070588235294</v>
      </c>
      <c r="O22" s="956" cm="1">
        <f t="array" ref="O22">INDEX($P$7:$SA$51,$C22,$G$3-1+O$2)</f>
        <v>92.225568513684308</v>
      </c>
      <c r="P22" s="954">
        <v>15.720266666666667</v>
      </c>
      <c r="Q22" s="955">
        <v>7.4740850435780803</v>
      </c>
      <c r="R22" s="955">
        <v>9.1808000000000014</v>
      </c>
      <c r="S22" s="955">
        <v>3.6277090076220606</v>
      </c>
      <c r="T22" s="955">
        <v>11.483263951734541</v>
      </c>
      <c r="U22" s="955">
        <v>5.9726801593636107</v>
      </c>
      <c r="V22" s="955">
        <v>6.9921882352941171</v>
      </c>
      <c r="W22" s="955">
        <v>2.2971154627843169</v>
      </c>
      <c r="X22" s="955">
        <v>0</v>
      </c>
      <c r="Y22" s="955">
        <v>0</v>
      </c>
      <c r="Z22" s="955">
        <v>39.231105882352935</v>
      </c>
      <c r="AA22" s="956">
        <v>123.33592393608197</v>
      </c>
      <c r="AB22" s="954">
        <v>18.816095999999998</v>
      </c>
      <c r="AC22" s="955">
        <v>14.987330282436526</v>
      </c>
      <c r="AD22" s="955">
        <v>7.7520000000000016</v>
      </c>
      <c r="AE22" s="955">
        <v>1.2976442953341136</v>
      </c>
      <c r="AF22" s="955">
        <v>13.970955245852187</v>
      </c>
      <c r="AG22" s="955">
        <v>11.294926693420473</v>
      </c>
      <c r="AH22" s="955">
        <v>5.9039999999999999</v>
      </c>
      <c r="AI22" s="955">
        <v>0.73397015945966981</v>
      </c>
      <c r="AJ22" s="955">
        <v>0</v>
      </c>
      <c r="AK22" s="955">
        <v>0</v>
      </c>
      <c r="AL22" s="955">
        <v>33.5336</v>
      </c>
      <c r="AM22" s="956">
        <v>85.813510713566345</v>
      </c>
      <c r="AN22" s="954">
        <v>19.793695999999997</v>
      </c>
      <c r="AO22" s="955">
        <v>14.658722375928765</v>
      </c>
      <c r="AP22" s="955">
        <v>7.7824000000000009</v>
      </c>
      <c r="AQ22" s="955">
        <v>1.3013045103833916</v>
      </c>
      <c r="AR22" s="955">
        <v>14.690045441930618</v>
      </c>
      <c r="AS22" s="955">
        <v>11.023974682483507</v>
      </c>
      <c r="AT22" s="955">
        <v>5.9271529411764714</v>
      </c>
      <c r="AU22" s="955">
        <v>0.73909698708859983</v>
      </c>
      <c r="AV22" s="955">
        <v>0</v>
      </c>
      <c r="AW22" s="955">
        <v>0</v>
      </c>
      <c r="AX22" s="955">
        <v>33.654823529411765</v>
      </c>
      <c r="AY22" s="956">
        <v>86.860411208046841</v>
      </c>
      <c r="AZ22" s="954">
        <v>19.519968000000002</v>
      </c>
      <c r="BA22" s="955">
        <v>15.691465224168034</v>
      </c>
      <c r="BB22" s="955">
        <v>8.0560000000000009</v>
      </c>
      <c r="BC22" s="955">
        <v>1.0090846929167756</v>
      </c>
      <c r="BD22" s="955">
        <v>14.488700187028657</v>
      </c>
      <c r="BE22" s="955">
        <v>11.7930345520211</v>
      </c>
      <c r="BF22" s="955">
        <v>6.1355294117647059</v>
      </c>
      <c r="BG22" s="955">
        <v>0.55036973835516623</v>
      </c>
      <c r="BH22" s="955">
        <v>0</v>
      </c>
      <c r="BI22" s="955">
        <v>0</v>
      </c>
      <c r="BJ22" s="955">
        <v>34.745835294117647</v>
      </c>
      <c r="BK22" s="956">
        <v>82.347317491246073</v>
      </c>
      <c r="BL22" s="954">
        <v>19.168032</v>
      </c>
      <c r="BM22" s="955">
        <v>13.54708404232694</v>
      </c>
      <c r="BN22" s="955">
        <v>8.329600000000001</v>
      </c>
      <c r="BO22" s="955">
        <v>2.0296773381410289</v>
      </c>
      <c r="BP22" s="955">
        <v>14.229827716440424</v>
      </c>
      <c r="BQ22" s="955">
        <v>10.189466127252219</v>
      </c>
      <c r="BR22" s="955">
        <v>6.3439058823529413</v>
      </c>
      <c r="BS22" s="955">
        <v>1.2142409627593207</v>
      </c>
      <c r="BT22" s="955">
        <v>0</v>
      </c>
      <c r="BU22" s="955">
        <v>0</v>
      </c>
      <c r="BV22" s="955">
        <v>35.83684705882353</v>
      </c>
      <c r="BW22" s="956">
        <v>94.535811273086381</v>
      </c>
      <c r="BX22" s="954">
        <v>19.519968000000002</v>
      </c>
      <c r="BY22" s="955">
        <v>14.48241637067397</v>
      </c>
      <c r="BZ22" s="955">
        <v>8.2384000000000022</v>
      </c>
      <c r="CA22" s="955">
        <v>1.6103270942707479</v>
      </c>
      <c r="CB22" s="955">
        <v>14.488700187028657</v>
      </c>
      <c r="CC22" s="955">
        <v>10.88905164030265</v>
      </c>
      <c r="CD22" s="955">
        <v>6.2744470588235295</v>
      </c>
      <c r="CE22" s="955">
        <v>0.9390678818588799</v>
      </c>
      <c r="CF22" s="955">
        <v>0</v>
      </c>
      <c r="CG22" s="955">
        <v>0</v>
      </c>
      <c r="CH22" s="955">
        <v>35.473176470588236</v>
      </c>
      <c r="CI22" s="956">
        <v>89.399852349271498</v>
      </c>
      <c r="CJ22" s="954">
        <v>19.050719999999998</v>
      </c>
      <c r="CK22" s="955">
        <v>14.381433588321455</v>
      </c>
      <c r="CL22" s="955">
        <v>8.2688000000000006</v>
      </c>
      <c r="CM22" s="955">
        <v>1.6711032507637043</v>
      </c>
      <c r="CN22" s="955">
        <v>14.143536892911012</v>
      </c>
      <c r="CO22" s="955">
        <v>10.821590119212219</v>
      </c>
      <c r="CP22" s="955">
        <v>6.2975999999999992</v>
      </c>
      <c r="CQ22" s="955">
        <v>0.97704998495557704</v>
      </c>
      <c r="CR22" s="955">
        <v>0</v>
      </c>
      <c r="CS22" s="955">
        <v>0</v>
      </c>
      <c r="CT22" s="955">
        <v>35.5944</v>
      </c>
      <c r="CU22" s="956">
        <v>89.685069185900488</v>
      </c>
      <c r="CV22" s="954">
        <v>14.034933333333333</v>
      </c>
      <c r="CW22" s="955">
        <v>4.6915257863780786</v>
      </c>
      <c r="CX22" s="955">
        <v>10.062400000000002</v>
      </c>
      <c r="CY22" s="955">
        <v>7.4779354159062912</v>
      </c>
      <c r="CZ22" s="955">
        <v>9.9428717948717953</v>
      </c>
      <c r="DA22" s="955">
        <v>3.9487475724477954</v>
      </c>
      <c r="DB22" s="955">
        <v>7.6636235294117654</v>
      </c>
      <c r="DC22" s="955">
        <v>4.8617051373007376</v>
      </c>
      <c r="DD22" s="955">
        <v>0</v>
      </c>
      <c r="DE22" s="955">
        <v>0</v>
      </c>
      <c r="DF22" s="955">
        <v>42.746588235294126</v>
      </c>
      <c r="DG22" s="956">
        <v>147.36311200155262</v>
      </c>
      <c r="DH22" s="954">
        <v>18.346847999999998</v>
      </c>
      <c r="DI22" s="955">
        <v>8.8952935460310467</v>
      </c>
      <c r="DJ22" s="955">
        <v>9.0288000000000022</v>
      </c>
      <c r="DK22" s="955">
        <v>3.4345391168414752</v>
      </c>
      <c r="DL22" s="955">
        <v>13.62579195173454</v>
      </c>
      <c r="DM22" s="955">
        <v>6.9221181242182537</v>
      </c>
      <c r="DN22" s="955">
        <v>6.876423529411765</v>
      </c>
      <c r="DO22" s="955">
        <v>2.1639346152802603</v>
      </c>
      <c r="DP22" s="955">
        <v>0</v>
      </c>
      <c r="DQ22" s="955">
        <v>0</v>
      </c>
      <c r="DR22" s="955">
        <v>38.624988235294119</v>
      </c>
      <c r="DS22" s="956">
        <v>117.49481106110721</v>
      </c>
      <c r="DT22" s="954">
        <v>18.33253333333333</v>
      </c>
      <c r="DU22" s="955">
        <v>8.4375601145479422</v>
      </c>
      <c r="DV22" s="955">
        <v>9.4847999999999999</v>
      </c>
      <c r="DW22" s="955">
        <v>3.9310462843822713</v>
      </c>
      <c r="DX22" s="955">
        <v>13.870871794871794</v>
      </c>
      <c r="DY22" s="955">
        <v>6.6163294261608154</v>
      </c>
      <c r="DZ22" s="955">
        <v>7.2237176470588231</v>
      </c>
      <c r="EA22" s="955">
        <v>2.490416949087098</v>
      </c>
      <c r="EB22" s="955">
        <v>0</v>
      </c>
      <c r="EC22" s="955">
        <v>0</v>
      </c>
      <c r="ED22" s="955">
        <v>40.443341176470582</v>
      </c>
      <c r="EE22" s="956">
        <v>120.61705450392705</v>
      </c>
      <c r="EF22" s="954">
        <v>19.871904000000001</v>
      </c>
      <c r="EG22" s="955">
        <v>16.250181438003651</v>
      </c>
      <c r="EH22" s="955">
        <v>7.3568000000000007</v>
      </c>
      <c r="EI22" s="955">
        <v>0.99540198593321927</v>
      </c>
      <c r="EJ22" s="955">
        <v>14.747572657616892</v>
      </c>
      <c r="EK22" s="955">
        <v>12.199462568426551</v>
      </c>
      <c r="EL22" s="955">
        <v>5.6030117647058821</v>
      </c>
      <c r="EM22" s="955">
        <v>0.54079812797358628</v>
      </c>
      <c r="EN22" s="955">
        <v>0</v>
      </c>
      <c r="EO22" s="955">
        <v>0</v>
      </c>
      <c r="EP22" s="955">
        <v>31.957694117647058</v>
      </c>
      <c r="EQ22" s="956">
        <v>81.302976702462203</v>
      </c>
      <c r="ER22" s="954">
        <v>18.8552</v>
      </c>
      <c r="ES22" s="955">
        <v>13.038859219667579</v>
      </c>
      <c r="ET22" s="955">
        <v>8.5728000000000009</v>
      </c>
      <c r="EU22" s="955">
        <v>2.3587843352533895</v>
      </c>
      <c r="EV22" s="955">
        <v>13.999718853695326</v>
      </c>
      <c r="EW22" s="955">
        <v>9.8499466686495705</v>
      </c>
      <c r="EX22" s="955">
        <v>6.5291294117647052</v>
      </c>
      <c r="EY22" s="955">
        <v>1.4311661449911408</v>
      </c>
      <c r="EZ22" s="955">
        <v>0</v>
      </c>
      <c r="FA22" s="955">
        <v>0</v>
      </c>
      <c r="FB22" s="955">
        <v>36.806635294117648</v>
      </c>
      <c r="FC22" s="956">
        <v>97.736469485643781</v>
      </c>
      <c r="FD22" s="954">
        <v>10.158666666666665</v>
      </c>
      <c r="FE22" s="955">
        <v>0.93563735294429007</v>
      </c>
      <c r="FF22" s="955">
        <v>10.761600000000001</v>
      </c>
      <c r="FG22" s="955">
        <v>13.479888239439665</v>
      </c>
      <c r="FH22" s="955">
        <v>6.3999698340874804</v>
      </c>
      <c r="FI22" s="955">
        <v>0.95514150613680293</v>
      </c>
      <c r="FJ22" s="955">
        <v>8.1961411764705883</v>
      </c>
      <c r="FK22" s="955">
        <v>8.8951527708549865</v>
      </c>
      <c r="FL22" s="955">
        <v>0</v>
      </c>
      <c r="FM22" s="955">
        <v>0</v>
      </c>
      <c r="FN22" s="955">
        <v>45.534729411764701</v>
      </c>
      <c r="FO22" s="956">
        <v>186.11884006808197</v>
      </c>
      <c r="FP22" s="954">
        <v>18.581472000000002</v>
      </c>
      <c r="FQ22" s="955">
        <v>13.622407265229221</v>
      </c>
      <c r="FR22" s="955">
        <v>8.208000000000002</v>
      </c>
      <c r="FS22" s="955">
        <v>1.8094195187341282</v>
      </c>
      <c r="FT22" s="955">
        <v>13.870871794871794</v>
      </c>
      <c r="FU22" s="955">
        <v>10.239785786426228</v>
      </c>
      <c r="FV22" s="955">
        <v>6.2512941176470589</v>
      </c>
      <c r="FW22" s="955">
        <v>1.0713011503928145</v>
      </c>
      <c r="FX22" s="955">
        <v>0</v>
      </c>
      <c r="FY22" s="955">
        <v>0</v>
      </c>
      <c r="FZ22" s="955">
        <v>35.351952941176471</v>
      </c>
      <c r="GA22" s="956">
        <v>93.403981435839086</v>
      </c>
      <c r="GB22" s="954">
        <v>17.838495999999999</v>
      </c>
      <c r="GC22" s="955">
        <v>12.91387233331324</v>
      </c>
      <c r="GD22" s="955">
        <v>8.208000000000002</v>
      </c>
      <c r="GE22" s="955">
        <v>2.3324911737198049</v>
      </c>
      <c r="GF22" s="955">
        <v>13.251865049773755</v>
      </c>
      <c r="GG22" s="955">
        <v>9.7664492122179745</v>
      </c>
      <c r="GH22" s="955">
        <v>6.2512941176470589</v>
      </c>
      <c r="GI22" s="955">
        <v>1.4143646565676513</v>
      </c>
      <c r="GJ22" s="955">
        <v>0</v>
      </c>
      <c r="GK22" s="955">
        <v>0</v>
      </c>
      <c r="GL22" s="955">
        <v>35.351952941176471</v>
      </c>
      <c r="GM22" s="956">
        <v>98.069678095320199</v>
      </c>
      <c r="GN22" s="954">
        <v>17.916703999999999</v>
      </c>
      <c r="GO22" s="955">
        <v>8.4640474017223717</v>
      </c>
      <c r="GP22" s="955">
        <v>8.9680000000000017</v>
      </c>
      <c r="GQ22" s="955">
        <v>3.4618976806039337</v>
      </c>
      <c r="GR22" s="955">
        <v>13.30939226546003</v>
      </c>
      <c r="GS22" s="955">
        <v>6.6340242513648642</v>
      </c>
      <c r="GT22" s="955">
        <v>6.8301176470588238</v>
      </c>
      <c r="GU22" s="955">
        <v>2.1816028558601466</v>
      </c>
      <c r="GV22" s="955">
        <v>0</v>
      </c>
      <c r="GW22" s="955">
        <v>0</v>
      </c>
      <c r="GX22" s="955">
        <v>38.382541176470589</v>
      </c>
      <c r="GY22" s="956">
        <v>119.02711830979293</v>
      </c>
      <c r="GZ22" s="954">
        <v>16.225866666666665</v>
      </c>
      <c r="HA22" s="955">
        <v>7.2961235828748832</v>
      </c>
      <c r="HB22" s="955">
        <v>8.998400000000002</v>
      </c>
      <c r="HC22" s="955">
        <v>3.6237532419936795</v>
      </c>
      <c r="HD22" s="955">
        <v>11.945381598793363</v>
      </c>
      <c r="HE22" s="955">
        <v>5.8537930525239208</v>
      </c>
      <c r="HF22" s="955">
        <v>6.8532705882352944</v>
      </c>
      <c r="HG22" s="955">
        <v>2.2962742739741167</v>
      </c>
      <c r="HH22" s="955">
        <v>0</v>
      </c>
      <c r="HI22" s="955">
        <v>0</v>
      </c>
      <c r="HJ22" s="955">
        <v>38.503764705882354</v>
      </c>
      <c r="HK22" s="956">
        <v>124.06148081534381</v>
      </c>
      <c r="HL22" s="954">
        <v>18.816095999999998</v>
      </c>
      <c r="HM22" s="955">
        <v>19.912837303879449</v>
      </c>
      <c r="HN22" s="955">
        <v>6.475200000000001</v>
      </c>
      <c r="HO22" s="955">
        <v>0.41916666862231156</v>
      </c>
      <c r="HP22" s="955">
        <v>13.970955245852187</v>
      </c>
      <c r="HQ22" s="955">
        <v>14.766871112876233</v>
      </c>
      <c r="HR22" s="955">
        <v>4.9315764705882348</v>
      </c>
      <c r="HS22" s="955">
        <v>0.19154291334236248</v>
      </c>
      <c r="HT22" s="955">
        <v>26.601629131652658</v>
      </c>
      <c r="HU22" s="955">
        <v>2.281927140542793</v>
      </c>
      <c r="HV22" s="955">
        <v>28.442211764705888</v>
      </c>
      <c r="HW22" s="956">
        <v>67.93730012288556</v>
      </c>
      <c r="HX22" s="954">
        <v>18.894303999999998</v>
      </c>
      <c r="HY22" s="955">
        <v>20.214130195488583</v>
      </c>
      <c r="HZ22" s="955">
        <v>6.3232000000000017</v>
      </c>
      <c r="IA22" s="955">
        <v>0.41649246716185517</v>
      </c>
      <c r="IB22" s="955">
        <v>14.028482461538461</v>
      </c>
      <c r="IC22" s="955">
        <v>14.968149749572268</v>
      </c>
      <c r="ID22" s="955">
        <v>4.8158117647058827</v>
      </c>
      <c r="IE22" s="955">
        <v>0.18939106086021307</v>
      </c>
      <c r="IF22" s="955">
        <v>26.848342857142857</v>
      </c>
      <c r="IG22" s="955">
        <v>2.6943159335466436</v>
      </c>
      <c r="IH22" s="955">
        <v>27.836094117647065</v>
      </c>
      <c r="II22" s="956">
        <v>67.477805799969858</v>
      </c>
      <c r="IJ22" s="954">
        <v>19.519968000000002</v>
      </c>
      <c r="IK22" s="955">
        <v>14.584226880750682</v>
      </c>
      <c r="IL22" s="955">
        <v>8.0256000000000007</v>
      </c>
      <c r="IM22" s="955">
        <v>1.6146790076552284</v>
      </c>
      <c r="IN22" s="955">
        <v>14.488700187028657</v>
      </c>
      <c r="IO22" s="955">
        <v>10.939924262764281</v>
      </c>
      <c r="IP22" s="955">
        <v>6.1123764705882353</v>
      </c>
      <c r="IQ22" s="955">
        <v>0.94027217444090638</v>
      </c>
      <c r="IR22" s="955">
        <v>0</v>
      </c>
      <c r="IS22" s="955">
        <v>0</v>
      </c>
      <c r="IT22" s="955">
        <v>34.624611764705882</v>
      </c>
      <c r="IU22" s="956">
        <v>89.143594964185112</v>
      </c>
      <c r="IV22" s="954">
        <v>19.128927999999998</v>
      </c>
      <c r="IW22" s="955">
        <v>19.311946289822831</v>
      </c>
      <c r="IX22" s="955">
        <v>6.9920000000000009</v>
      </c>
      <c r="IY22" s="955">
        <v>1.1401585328564645</v>
      </c>
      <c r="IZ22" s="955">
        <v>14.201064108597286</v>
      </c>
      <c r="JA22" s="955">
        <v>14.327818262500818</v>
      </c>
      <c r="JB22" s="955">
        <v>5.3251764705882358</v>
      </c>
      <c r="JC22" s="955">
        <v>0.62261197656936518</v>
      </c>
      <c r="JD22" s="955">
        <v>27.588484033613447</v>
      </c>
      <c r="JE22" s="955">
        <v>2.1994493819420247</v>
      </c>
      <c r="JF22" s="955">
        <v>30.503011764705882</v>
      </c>
      <c r="JG22" s="956">
        <v>74.524196458207925</v>
      </c>
      <c r="JH22" s="954">
        <v>17.658399999999997</v>
      </c>
      <c r="JI22" s="955">
        <v>7.5245764347543345</v>
      </c>
      <c r="JJ22" s="955">
        <v>8.998400000000002</v>
      </c>
      <c r="JK22" s="955">
        <v>4.1021808032957336</v>
      </c>
      <c r="JL22" s="955">
        <v>13.254714932126696</v>
      </c>
      <c r="JM22" s="955">
        <v>6.0064109199088254</v>
      </c>
      <c r="JN22" s="955">
        <v>6.8532705882352944</v>
      </c>
      <c r="JO22" s="955">
        <v>2.6126719781813135</v>
      </c>
      <c r="JP22" s="955">
        <v>0</v>
      </c>
      <c r="JQ22" s="955">
        <v>0</v>
      </c>
      <c r="JR22" s="955">
        <v>38.503764705882354</v>
      </c>
      <c r="JS22" s="956">
        <v>125.14850689978263</v>
      </c>
      <c r="JT22" s="954">
        <v>18.385952</v>
      </c>
      <c r="JU22" s="955">
        <v>15.572533783446573</v>
      </c>
      <c r="JV22" s="955">
        <v>7.7216000000000005</v>
      </c>
      <c r="JW22" s="955">
        <v>1.1703595898739412</v>
      </c>
      <c r="JX22" s="955">
        <v>13.654555559577677</v>
      </c>
      <c r="JY22" s="955">
        <v>11.685871737772386</v>
      </c>
      <c r="JZ22" s="955">
        <v>5.8808470588235293</v>
      </c>
      <c r="KA22" s="955">
        <v>0.6542723885457995</v>
      </c>
      <c r="KB22" s="955">
        <v>0</v>
      </c>
      <c r="KC22" s="955">
        <v>0</v>
      </c>
      <c r="KD22" s="955">
        <v>33.412376470588235</v>
      </c>
      <c r="KE22" s="956">
        <v>84.106608036705239</v>
      </c>
      <c r="KF22" s="954">
        <v>19.441759999999999</v>
      </c>
      <c r="KG22" s="955">
        <v>13.977502458911411</v>
      </c>
      <c r="KH22" s="955">
        <v>8.1168000000000013</v>
      </c>
      <c r="KI22" s="955">
        <v>1.7657107688300477</v>
      </c>
      <c r="KJ22" s="955">
        <v>14.431172971342383</v>
      </c>
      <c r="KK22" s="955">
        <v>10.500318449101245</v>
      </c>
      <c r="KL22" s="955">
        <v>6.1818352941176471</v>
      </c>
      <c r="KM22" s="955">
        <v>1.0406631410205824</v>
      </c>
      <c r="KN22" s="955">
        <v>0</v>
      </c>
      <c r="KO22" s="955">
        <v>0</v>
      </c>
      <c r="KP22" s="955">
        <v>34.988282352941177</v>
      </c>
      <c r="KQ22" s="956">
        <v>91.891436957750699</v>
      </c>
      <c r="KR22" s="954">
        <v>18.501066666666663</v>
      </c>
      <c r="KS22" s="955">
        <v>10.990233102270315</v>
      </c>
      <c r="KT22" s="955">
        <v>8.2688000000000006</v>
      </c>
      <c r="KU22" s="955">
        <v>2.9680703392306964</v>
      </c>
      <c r="KV22" s="955">
        <v>14.024911010558068</v>
      </c>
      <c r="KW22" s="955">
        <v>8.4813625317740655</v>
      </c>
      <c r="KX22" s="955">
        <v>6.2975999999999992</v>
      </c>
      <c r="KY22" s="955">
        <v>1.840993773135301</v>
      </c>
      <c r="KZ22" s="955">
        <v>0</v>
      </c>
      <c r="LA22" s="955">
        <v>0</v>
      </c>
      <c r="LB22" s="955">
        <v>35.5944</v>
      </c>
      <c r="LC22" s="956">
        <v>107.31469038218849</v>
      </c>
      <c r="LD22" s="954">
        <v>19.011615999999997</v>
      </c>
      <c r="LE22" s="955">
        <v>16.529953408783559</v>
      </c>
      <c r="LF22" s="955">
        <v>7.3872000000000018</v>
      </c>
      <c r="LG22" s="955">
        <v>0.76798655790198855</v>
      </c>
      <c r="LH22" s="955">
        <v>14.114773285067873</v>
      </c>
      <c r="LI22" s="955">
        <v>12.485897551417063</v>
      </c>
      <c r="LJ22" s="955">
        <v>5.6261647058823527</v>
      </c>
      <c r="LK22" s="955">
        <v>0.40132044775781434</v>
      </c>
      <c r="LL22" s="955">
        <v>0</v>
      </c>
      <c r="LM22" s="955">
        <v>0</v>
      </c>
      <c r="LN22" s="955">
        <v>32.07891764705883</v>
      </c>
      <c r="LO22" s="956">
        <v>78.758119153843467</v>
      </c>
      <c r="LP22" s="954">
        <v>15.635999999999999</v>
      </c>
      <c r="LQ22" s="955">
        <v>9.5201886640894955</v>
      </c>
      <c r="LR22" s="955">
        <v>8.4512000000000018</v>
      </c>
      <c r="LS22" s="955">
        <v>3.5587037113634268</v>
      </c>
      <c r="LT22" s="955">
        <v>11.406244343891402</v>
      </c>
      <c r="LU22" s="955">
        <v>7.4992997329494626</v>
      </c>
      <c r="LV22" s="955">
        <v>6.4365176470588237</v>
      </c>
      <c r="LW22" s="955">
        <v>2.2343594536474338</v>
      </c>
      <c r="LX22" s="955">
        <v>0</v>
      </c>
      <c r="LY22" s="955">
        <v>0</v>
      </c>
      <c r="LZ22" s="955">
        <v>36.321741176470589</v>
      </c>
      <c r="MA22" s="956">
        <v>114.40403220147246</v>
      </c>
      <c r="MB22" s="954">
        <v>19.324448</v>
      </c>
      <c r="MC22" s="955">
        <v>13.01651057111415</v>
      </c>
      <c r="MD22" s="955">
        <v>8.5424000000000024</v>
      </c>
      <c r="ME22" s="955">
        <v>1.7492068380640222</v>
      </c>
      <c r="MF22" s="955">
        <v>14.344882147812973</v>
      </c>
      <c r="MG22" s="955">
        <v>9.8350166598836548</v>
      </c>
      <c r="MH22" s="955">
        <v>6.5059764705882355</v>
      </c>
      <c r="MI22" s="955">
        <v>1.0322782483247823</v>
      </c>
      <c r="MJ22" s="955">
        <v>0</v>
      </c>
      <c r="MK22" s="955">
        <v>0</v>
      </c>
      <c r="ML22" s="955">
        <v>36.685411764705883</v>
      </c>
      <c r="MM22" s="956">
        <v>94.976388345098428</v>
      </c>
      <c r="MN22" s="954">
        <v>15.214666666666664</v>
      </c>
      <c r="MO22" s="955">
        <v>3.9324994632858417</v>
      </c>
      <c r="MP22" s="955">
        <v>11.430400000000002</v>
      </c>
      <c r="MQ22" s="955">
        <v>11.577934410374651</v>
      </c>
      <c r="MR22" s="955">
        <v>11.021146304675716</v>
      </c>
      <c r="MS22" s="955">
        <v>3.4416802376943267</v>
      </c>
      <c r="MT22" s="955">
        <v>8.7055058823529414</v>
      </c>
      <c r="MU22" s="955">
        <v>7.59550031256948</v>
      </c>
      <c r="MV22" s="955">
        <v>0</v>
      </c>
      <c r="MW22" s="955">
        <v>0</v>
      </c>
      <c r="MX22" s="955">
        <v>48.201647058823532</v>
      </c>
      <c r="MY22" s="956">
        <v>164.35737826500656</v>
      </c>
      <c r="MZ22" s="954">
        <v>14.119199999999998</v>
      </c>
      <c r="NA22" s="955">
        <v>4.7908531132821901</v>
      </c>
      <c r="NB22" s="955">
        <v>9.3936000000000011</v>
      </c>
      <c r="NC22" s="955">
        <v>6.6899908810919797</v>
      </c>
      <c r="ND22" s="955">
        <v>10.019891402714931</v>
      </c>
      <c r="NE22" s="955">
        <v>4.0151031669629722</v>
      </c>
      <c r="NF22" s="955">
        <v>7.1542588235294122</v>
      </c>
      <c r="NG22" s="955">
        <v>4.3416971358296665</v>
      </c>
      <c r="NH22" s="955">
        <v>0</v>
      </c>
      <c r="NI22" s="955">
        <v>0</v>
      </c>
      <c r="NJ22" s="955">
        <v>40.079670588235295</v>
      </c>
      <c r="NK22" s="956">
        <v>144.68090970527936</v>
      </c>
      <c r="NL22" s="954">
        <v>17.658399999999997</v>
      </c>
      <c r="NM22" s="955">
        <v>11.447966533753421</v>
      </c>
      <c r="NN22" s="955">
        <v>8.9072000000000013</v>
      </c>
      <c r="NO22" s="955">
        <v>2.2947775516056756</v>
      </c>
      <c r="NP22" s="955">
        <v>13.254714932126696</v>
      </c>
      <c r="NQ22" s="955">
        <v>8.7871512298315011</v>
      </c>
      <c r="NR22" s="955">
        <v>6.7838117647058827</v>
      </c>
      <c r="NS22" s="955">
        <v>1.3965763931896975</v>
      </c>
      <c r="NT22" s="955">
        <v>0</v>
      </c>
      <c r="NU22" s="955">
        <v>0</v>
      </c>
      <c r="NV22" s="955">
        <v>38.14009411764706</v>
      </c>
      <c r="NW22" s="956">
        <v>103.08693990663909</v>
      </c>
      <c r="NX22" s="954">
        <v>18.33253333333333</v>
      </c>
      <c r="NY22" s="955">
        <v>14.127321176991778</v>
      </c>
      <c r="NZ22" s="955">
        <v>8.3600000000000012</v>
      </c>
      <c r="OA22" s="955">
        <v>1.9082940758659697</v>
      </c>
      <c r="OB22" s="955">
        <v>13.870871794871794</v>
      </c>
      <c r="OC22" s="955">
        <v>10.583262942245213</v>
      </c>
      <c r="OD22" s="955">
        <v>6.3670588235294119</v>
      </c>
      <c r="OE22" s="955">
        <v>1.1340792235636803</v>
      </c>
      <c r="OF22" s="955">
        <v>0</v>
      </c>
      <c r="OG22" s="955">
        <v>0</v>
      </c>
      <c r="OH22" s="955">
        <v>35.958070588235294</v>
      </c>
      <c r="OI22" s="956">
        <v>92.121969549967133</v>
      </c>
      <c r="OJ22" s="954">
        <v>17.911200000000001</v>
      </c>
      <c r="OK22" s="955">
        <v>8.106469024867577</v>
      </c>
      <c r="OL22" s="955">
        <v>9.7280000000000015</v>
      </c>
      <c r="OM22" s="955">
        <v>5.9411054983490903</v>
      </c>
      <c r="ON22" s="955">
        <v>13.485773755656107</v>
      </c>
      <c r="OO22" s="955">
        <v>6.3951441111102305</v>
      </c>
      <c r="OP22" s="955">
        <v>7.4089411764705879</v>
      </c>
      <c r="OQ22" s="955">
        <v>3.8258679669428299</v>
      </c>
      <c r="OR22" s="955">
        <v>0</v>
      </c>
      <c r="OS22" s="955">
        <v>0</v>
      </c>
      <c r="OT22" s="955">
        <v>41.413129411764707</v>
      </c>
      <c r="OU22" s="956">
        <v>128.95178881085107</v>
      </c>
      <c r="OV22" s="954">
        <v>18.416799999999999</v>
      </c>
      <c r="OW22" s="955">
        <v>16.092913170405474</v>
      </c>
      <c r="OX22" s="955">
        <v>7.9040000000000017</v>
      </c>
      <c r="OY22" s="955">
        <v>1.9506481950298935</v>
      </c>
      <c r="OZ22" s="955">
        <v>13.947891402714934</v>
      </c>
      <c r="PA22" s="955">
        <v>12.055251213906864</v>
      </c>
      <c r="PB22" s="955">
        <v>6.0197647058823538</v>
      </c>
      <c r="PC22" s="955">
        <v>1.1553072809942606</v>
      </c>
      <c r="PD22" s="955">
        <v>0</v>
      </c>
      <c r="PE22" s="955">
        <v>0</v>
      </c>
      <c r="PF22" s="955">
        <v>34.139717647058824</v>
      </c>
      <c r="PG22" s="956">
        <v>86.144370617458577</v>
      </c>
      <c r="PH22" s="954">
        <v>17.911200000000001</v>
      </c>
      <c r="PI22" s="955">
        <v>6.5406695222429203</v>
      </c>
      <c r="PJ22" s="955">
        <v>11.004800000000003</v>
      </c>
      <c r="PK22" s="955">
        <v>8.9456619859143611</v>
      </c>
      <c r="PL22" s="955">
        <v>13.485773755656107</v>
      </c>
      <c r="PM22" s="955">
        <v>5.1840675570053225</v>
      </c>
      <c r="PN22" s="955">
        <v>8.3813647058823531</v>
      </c>
      <c r="PO22" s="955">
        <v>5.8335990688513775</v>
      </c>
      <c r="PP22" s="955">
        <v>0</v>
      </c>
      <c r="PQ22" s="955">
        <v>0</v>
      </c>
      <c r="PR22" s="955">
        <v>46.504517647058833</v>
      </c>
      <c r="PS22" s="956">
        <v>145.87532851749285</v>
      </c>
      <c r="PT22" s="954">
        <v>19.911007999999999</v>
      </c>
      <c r="PU22" s="955">
        <v>14.9624984507105</v>
      </c>
      <c r="PV22" s="955">
        <v>8.4512000000000018</v>
      </c>
      <c r="PW22" s="955">
        <v>1.4742698703868689</v>
      </c>
      <c r="PX22" s="955">
        <v>14.77633626546003</v>
      </c>
      <c r="PY22" s="955">
        <v>11.2954796567081</v>
      </c>
      <c r="PZ22" s="955">
        <v>6.4365176470588237</v>
      </c>
      <c r="QA22" s="955">
        <v>0.84779442288695928</v>
      </c>
      <c r="QB22" s="955">
        <v>0</v>
      </c>
      <c r="QC22" s="955">
        <v>0</v>
      </c>
      <c r="QD22" s="955">
        <v>36.321741176470589</v>
      </c>
      <c r="QE22" s="956">
        <v>86.576235413833729</v>
      </c>
      <c r="QF22" s="954">
        <v>18.581472000000002</v>
      </c>
      <c r="QG22" s="955">
        <v>13.394782141073971</v>
      </c>
      <c r="QH22" s="955">
        <v>8.2992000000000008</v>
      </c>
      <c r="QI22" s="955">
        <v>2.0332972974462757</v>
      </c>
      <c r="QJ22" s="955">
        <v>13.798373598793363</v>
      </c>
      <c r="QK22" s="955">
        <v>10.087720882328952</v>
      </c>
      <c r="QL22" s="955">
        <v>6.3207529411764707</v>
      </c>
      <c r="QM22" s="955">
        <v>1.219277931015766</v>
      </c>
      <c r="QN22" s="955">
        <v>0</v>
      </c>
      <c r="QO22" s="955">
        <v>0</v>
      </c>
      <c r="QP22" s="955">
        <v>35.715623529411772</v>
      </c>
      <c r="QQ22" s="956">
        <v>95.300050443352049</v>
      </c>
      <c r="QR22" s="954">
        <v>16.310133333333333</v>
      </c>
      <c r="QS22" s="955">
        <v>5.7311518079744266</v>
      </c>
      <c r="QT22" s="955">
        <v>9.4544000000000032</v>
      </c>
      <c r="QU22" s="955">
        <v>6.4788474789022485</v>
      </c>
      <c r="QV22" s="955">
        <v>12.0224012066365</v>
      </c>
      <c r="QW22" s="955">
        <v>4.6432694617066375</v>
      </c>
      <c r="QX22" s="955">
        <v>7.2005647058823534</v>
      </c>
      <c r="QY22" s="955">
        <v>4.1951175906473521</v>
      </c>
      <c r="QZ22" s="955">
        <v>0</v>
      </c>
      <c r="RA22" s="955">
        <v>0</v>
      </c>
      <c r="RB22" s="955">
        <v>40.322117647058825</v>
      </c>
      <c r="RC22" s="956">
        <v>140.28304094253377</v>
      </c>
      <c r="RD22" s="954">
        <v>19.089824</v>
      </c>
      <c r="RE22" s="955">
        <v>14.001506562913239</v>
      </c>
      <c r="RF22" s="955">
        <v>8.4208000000000016</v>
      </c>
      <c r="RG22" s="955">
        <v>1.8483394591389408</v>
      </c>
      <c r="RH22" s="955">
        <v>14.172300500754147</v>
      </c>
      <c r="RI22" s="955">
        <v>10.499212522525989</v>
      </c>
      <c r="RJ22" s="955">
        <v>6.4133647058823531</v>
      </c>
      <c r="RK22" s="955">
        <v>1.0952613393214736</v>
      </c>
      <c r="RL22" s="955">
        <v>0</v>
      </c>
      <c r="RM22" s="955">
        <v>0</v>
      </c>
      <c r="RN22" s="955">
        <v>36.200517647058824</v>
      </c>
      <c r="RO22" s="956">
        <v>92.262703348339301</v>
      </c>
      <c r="RP22" s="954">
        <v>18.698784</v>
      </c>
      <c r="RQ22" s="955">
        <v>13.799540998208217</v>
      </c>
      <c r="RR22" s="955">
        <v>8.3600000000000012</v>
      </c>
      <c r="RS22" s="955">
        <v>1.7244472232910455</v>
      </c>
      <c r="RT22" s="955">
        <v>13.884664422322775</v>
      </c>
      <c r="RU22" s="955">
        <v>10.381431342261552</v>
      </c>
      <c r="RV22" s="955">
        <v>6.3670588235294119</v>
      </c>
      <c r="RW22" s="955">
        <v>1.0143891674095527</v>
      </c>
      <c r="RX22" s="955">
        <v>0</v>
      </c>
      <c r="RY22" s="955">
        <v>0</v>
      </c>
      <c r="RZ22" s="955">
        <v>35.958070588235294</v>
      </c>
      <c r="SA22" s="956">
        <v>92.225568513684308</v>
      </c>
    </row>
    <row r="23" spans="1:495">
      <c r="A23" s="967">
        <f>[3]Eingabedaten!A25</f>
        <v>6.01</v>
      </c>
      <c r="B23" s="930" t="str">
        <f>[3]Eingabedaten!C25</f>
        <v>Restaurant</v>
      </c>
      <c r="C23" s="988">
        <f t="shared" si="1"/>
        <v>17</v>
      </c>
      <c r="D23" s="954" cm="1">
        <f t="array" ref="D23">INDEX($P$7:$SA$51,$C23,$G$3-1+D$2)</f>
        <v>55.066703529411768</v>
      </c>
      <c r="E23" s="955" cm="1">
        <f t="array" ref="E23">INDEX($P$7:$SA$51,$C23,$G$3-1+E$2)</f>
        <v>10.57499040333151</v>
      </c>
      <c r="F23" s="955" cm="1">
        <f t="array" ref="F23">INDEX($P$7:$SA$51,$C23,$G$3-1+F$2)</f>
        <v>14.276125490196081</v>
      </c>
      <c r="G23" s="955" cm="1">
        <f t="array" ref="G23">INDEX($P$7:$SA$51,$C23,$G$3-1+G$2)</f>
        <v>17.607994832464932</v>
      </c>
      <c r="H23" s="955" cm="1">
        <f t="array" ref="H23">INDEX($P$7:$SA$51,$C23,$G$3-1+H$2)</f>
        <v>51.390915294117654</v>
      </c>
      <c r="I23" s="955" cm="1">
        <f t="array" ref="I23">INDEX($P$7:$SA$51,$C23,$G$3-1+I$2)</f>
        <v>9.769152420313981</v>
      </c>
      <c r="J23" s="955" cm="1">
        <f t="array" ref="J23">INDEX($P$7:$SA$51,$C23,$G$3-1+J$2)</f>
        <v>10.727176470588237</v>
      </c>
      <c r="K23" s="955" cm="1">
        <f t="array" ref="K23">INDEX($P$7:$SA$51,$C23,$G$3-1+K$2)</f>
        <v>10.918893514834393</v>
      </c>
      <c r="L23" s="955" cm="1">
        <f t="array" ref="L23">INDEX($P$7:$SA$51,$C23,$G$3-1+L$2)</f>
        <v>0</v>
      </c>
      <c r="M23" s="955" cm="1">
        <f t="array" ref="M23">INDEX($P$7:$SA$51,$C23,$G$3-1+M$2)</f>
        <v>0</v>
      </c>
      <c r="N23" s="955" cm="1">
        <f t="array" ref="N23">INDEX($P$7:$SA$51,$C23,$G$3-1+N$2)</f>
        <v>45.514356862745103</v>
      </c>
      <c r="O23" s="956" cm="1">
        <f t="array" ref="O23">INDEX($P$7:$SA$51,$C23,$G$3-1+O$2)</f>
        <v>175.95861732252044</v>
      </c>
      <c r="P23" s="954">
        <v>41.899643137254913</v>
      </c>
      <c r="Q23" s="955">
        <v>1.1112650423340318</v>
      </c>
      <c r="R23" s="955">
        <v>15.612678431372551</v>
      </c>
      <c r="S23" s="955">
        <v>21.352427038190953</v>
      </c>
      <c r="T23" s="955">
        <v>39.631015686274516</v>
      </c>
      <c r="U23" s="955">
        <v>1.5507778819499327</v>
      </c>
      <c r="V23" s="955">
        <v>11.743435294117649</v>
      </c>
      <c r="W23" s="955">
        <v>12.201373230638048</v>
      </c>
      <c r="X23" s="955">
        <v>0</v>
      </c>
      <c r="Y23" s="955">
        <v>0</v>
      </c>
      <c r="Z23" s="955">
        <v>49.494898039215691</v>
      </c>
      <c r="AA23" s="956">
        <v>239.33820207988768</v>
      </c>
      <c r="AB23" s="954">
        <v>55.997165490196089</v>
      </c>
      <c r="AC23" s="955">
        <v>11.433765826087997</v>
      </c>
      <c r="AD23" s="955">
        <v>13.286086274509806</v>
      </c>
      <c r="AE23" s="955">
        <v>16.291803665004426</v>
      </c>
      <c r="AF23" s="955">
        <v>52.15005568627452</v>
      </c>
      <c r="AG23" s="955">
        <v>10.506576614650269</v>
      </c>
      <c r="AH23" s="955">
        <v>9.9743921568627467</v>
      </c>
      <c r="AI23" s="955">
        <v>10.112544697656263</v>
      </c>
      <c r="AJ23" s="955">
        <v>0</v>
      </c>
      <c r="AK23" s="955">
        <v>0</v>
      </c>
      <c r="AL23" s="955">
        <v>42.565807843137264</v>
      </c>
      <c r="AM23" s="956">
        <v>167.77593562527093</v>
      </c>
      <c r="AN23" s="954">
        <v>61.785429803921581</v>
      </c>
      <c r="AO23" s="955">
        <v>9.396687231798234</v>
      </c>
      <c r="AP23" s="955">
        <v>13.335588235294122</v>
      </c>
      <c r="AQ23" s="955">
        <v>18.432545749811556</v>
      </c>
      <c r="AR23" s="955">
        <v>56.703139607843141</v>
      </c>
      <c r="AS23" s="955">
        <v>9.0049046949382117</v>
      </c>
      <c r="AT23" s="955">
        <v>10.012031372549023</v>
      </c>
      <c r="AU23" s="955">
        <v>11.876175882963109</v>
      </c>
      <c r="AV23" s="955">
        <v>0</v>
      </c>
      <c r="AW23" s="955">
        <v>0</v>
      </c>
      <c r="AX23" s="955">
        <v>42.713235294117659</v>
      </c>
      <c r="AY23" s="956">
        <v>175.89943021725566</v>
      </c>
      <c r="AZ23" s="954">
        <v>60.054985882352945</v>
      </c>
      <c r="BA23" s="955">
        <v>13.8122927906714</v>
      </c>
      <c r="BB23" s="955">
        <v>13.781105882352943</v>
      </c>
      <c r="BC23" s="955">
        <v>14.356361810542479</v>
      </c>
      <c r="BD23" s="955">
        <v>55.359080000000006</v>
      </c>
      <c r="BE23" s="955">
        <v>12.267594372195259</v>
      </c>
      <c r="BF23" s="955">
        <v>10.350784313725493</v>
      </c>
      <c r="BG23" s="955">
        <v>8.6993882393629036</v>
      </c>
      <c r="BH23" s="955">
        <v>0</v>
      </c>
      <c r="BI23" s="955">
        <v>0</v>
      </c>
      <c r="BJ23" s="955">
        <v>44.040082352941191</v>
      </c>
      <c r="BK23" s="956">
        <v>157.30059301630595</v>
      </c>
      <c r="BL23" s="954">
        <v>58.033731764705877</v>
      </c>
      <c r="BM23" s="955">
        <v>10.36736556244964</v>
      </c>
      <c r="BN23" s="955">
        <v>14.226623529411766</v>
      </c>
      <c r="BO23" s="955">
        <v>18.268469783859267</v>
      </c>
      <c r="BP23" s="955">
        <v>53.753284705882351</v>
      </c>
      <c r="BQ23" s="955">
        <v>9.6053948177751689</v>
      </c>
      <c r="BR23" s="955">
        <v>10.689537254901962</v>
      </c>
      <c r="BS23" s="955">
        <v>11.307623266954179</v>
      </c>
      <c r="BT23" s="955">
        <v>0</v>
      </c>
      <c r="BU23" s="955">
        <v>0</v>
      </c>
      <c r="BV23" s="955">
        <v>45.366929411764715</v>
      </c>
      <c r="BW23" s="956">
        <v>180.34538070638703</v>
      </c>
      <c r="BX23" s="954">
        <v>58.843365490196071</v>
      </c>
      <c r="BY23" s="955">
        <v>11.449997841530381</v>
      </c>
      <c r="BZ23" s="955">
        <v>14.078117647058825</v>
      </c>
      <c r="CA23" s="955">
        <v>18.88754625970456</v>
      </c>
      <c r="CB23" s="955">
        <v>54.385608627450978</v>
      </c>
      <c r="CC23" s="955">
        <v>10.479535549479706</v>
      </c>
      <c r="CD23" s="955">
        <v>10.576619607843138</v>
      </c>
      <c r="CE23" s="955">
        <v>12.116729473652839</v>
      </c>
      <c r="CF23" s="955">
        <v>0</v>
      </c>
      <c r="CG23" s="955">
        <v>0</v>
      </c>
      <c r="CH23" s="955">
        <v>44.924647058823538</v>
      </c>
      <c r="CI23" s="956">
        <v>176.23401364659753</v>
      </c>
      <c r="CJ23" s="954">
        <v>58.722537254901958</v>
      </c>
      <c r="CK23" s="955">
        <v>9.9839536016954096</v>
      </c>
      <c r="CL23" s="955">
        <v>14.127619607843139</v>
      </c>
      <c r="CM23" s="955">
        <v>15.697349940677443</v>
      </c>
      <c r="CN23" s="955">
        <v>54.258792156862746</v>
      </c>
      <c r="CO23" s="955">
        <v>9.397399256754488</v>
      </c>
      <c r="CP23" s="955">
        <v>10.614258823529413</v>
      </c>
      <c r="CQ23" s="955">
        <v>9.3326909401413438</v>
      </c>
      <c r="CR23" s="955">
        <v>0</v>
      </c>
      <c r="CS23" s="955">
        <v>0</v>
      </c>
      <c r="CT23" s="955">
        <v>45.072074509803926</v>
      </c>
      <c r="CU23" s="956">
        <v>171.34673804547757</v>
      </c>
      <c r="CV23" s="954">
        <v>32.262956862745106</v>
      </c>
      <c r="CW23" s="955">
        <v>0</v>
      </c>
      <c r="CX23" s="955">
        <v>17.048235294117646</v>
      </c>
      <c r="CY23" s="955">
        <v>27.018570458117857</v>
      </c>
      <c r="CZ23" s="955">
        <v>30.07805490196079</v>
      </c>
      <c r="DA23" s="955">
        <v>0.1180342650173522</v>
      </c>
      <c r="DB23" s="955">
        <v>12.834972549019611</v>
      </c>
      <c r="DC23" s="955">
        <v>15.625726068280896</v>
      </c>
      <c r="DD23" s="955">
        <v>0</v>
      </c>
      <c r="DE23" s="955">
        <v>0</v>
      </c>
      <c r="DF23" s="955">
        <v>53.770294117647069</v>
      </c>
      <c r="DG23" s="956">
        <v>276.82853947663114</v>
      </c>
      <c r="DH23" s="954">
        <v>55.607273725490195</v>
      </c>
      <c r="DI23" s="955">
        <v>2.6990860755524042</v>
      </c>
      <c r="DJ23" s="955">
        <v>15.365168627450982</v>
      </c>
      <c r="DK23" s="955">
        <v>19.404937884766596</v>
      </c>
      <c r="DL23" s="955">
        <v>51.790540392156863</v>
      </c>
      <c r="DM23" s="955">
        <v>3.045880476516353</v>
      </c>
      <c r="DN23" s="955">
        <v>11.555239215686276</v>
      </c>
      <c r="DO23" s="955">
        <v>11.01862456165196</v>
      </c>
      <c r="DP23" s="955">
        <v>0</v>
      </c>
      <c r="DQ23" s="955">
        <v>0</v>
      </c>
      <c r="DR23" s="955">
        <v>48.757760784313732</v>
      </c>
      <c r="DS23" s="956">
        <v>221.50706210864297</v>
      </c>
      <c r="DT23" s="954">
        <v>53.910671372549025</v>
      </c>
      <c r="DU23" s="955">
        <v>1.9774870740297621</v>
      </c>
      <c r="DV23" s="955">
        <v>16.107698039215688</v>
      </c>
      <c r="DW23" s="955">
        <v>26.433627407552876</v>
      </c>
      <c r="DX23" s="955">
        <v>50.457149803921574</v>
      </c>
      <c r="DY23" s="955">
        <v>2.3414760373200059</v>
      </c>
      <c r="DZ23" s="955">
        <v>12.119827450980395</v>
      </c>
      <c r="EA23" s="955">
        <v>16.921735546411362</v>
      </c>
      <c r="EB23" s="955">
        <v>0</v>
      </c>
      <c r="EC23" s="955">
        <v>0</v>
      </c>
      <c r="ED23" s="955">
        <v>50.969172549019625</v>
      </c>
      <c r="EE23" s="956">
        <v>238.85229191156333</v>
      </c>
      <c r="EF23" s="954">
        <v>57.493161568627457</v>
      </c>
      <c r="EG23" s="955">
        <v>15.444789119899438</v>
      </c>
      <c r="EH23" s="955">
        <v>12.642560784313726</v>
      </c>
      <c r="EI23" s="955">
        <v>13.898971311682832</v>
      </c>
      <c r="EJ23" s="955">
        <v>53.353659607843142</v>
      </c>
      <c r="EK23" s="955">
        <v>13.526768067336274</v>
      </c>
      <c r="EL23" s="955">
        <v>9.4850823529411787</v>
      </c>
      <c r="EM23" s="955">
        <v>8.3774703010038518</v>
      </c>
      <c r="EN23" s="955">
        <v>0</v>
      </c>
      <c r="EO23" s="955">
        <v>0</v>
      </c>
      <c r="EP23" s="955">
        <v>40.649250980392161</v>
      </c>
      <c r="EQ23" s="956">
        <v>153.89507823890619</v>
      </c>
      <c r="ER23" s="954">
        <v>57.835568627450982</v>
      </c>
      <c r="ES23" s="955">
        <v>6.9804850786746213</v>
      </c>
      <c r="ET23" s="955">
        <v>14.622639215686277</v>
      </c>
      <c r="EU23" s="955">
        <v>23.806373219924659</v>
      </c>
      <c r="EV23" s="955">
        <v>53.557725490196091</v>
      </c>
      <c r="EW23" s="955">
        <v>6.8472175709623837</v>
      </c>
      <c r="EX23" s="955">
        <v>10.990650980392159</v>
      </c>
      <c r="EY23" s="955">
        <v>15.797135377054348</v>
      </c>
      <c r="EZ23" s="955">
        <v>0</v>
      </c>
      <c r="FA23" s="955">
        <v>0</v>
      </c>
      <c r="FB23" s="955">
        <v>46.546349019607845</v>
      </c>
      <c r="FC23" s="956">
        <v>199.87303473891819</v>
      </c>
      <c r="FD23" s="954">
        <v>10.409274509803923</v>
      </c>
      <c r="FE23" s="955">
        <v>0</v>
      </c>
      <c r="FF23" s="955">
        <v>18.186780392156862</v>
      </c>
      <c r="FG23" s="955">
        <v>35.201938699576019</v>
      </c>
      <c r="FH23" s="955">
        <v>7.9381568627450942</v>
      </c>
      <c r="FI23" s="955">
        <v>0</v>
      </c>
      <c r="FJ23" s="955">
        <v>13.700674509803925</v>
      </c>
      <c r="FK23" s="955">
        <v>20.439389587210645</v>
      </c>
      <c r="FL23" s="955">
        <v>0</v>
      </c>
      <c r="FM23" s="955">
        <v>0</v>
      </c>
      <c r="FN23" s="955">
        <v>57.161125490196085</v>
      </c>
      <c r="FO23" s="956">
        <v>341.58736762503389</v>
      </c>
      <c r="FP23" s="954">
        <v>54.945875294117656</v>
      </c>
      <c r="FQ23" s="955">
        <v>10.337354453478813</v>
      </c>
      <c r="FR23" s="955">
        <v>14.028615686274511</v>
      </c>
      <c r="FS23" s="955">
        <v>19.359207680637454</v>
      </c>
      <c r="FT23" s="955">
        <v>51.264098823529409</v>
      </c>
      <c r="FU23" s="955">
        <v>9.5916853837504572</v>
      </c>
      <c r="FV23" s="955">
        <v>10.538980392156866</v>
      </c>
      <c r="FW23" s="955">
        <v>12.360388569601</v>
      </c>
      <c r="FX23" s="955">
        <v>0</v>
      </c>
      <c r="FY23" s="955">
        <v>0</v>
      </c>
      <c r="FZ23" s="955">
        <v>44.777219607843143</v>
      </c>
      <c r="GA23" s="956">
        <v>180.95526188553555</v>
      </c>
      <c r="GB23" s="954">
        <v>52.384050980392153</v>
      </c>
      <c r="GC23" s="955">
        <v>8.0179784628667274</v>
      </c>
      <c r="GD23" s="955">
        <v>14.028615686274511</v>
      </c>
      <c r="GE23" s="955">
        <v>20.267451065860282</v>
      </c>
      <c r="GF23" s="955">
        <v>49.258678431372559</v>
      </c>
      <c r="GG23" s="955">
        <v>7.8497371047501883</v>
      </c>
      <c r="GH23" s="955">
        <v>10.538980392156866</v>
      </c>
      <c r="GI23" s="955">
        <v>12.786860032250754</v>
      </c>
      <c r="GJ23" s="955">
        <v>0</v>
      </c>
      <c r="GK23" s="955">
        <v>0</v>
      </c>
      <c r="GL23" s="955">
        <v>44.777219607843143</v>
      </c>
      <c r="GM23" s="956">
        <v>190.49853414173094</v>
      </c>
      <c r="GN23" s="954">
        <v>53.126001568627458</v>
      </c>
      <c r="GO23" s="955">
        <v>3.0675938967449943</v>
      </c>
      <c r="GP23" s="955">
        <v>15.266164705882355</v>
      </c>
      <c r="GQ23" s="955">
        <v>21.277849325477856</v>
      </c>
      <c r="GR23" s="955">
        <v>49.86966431372548</v>
      </c>
      <c r="GS23" s="955">
        <v>3.3087539506850323</v>
      </c>
      <c r="GT23" s="955">
        <v>11.479960784313729</v>
      </c>
      <c r="GU23" s="955">
        <v>12.549269218630783</v>
      </c>
      <c r="GV23" s="955">
        <v>0</v>
      </c>
      <c r="GW23" s="955">
        <v>0</v>
      </c>
      <c r="GX23" s="955">
        <v>48.462905882352949</v>
      </c>
      <c r="GY23" s="956">
        <v>222.85565108038469</v>
      </c>
      <c r="GZ23" s="954">
        <v>44.43303137254901</v>
      </c>
      <c r="HA23" s="955">
        <v>2.0159869763478917</v>
      </c>
      <c r="HB23" s="955">
        <v>15.315666666666669</v>
      </c>
      <c r="HC23" s="955">
        <v>25.373107177329622</v>
      </c>
      <c r="HD23" s="955">
        <v>42.241462745098033</v>
      </c>
      <c r="HE23" s="955">
        <v>2.2009347076673644</v>
      </c>
      <c r="HF23" s="955">
        <v>11.517600000000002</v>
      </c>
      <c r="HG23" s="955">
        <v>15.715028960336252</v>
      </c>
      <c r="HH23" s="955">
        <v>0</v>
      </c>
      <c r="HI23" s="955">
        <v>0</v>
      </c>
      <c r="HJ23" s="955">
        <v>48.610333333333344</v>
      </c>
      <c r="HK23" s="956">
        <v>239.68222231097843</v>
      </c>
      <c r="HL23" s="954">
        <v>57.554410196078436</v>
      </c>
      <c r="HM23" s="955">
        <v>19.224359295748599</v>
      </c>
      <c r="HN23" s="955">
        <v>11.20700392156863</v>
      </c>
      <c r="HO23" s="955">
        <v>8.9060266659370466</v>
      </c>
      <c r="HP23" s="955">
        <v>53.343394509803922</v>
      </c>
      <c r="HQ23" s="955">
        <v>16.517049641014491</v>
      </c>
      <c r="HR23" s="955">
        <v>8.393545098039219</v>
      </c>
      <c r="HS23" s="955">
        <v>4.846815979159028</v>
      </c>
      <c r="HT23" s="955">
        <v>70.115850980392153</v>
      </c>
      <c r="HU23" s="955">
        <v>2.9356822846993267</v>
      </c>
      <c r="HV23" s="955">
        <v>36.37385490196079</v>
      </c>
      <c r="HW23" s="956">
        <v>127.76101305183113</v>
      </c>
      <c r="HX23" s="954">
        <v>57.894374117647061</v>
      </c>
      <c r="HY23" s="955">
        <v>20.067686103835623</v>
      </c>
      <c r="HZ23" s="955">
        <v>10.959494117647061</v>
      </c>
      <c r="IA23" s="955">
        <v>8.3804216738713695</v>
      </c>
      <c r="IB23" s="955">
        <v>53.61323294117647</v>
      </c>
      <c r="IC23" s="955">
        <v>17.158061294420346</v>
      </c>
      <c r="ID23" s="955">
        <v>8.2053490196078442</v>
      </c>
      <c r="IE23" s="955">
        <v>4.4515053523789483</v>
      </c>
      <c r="IF23" s="955">
        <v>70.836305882352946</v>
      </c>
      <c r="IG23" s="955">
        <v>4.0972704233724402</v>
      </c>
      <c r="IH23" s="955">
        <v>35.63671764705883</v>
      </c>
      <c r="II23" s="956">
        <v>126.82268676018231</v>
      </c>
      <c r="IJ23" s="954">
        <v>60.391732549019608</v>
      </c>
      <c r="IK23" s="955">
        <v>10.905280850206614</v>
      </c>
      <c r="IL23" s="955">
        <v>13.731603921568629</v>
      </c>
      <c r="IM23" s="955">
        <v>18.467060053514377</v>
      </c>
      <c r="IN23" s="955">
        <v>55.613116862745102</v>
      </c>
      <c r="IO23" s="955">
        <v>10.098179056631468</v>
      </c>
      <c r="IP23" s="955">
        <v>10.313145098039216</v>
      </c>
      <c r="IQ23" s="955">
        <v>11.746607215829879</v>
      </c>
      <c r="IR23" s="955">
        <v>0</v>
      </c>
      <c r="IS23" s="955">
        <v>0</v>
      </c>
      <c r="IT23" s="955">
        <v>43.892654901960789</v>
      </c>
      <c r="IU23" s="956">
        <v>176.47710755523869</v>
      </c>
      <c r="IV23" s="954">
        <v>58.98838352941177</v>
      </c>
      <c r="IW23" s="955">
        <v>19.24581877501306</v>
      </c>
      <c r="IX23" s="955">
        <v>12.048537254901962</v>
      </c>
      <c r="IY23" s="955">
        <v>12.534129641140003</v>
      </c>
      <c r="IZ23" s="955">
        <v>54.475689411764719</v>
      </c>
      <c r="JA23" s="955">
        <v>16.540104912872135</v>
      </c>
      <c r="JB23" s="955">
        <v>9.0334117647058836</v>
      </c>
      <c r="JC23" s="955">
        <v>7.3346124124643657</v>
      </c>
      <c r="JD23" s="955">
        <v>73.103552941176474</v>
      </c>
      <c r="JE23" s="955">
        <v>2.750423480494121</v>
      </c>
      <c r="JF23" s="955">
        <v>38.880121568627459</v>
      </c>
      <c r="JG23" s="956">
        <v>143.0592694974805</v>
      </c>
      <c r="JH23" s="954">
        <v>53.488611764705873</v>
      </c>
      <c r="JI23" s="955">
        <v>2.6135511829915665</v>
      </c>
      <c r="JJ23" s="955">
        <v>15.315666666666669</v>
      </c>
      <c r="JK23" s="955">
        <v>18.680909448222842</v>
      </c>
      <c r="JL23" s="955">
        <v>50.978905882352933</v>
      </c>
      <c r="JM23" s="955">
        <v>2.7189553940586562</v>
      </c>
      <c r="JN23" s="955">
        <v>11.517600000000002</v>
      </c>
      <c r="JO23" s="955">
        <v>10.224210292208332</v>
      </c>
      <c r="JP23" s="955">
        <v>0</v>
      </c>
      <c r="JQ23" s="955">
        <v>0</v>
      </c>
      <c r="JR23" s="955">
        <v>48.610333333333344</v>
      </c>
      <c r="JS23" s="956">
        <v>224.05659606412917</v>
      </c>
      <c r="JT23" s="954">
        <v>55.147255686274505</v>
      </c>
      <c r="JU23" s="955">
        <v>13.192035719036264</v>
      </c>
      <c r="JV23" s="955">
        <v>13.236584313725491</v>
      </c>
      <c r="JW23" s="955">
        <v>16.437910239795038</v>
      </c>
      <c r="JX23" s="955">
        <v>51.475459607843128</v>
      </c>
      <c r="JY23" s="955">
        <v>11.844061297675784</v>
      </c>
      <c r="JZ23" s="955">
        <v>9.9367529411764721</v>
      </c>
      <c r="KA23" s="955">
        <v>10.34166210112847</v>
      </c>
      <c r="KB23" s="955">
        <v>0</v>
      </c>
      <c r="KC23" s="955">
        <v>0</v>
      </c>
      <c r="KD23" s="955">
        <v>42.41838039215687</v>
      </c>
      <c r="KE23" s="956">
        <v>165.14721113470344</v>
      </c>
      <c r="KF23" s="954">
        <v>59.39680470588236</v>
      </c>
      <c r="KG23" s="955">
        <v>11.46057741503498</v>
      </c>
      <c r="KH23" s="955">
        <v>13.88010980392157</v>
      </c>
      <c r="KI23" s="955">
        <v>17.820504317276249</v>
      </c>
      <c r="KJ23" s="955">
        <v>54.848439999999997</v>
      </c>
      <c r="KK23" s="955">
        <v>10.432749534380596</v>
      </c>
      <c r="KL23" s="955">
        <v>10.42606274509804</v>
      </c>
      <c r="KM23" s="955">
        <v>11.162863738027088</v>
      </c>
      <c r="KN23" s="955">
        <v>0</v>
      </c>
      <c r="KO23" s="955">
        <v>0</v>
      </c>
      <c r="KP23" s="955">
        <v>44.334937254901959</v>
      </c>
      <c r="KQ23" s="956">
        <v>175.00141463117777</v>
      </c>
      <c r="KR23" s="954">
        <v>59.057396078431367</v>
      </c>
      <c r="KS23" s="955">
        <v>5.9627965970776264</v>
      </c>
      <c r="KT23" s="955">
        <v>14.127619607843139</v>
      </c>
      <c r="KU23" s="955">
        <v>23.789351789961728</v>
      </c>
      <c r="KV23" s="955">
        <v>56.291415686274505</v>
      </c>
      <c r="KW23" s="955">
        <v>5.6097081108445801</v>
      </c>
      <c r="KX23" s="955">
        <v>10.614258823529413</v>
      </c>
      <c r="KY23" s="955">
        <v>15.531417735815609</v>
      </c>
      <c r="KZ23" s="955">
        <v>0</v>
      </c>
      <c r="LA23" s="955">
        <v>0</v>
      </c>
      <c r="LB23" s="955">
        <v>45.072074509803926</v>
      </c>
      <c r="LC23" s="956">
        <v>210.9933384563397</v>
      </c>
      <c r="LD23" s="954">
        <v>53.317730196078436</v>
      </c>
      <c r="LE23" s="955">
        <v>15.72048614441451</v>
      </c>
      <c r="LF23" s="955">
        <v>12.692062745098042</v>
      </c>
      <c r="LG23" s="955">
        <v>12.633711407210432</v>
      </c>
      <c r="LH23" s="955">
        <v>50.03362039215687</v>
      </c>
      <c r="LI23" s="955">
        <v>13.735221785334129</v>
      </c>
      <c r="LJ23" s="955">
        <v>9.5227215686274533</v>
      </c>
      <c r="LK23" s="955">
        <v>7.4744826137626283</v>
      </c>
      <c r="LL23" s="955">
        <v>0</v>
      </c>
      <c r="LM23" s="955">
        <v>0</v>
      </c>
      <c r="LN23" s="955">
        <v>40.796678431372555</v>
      </c>
      <c r="LO23" s="956">
        <v>148.05848544527996</v>
      </c>
      <c r="LP23" s="954">
        <v>42.11358823529411</v>
      </c>
      <c r="LQ23" s="955">
        <v>3.5346107798998667</v>
      </c>
      <c r="LR23" s="955">
        <v>14.424631372549023</v>
      </c>
      <c r="LS23" s="955">
        <v>22.618728632633523</v>
      </c>
      <c r="LT23" s="955">
        <v>39.650352941176465</v>
      </c>
      <c r="LU23" s="955">
        <v>3.7469695991180156</v>
      </c>
      <c r="LV23" s="955">
        <v>10.840094117647062</v>
      </c>
      <c r="LW23" s="955">
        <v>13.783739956740103</v>
      </c>
      <c r="LX23" s="955">
        <v>0</v>
      </c>
      <c r="LY23" s="955">
        <v>0</v>
      </c>
      <c r="LZ23" s="955">
        <v>45.95663921568628</v>
      </c>
      <c r="MA23" s="956">
        <v>223.19892212866097</v>
      </c>
      <c r="MB23" s="954">
        <v>59.486234509803921</v>
      </c>
      <c r="MC23" s="955">
        <v>9.0505823093975835</v>
      </c>
      <c r="MD23" s="955">
        <v>14.573137254901965</v>
      </c>
      <c r="ME23" s="955">
        <v>18.965714827568288</v>
      </c>
      <c r="MF23" s="955">
        <v>54.89881490196079</v>
      </c>
      <c r="MG23" s="955">
        <v>8.5871846075259075</v>
      </c>
      <c r="MH23" s="955">
        <v>10.953011764705884</v>
      </c>
      <c r="MI23" s="955">
        <v>12.003432617730063</v>
      </c>
      <c r="MJ23" s="955">
        <v>0</v>
      </c>
      <c r="MK23" s="955">
        <v>0</v>
      </c>
      <c r="ML23" s="955">
        <v>46.398921568627465</v>
      </c>
      <c r="MM23" s="956">
        <v>182.51118703355269</v>
      </c>
      <c r="MN23" s="954">
        <v>39.347725490196083</v>
      </c>
      <c r="MO23" s="955">
        <v>0</v>
      </c>
      <c r="MP23" s="955">
        <v>19.275823529411767</v>
      </c>
      <c r="MQ23" s="955">
        <v>33.89235113917163</v>
      </c>
      <c r="MR23" s="955">
        <v>37.007333333333335</v>
      </c>
      <c r="MS23" s="955">
        <v>0</v>
      </c>
      <c r="MT23" s="955">
        <v>14.528737254901964</v>
      </c>
      <c r="MU23" s="955">
        <v>20.140559022950807</v>
      </c>
      <c r="MV23" s="955">
        <v>0</v>
      </c>
      <c r="MW23" s="955">
        <v>0</v>
      </c>
      <c r="MX23" s="955">
        <v>60.40452941176472</v>
      </c>
      <c r="MY23" s="956">
        <v>307.3320237009728</v>
      </c>
      <c r="MZ23" s="954">
        <v>32.660482352941166</v>
      </c>
      <c r="NA23" s="955">
        <v>0</v>
      </c>
      <c r="NB23" s="955">
        <v>15.959192156862745</v>
      </c>
      <c r="NC23" s="955">
        <v>29.659746765390793</v>
      </c>
      <c r="ND23" s="955">
        <v>30.495482352941174</v>
      </c>
      <c r="NE23" s="955">
        <v>0.17223004722739668</v>
      </c>
      <c r="NF23" s="955">
        <v>12.00690980392157</v>
      </c>
      <c r="NG23" s="955">
        <v>17.857304107430611</v>
      </c>
      <c r="NH23" s="955">
        <v>0</v>
      </c>
      <c r="NI23" s="955">
        <v>0</v>
      </c>
      <c r="NJ23" s="955">
        <v>50.52689019607844</v>
      </c>
      <c r="NK23" s="956">
        <v>282.41225202679487</v>
      </c>
      <c r="NL23" s="954">
        <v>52.712090196078435</v>
      </c>
      <c r="NM23" s="955">
        <v>6.8789730676658625</v>
      </c>
      <c r="NN23" s="955">
        <v>15.167160784313729</v>
      </c>
      <c r="NO23" s="955">
        <v>19.674899132512774</v>
      </c>
      <c r="NP23" s="955">
        <v>50.157286274509801</v>
      </c>
      <c r="NQ23" s="955">
        <v>6.4237194591020543</v>
      </c>
      <c r="NR23" s="955">
        <v>11.40468235294118</v>
      </c>
      <c r="NS23" s="955">
        <v>12.161077862909023</v>
      </c>
      <c r="NT23" s="955">
        <v>0</v>
      </c>
      <c r="NU23" s="955">
        <v>0</v>
      </c>
      <c r="NV23" s="955">
        <v>48.168050980392159</v>
      </c>
      <c r="NW23" s="956">
        <v>194.27616293415738</v>
      </c>
      <c r="NX23" s="954">
        <v>54.383558431372549</v>
      </c>
      <c r="NY23" s="955">
        <v>10.685908578693962</v>
      </c>
      <c r="NZ23" s="955">
        <v>14.276125490196081</v>
      </c>
      <c r="OA23" s="955">
        <v>20.097192233309947</v>
      </c>
      <c r="OB23" s="955">
        <v>50.835436862745091</v>
      </c>
      <c r="OC23" s="955">
        <v>9.8989223422140658</v>
      </c>
      <c r="OD23" s="955">
        <v>10.727176470588237</v>
      </c>
      <c r="OE23" s="955">
        <v>12.952217091793182</v>
      </c>
      <c r="OF23" s="955">
        <v>0</v>
      </c>
      <c r="OG23" s="955">
        <v>0</v>
      </c>
      <c r="OH23" s="955">
        <v>45.514356862745103</v>
      </c>
      <c r="OI23" s="956">
        <v>182.10465557857827</v>
      </c>
      <c r="OJ23" s="954">
        <v>55.75589411764706</v>
      </c>
      <c r="OK23" s="955">
        <v>2.5693988387356437</v>
      </c>
      <c r="OL23" s="955">
        <v>16.503713725490197</v>
      </c>
      <c r="OM23" s="955">
        <v>24.912477284297026</v>
      </c>
      <c r="ON23" s="955">
        <v>52.998835294117647</v>
      </c>
      <c r="OO23" s="955">
        <v>2.9186819196729461</v>
      </c>
      <c r="OP23" s="955">
        <v>12.420941176470592</v>
      </c>
      <c r="OQ23" s="955">
        <v>14.985850178692912</v>
      </c>
      <c r="OR23" s="955">
        <v>0</v>
      </c>
      <c r="OS23" s="955">
        <v>0</v>
      </c>
      <c r="OT23" s="955">
        <v>52.148592156862755</v>
      </c>
      <c r="OU23" s="956">
        <v>240.53527642291328</v>
      </c>
      <c r="OV23" s="954">
        <v>55.14403843137255</v>
      </c>
      <c r="OW23" s="955">
        <v>14.7853835214743</v>
      </c>
      <c r="OX23" s="955">
        <v>13.533596078431374</v>
      </c>
      <c r="OY23" s="955">
        <v>15.958675999616677</v>
      </c>
      <c r="OZ23" s="955">
        <v>51.459658039215689</v>
      </c>
      <c r="PA23" s="955">
        <v>13.036383050844734</v>
      </c>
      <c r="PB23" s="955">
        <v>10.16258823529412</v>
      </c>
      <c r="PC23" s="955">
        <v>9.6653968870913545</v>
      </c>
      <c r="PD23" s="955">
        <v>0</v>
      </c>
      <c r="PE23" s="955">
        <v>0</v>
      </c>
      <c r="PF23" s="955">
        <v>43.302945098039231</v>
      </c>
      <c r="PG23" s="956">
        <v>162.77258665570199</v>
      </c>
      <c r="PH23" s="954">
        <v>52.513756862745097</v>
      </c>
      <c r="PI23" s="955">
        <v>1.4487997395311314</v>
      </c>
      <c r="PJ23" s="955">
        <v>18.582796078431375</v>
      </c>
      <c r="PK23" s="955">
        <v>30.512617409907769</v>
      </c>
      <c r="PL23" s="955">
        <v>49.351325490196089</v>
      </c>
      <c r="PM23" s="955">
        <v>1.7643859842808505</v>
      </c>
      <c r="PN23" s="955">
        <v>14.001788235294121</v>
      </c>
      <c r="PO23" s="955">
        <v>18.886121330267219</v>
      </c>
      <c r="PP23" s="955">
        <v>0</v>
      </c>
      <c r="PQ23" s="955">
        <v>0</v>
      </c>
      <c r="PR23" s="955">
        <v>58.340545098039229</v>
      </c>
      <c r="PS23" s="956">
        <v>271.71464801962503</v>
      </c>
      <c r="PT23" s="954">
        <v>62.462140392156861</v>
      </c>
      <c r="PU23" s="955">
        <v>11.217007286486384</v>
      </c>
      <c r="PV23" s="955">
        <v>14.424631372549023</v>
      </c>
      <c r="PW23" s="955">
        <v>16.238358314263859</v>
      </c>
      <c r="PX23" s="955">
        <v>57.227014901960786</v>
      </c>
      <c r="PY23" s="955">
        <v>10.332368068746964</v>
      </c>
      <c r="PZ23" s="955">
        <v>10.840094117647062</v>
      </c>
      <c r="QA23" s="955">
        <v>9.9653172219098352</v>
      </c>
      <c r="QB23" s="955">
        <v>0</v>
      </c>
      <c r="QC23" s="955">
        <v>0</v>
      </c>
      <c r="QD23" s="955">
        <v>45.95663921568628</v>
      </c>
      <c r="QE23" s="956">
        <v>167.43797156091267</v>
      </c>
      <c r="QF23" s="954">
        <v>56.163930196078446</v>
      </c>
      <c r="QG23" s="955">
        <v>10.142344568098633</v>
      </c>
      <c r="QH23" s="955">
        <v>14.177121568627454</v>
      </c>
      <c r="QI23" s="955">
        <v>19.576065815638383</v>
      </c>
      <c r="QJ23" s="955">
        <v>52.269173333333342</v>
      </c>
      <c r="QK23" s="955">
        <v>9.4290847180120743</v>
      </c>
      <c r="QL23" s="955">
        <v>10.651898039215689</v>
      </c>
      <c r="QM23" s="955">
        <v>12.441078835229716</v>
      </c>
      <c r="QN23" s="955">
        <v>0</v>
      </c>
      <c r="QO23" s="955">
        <v>0</v>
      </c>
      <c r="QP23" s="955">
        <v>45.219501960784321</v>
      </c>
      <c r="QQ23" s="956">
        <v>183.19640001531332</v>
      </c>
      <c r="QR23" s="954">
        <v>45.571733333333334</v>
      </c>
      <c r="QS23" s="955">
        <v>6.0251416322535514E-2</v>
      </c>
      <c r="QT23" s="955">
        <v>16.058196078431376</v>
      </c>
      <c r="QU23" s="955">
        <v>26.380239434412488</v>
      </c>
      <c r="QV23" s="955">
        <v>43.188301960784315</v>
      </c>
      <c r="QW23" s="955">
        <v>0.60394536322524872</v>
      </c>
      <c r="QX23" s="955">
        <v>12.082188235294122</v>
      </c>
      <c r="QY23" s="955">
        <v>15.199340812056993</v>
      </c>
      <c r="QZ23" s="955">
        <v>0</v>
      </c>
      <c r="RA23" s="955">
        <v>0</v>
      </c>
      <c r="RB23" s="955">
        <v>50.821745098039223</v>
      </c>
      <c r="RC23" s="956">
        <v>270.63744837571591</v>
      </c>
      <c r="RD23" s="954">
        <v>58.123161568627459</v>
      </c>
      <c r="RE23" s="955">
        <v>11.243240525519424</v>
      </c>
      <c r="RF23" s="955">
        <v>14.375129411764707</v>
      </c>
      <c r="RG23" s="955">
        <v>18.170550215923509</v>
      </c>
      <c r="RH23" s="955">
        <v>53.803659607843144</v>
      </c>
      <c r="RI23" s="955">
        <v>10.281435771862736</v>
      </c>
      <c r="RJ23" s="955">
        <v>10.802454901960786</v>
      </c>
      <c r="RK23" s="955">
        <v>11.347144974178185</v>
      </c>
      <c r="RL23" s="955">
        <v>0</v>
      </c>
      <c r="RM23" s="955">
        <v>0</v>
      </c>
      <c r="RN23" s="955">
        <v>45.809211764705886</v>
      </c>
      <c r="RO23" s="956">
        <v>176.81884570247303</v>
      </c>
      <c r="RP23" s="954">
        <v>55.066703529411768</v>
      </c>
      <c r="RQ23" s="955">
        <v>10.57499040333151</v>
      </c>
      <c r="RR23" s="955">
        <v>14.276125490196081</v>
      </c>
      <c r="RS23" s="955">
        <v>17.607994832464932</v>
      </c>
      <c r="RT23" s="955">
        <v>51.390915294117654</v>
      </c>
      <c r="RU23" s="955">
        <v>9.769152420313981</v>
      </c>
      <c r="RV23" s="955">
        <v>10.727176470588237</v>
      </c>
      <c r="RW23" s="955">
        <v>10.918893514834393</v>
      </c>
      <c r="RX23" s="955">
        <v>0</v>
      </c>
      <c r="RY23" s="955">
        <v>0</v>
      </c>
      <c r="RZ23" s="955">
        <v>45.514356862745103</v>
      </c>
      <c r="SA23" s="956">
        <v>175.95861732252044</v>
      </c>
    </row>
    <row r="24" spans="1:495">
      <c r="A24" s="966">
        <f>[3]Eingabedaten!A26</f>
        <v>6.02</v>
      </c>
      <c r="B24" s="169" t="str">
        <f>[3]Eingabedaten!C26</f>
        <v>Selbstbedienungsrestaurant</v>
      </c>
      <c r="C24" s="987">
        <f t="shared" si="1"/>
        <v>18</v>
      </c>
      <c r="D24" s="954" cm="1">
        <f t="array" ref="D24">INDEX($P$7:$SA$51,$C24,$G$3-1+D$2)</f>
        <v>52.47081882352942</v>
      </c>
      <c r="E24" s="955" cm="1">
        <f t="array" ref="E24">INDEX($P$7:$SA$51,$C24,$G$3-1+E$2)</f>
        <v>5.871023497556167</v>
      </c>
      <c r="F24" s="955" cm="1">
        <f t="array" ref="F24">INDEX($P$7:$SA$51,$C24,$G$3-1+F$2)</f>
        <v>9.5592352941176486</v>
      </c>
      <c r="G24" s="955" cm="1">
        <f t="array" ref="G24">INDEX($P$7:$SA$51,$C24,$G$3-1+G$2)</f>
        <v>10.528582397238287</v>
      </c>
      <c r="H24" s="955" cm="1">
        <f t="array" ref="H24">INDEX($P$7:$SA$51,$C24,$G$3-1+H$2)</f>
        <v>50.803830588235293</v>
      </c>
      <c r="I24" s="955" cm="1">
        <f t="array" ref="I24">INDEX($P$7:$SA$51,$C24,$G$3-1+I$2)</f>
        <v>5.3771450649102706</v>
      </c>
      <c r="J24" s="955" cm="1">
        <f t="array" ref="J24">INDEX($P$7:$SA$51,$C24,$G$3-1+J$2)</f>
        <v>7.530705882352942</v>
      </c>
      <c r="K24" s="955" cm="1">
        <f t="array" ref="K24">INDEX($P$7:$SA$51,$C24,$G$3-1+K$2)</f>
        <v>6.652144964056447</v>
      </c>
      <c r="L24" s="955" cm="1">
        <f t="array" ref="L24">INDEX($P$7:$SA$51,$C24,$G$3-1+L$2)</f>
        <v>0</v>
      </c>
      <c r="M24" s="955" cm="1">
        <f t="array" ref="M24">INDEX($P$7:$SA$51,$C24,$G$3-1+M$2)</f>
        <v>0</v>
      </c>
      <c r="N24" s="955" cm="1">
        <f t="array" ref="N24">INDEX($P$7:$SA$51,$C24,$G$3-1+N$2)</f>
        <v>30.497494117647065</v>
      </c>
      <c r="O24" s="956" cm="1">
        <f t="array" ref="O24">INDEX($P$7:$SA$51,$C24,$G$3-1+O$2)</f>
        <v>98.754495234891166</v>
      </c>
      <c r="P24" s="954">
        <v>41.539576470588237</v>
      </c>
      <c r="Q24" s="955">
        <v>0.48047792978909548</v>
      </c>
      <c r="R24" s="955">
        <v>10.46484705882353</v>
      </c>
      <c r="S24" s="955">
        <v>12.585432664436926</v>
      </c>
      <c r="T24" s="955">
        <v>40.660576470588232</v>
      </c>
      <c r="U24" s="955">
        <v>0.73055314884831046</v>
      </c>
      <c r="V24" s="955">
        <v>8.2441411764705883</v>
      </c>
      <c r="W24" s="955">
        <v>7.2110285424199185</v>
      </c>
      <c r="X24" s="955">
        <v>0</v>
      </c>
      <c r="Y24" s="955">
        <v>0</v>
      </c>
      <c r="Z24" s="955">
        <v>33.196858823529418</v>
      </c>
      <c r="AA24" s="956">
        <v>134.6759880972192</v>
      </c>
      <c r="AB24" s="954">
        <v>57.224978823529419</v>
      </c>
      <c r="AC24" s="955">
        <v>6.3811931425766346</v>
      </c>
      <c r="AD24" s="955">
        <v>8.8884117647058822</v>
      </c>
      <c r="AE24" s="955">
        <v>9.7538018140893303</v>
      </c>
      <c r="AF24" s="955">
        <v>54.739414117647058</v>
      </c>
      <c r="AG24" s="955">
        <v>5.8228077385841885</v>
      </c>
      <c r="AH24" s="955">
        <v>7.0022352941176473</v>
      </c>
      <c r="AI24" s="955">
        <v>6.165115892738398</v>
      </c>
      <c r="AJ24" s="955">
        <v>0</v>
      </c>
      <c r="AK24" s="955">
        <v>0</v>
      </c>
      <c r="AL24" s="955">
        <v>28.49796470588236</v>
      </c>
      <c r="AM24" s="956">
        <v>94.2201429844621</v>
      </c>
      <c r="AN24" s="954">
        <v>60.816776470588245</v>
      </c>
      <c r="AO24" s="955">
        <v>5.1608613935381182</v>
      </c>
      <c r="AP24" s="955">
        <v>8.9219529411764729</v>
      </c>
      <c r="AQ24" s="955">
        <v>11.084894794132818</v>
      </c>
      <c r="AR24" s="955">
        <v>57.694541176470587</v>
      </c>
      <c r="AS24" s="955">
        <v>4.9205986605030718</v>
      </c>
      <c r="AT24" s="955">
        <v>7.0286588235294136</v>
      </c>
      <c r="AU24" s="955">
        <v>7.2679204008277001</v>
      </c>
      <c r="AV24" s="955">
        <v>0</v>
      </c>
      <c r="AW24" s="955">
        <v>0</v>
      </c>
      <c r="AX24" s="955">
        <v>28.597941176470599</v>
      </c>
      <c r="AY24" s="956">
        <v>98.909792622900639</v>
      </c>
      <c r="AZ24" s="954">
        <v>58.268223529411763</v>
      </c>
      <c r="BA24" s="955">
        <v>7.8057589145540724</v>
      </c>
      <c r="BB24" s="955">
        <v>9.2238235294117672</v>
      </c>
      <c r="BC24" s="955">
        <v>8.5922335241165939</v>
      </c>
      <c r="BD24" s="955">
        <v>55.600752941176474</v>
      </c>
      <c r="BE24" s="955">
        <v>6.881024110134013</v>
      </c>
      <c r="BF24" s="955">
        <v>7.2664705882352951</v>
      </c>
      <c r="BG24" s="955">
        <v>5.2857571225717432</v>
      </c>
      <c r="BH24" s="955">
        <v>0</v>
      </c>
      <c r="BI24" s="955">
        <v>0</v>
      </c>
      <c r="BJ24" s="955">
        <v>29.497729411764716</v>
      </c>
      <c r="BK24" s="956">
        <v>88.193092628999494</v>
      </c>
      <c r="BL24" s="954">
        <v>56.027712941176475</v>
      </c>
      <c r="BM24" s="955">
        <v>5.747083592264306</v>
      </c>
      <c r="BN24" s="955">
        <v>9.5256941176470598</v>
      </c>
      <c r="BO24" s="955">
        <v>10.907271916446904</v>
      </c>
      <c r="BP24" s="955">
        <v>53.754371764705887</v>
      </c>
      <c r="BQ24" s="955">
        <v>5.2784907126180336</v>
      </c>
      <c r="BR24" s="955">
        <v>7.5042823529411766</v>
      </c>
      <c r="BS24" s="955">
        <v>6.8804493529369157</v>
      </c>
      <c r="BT24" s="955">
        <v>0</v>
      </c>
      <c r="BU24" s="955">
        <v>0</v>
      </c>
      <c r="BV24" s="955">
        <v>30.397517647058827</v>
      </c>
      <c r="BW24" s="956">
        <v>101.25367958338684</v>
      </c>
      <c r="BX24" s="954">
        <v>56.613696470588231</v>
      </c>
      <c r="BY24" s="955">
        <v>6.3925198499352174</v>
      </c>
      <c r="BZ24" s="955">
        <v>9.4250705882352968</v>
      </c>
      <c r="CA24" s="955">
        <v>11.337405599020572</v>
      </c>
      <c r="CB24" s="955">
        <v>54.279719999999998</v>
      </c>
      <c r="CC24" s="955">
        <v>5.8055836225594781</v>
      </c>
      <c r="CD24" s="955">
        <v>7.4250117647058831</v>
      </c>
      <c r="CE24" s="955">
        <v>7.4155346673585898</v>
      </c>
      <c r="CF24" s="955">
        <v>0</v>
      </c>
      <c r="CG24" s="955">
        <v>0</v>
      </c>
      <c r="CH24" s="955">
        <v>30.097588235294126</v>
      </c>
      <c r="CI24" s="956">
        <v>99.119985850799068</v>
      </c>
      <c r="CJ24" s="954">
        <v>56.564385882352944</v>
      </c>
      <c r="CK24" s="955">
        <v>5.5143298616857397</v>
      </c>
      <c r="CL24" s="955">
        <v>9.4586117647058821</v>
      </c>
      <c r="CM24" s="955">
        <v>9.3416545566527152</v>
      </c>
      <c r="CN24" s="955">
        <v>54.169774117647059</v>
      </c>
      <c r="CO24" s="955">
        <v>5.1553974022339331</v>
      </c>
      <c r="CP24" s="955">
        <v>7.4514352941176476</v>
      </c>
      <c r="CQ24" s="955">
        <v>5.6233854707588673</v>
      </c>
      <c r="CR24" s="955">
        <v>0</v>
      </c>
      <c r="CS24" s="955">
        <v>0</v>
      </c>
      <c r="CT24" s="955">
        <v>30.197564705882357</v>
      </c>
      <c r="CU24" s="956">
        <v>96.049347224742149</v>
      </c>
      <c r="CV24" s="954">
        <v>29.07849411764705</v>
      </c>
      <c r="CW24" s="955">
        <v>0</v>
      </c>
      <c r="CX24" s="955">
        <v>11.437541176470589</v>
      </c>
      <c r="CY24" s="955">
        <v>15.871287621023656</v>
      </c>
      <c r="CZ24" s="955">
        <v>28.370317647058815</v>
      </c>
      <c r="DA24" s="955">
        <v>0</v>
      </c>
      <c r="DB24" s="955">
        <v>9.0104235294117654</v>
      </c>
      <c r="DC24" s="955">
        <v>9.2576640057558457</v>
      </c>
      <c r="DD24" s="955">
        <v>0</v>
      </c>
      <c r="DE24" s="955">
        <v>0</v>
      </c>
      <c r="DF24" s="955">
        <v>36.096176470588247</v>
      </c>
      <c r="DG24" s="956">
        <v>155.73994982879123</v>
      </c>
      <c r="DH24" s="954">
        <v>54.984468235294123</v>
      </c>
      <c r="DI24" s="955">
        <v>1.4299435044160107</v>
      </c>
      <c r="DJ24" s="955">
        <v>10.297141176470589</v>
      </c>
      <c r="DK24" s="955">
        <v>11.383108924641805</v>
      </c>
      <c r="DL24" s="955">
        <v>52.893032941176479</v>
      </c>
      <c r="DM24" s="955">
        <v>1.5315377227163671</v>
      </c>
      <c r="DN24" s="955">
        <v>8.1120235294117649</v>
      </c>
      <c r="DO24" s="955">
        <v>6.4976731078773806</v>
      </c>
      <c r="DP24" s="955">
        <v>0</v>
      </c>
      <c r="DQ24" s="955">
        <v>0</v>
      </c>
      <c r="DR24" s="955">
        <v>32.69697647058824</v>
      </c>
      <c r="DS24" s="956">
        <v>124.19362754167445</v>
      </c>
      <c r="DT24" s="954">
        <v>58.173658823529408</v>
      </c>
      <c r="DU24" s="955">
        <v>0.99827492162406817</v>
      </c>
      <c r="DV24" s="955">
        <v>10.800258823529415</v>
      </c>
      <c r="DW24" s="955">
        <v>15.798583722697806</v>
      </c>
      <c r="DX24" s="955">
        <v>57.052658823529413</v>
      </c>
      <c r="DY24" s="955">
        <v>1.1312836811029445</v>
      </c>
      <c r="DZ24" s="955">
        <v>8.508376470588237</v>
      </c>
      <c r="EA24" s="955">
        <v>10.247456126463266</v>
      </c>
      <c r="EB24" s="955">
        <v>0</v>
      </c>
      <c r="EC24" s="955">
        <v>0</v>
      </c>
      <c r="ED24" s="955">
        <v>34.196623529411774</v>
      </c>
      <c r="EE24" s="956">
        <v>134.48715263875911</v>
      </c>
      <c r="EF24" s="954">
        <v>55.213098823529407</v>
      </c>
      <c r="EG24" s="955">
        <v>8.7814311019319966</v>
      </c>
      <c r="EH24" s="955">
        <v>8.452376470588236</v>
      </c>
      <c r="EI24" s="955">
        <v>8.3142231443769852</v>
      </c>
      <c r="EJ24" s="955">
        <v>53.06102823529411</v>
      </c>
      <c r="EK24" s="955">
        <v>7.6389369027528709</v>
      </c>
      <c r="EL24" s="955">
        <v>6.6587294117647069</v>
      </c>
      <c r="EM24" s="955">
        <v>5.0849837471996535</v>
      </c>
      <c r="EN24" s="955">
        <v>0</v>
      </c>
      <c r="EO24" s="955">
        <v>0</v>
      </c>
      <c r="EP24" s="955">
        <v>27.1982705882353</v>
      </c>
      <c r="EQ24" s="956">
        <v>86.181043142117062</v>
      </c>
      <c r="ER24" s="954">
        <v>54.11445411764705</v>
      </c>
      <c r="ES24" s="955">
        <v>3.8287558348424415</v>
      </c>
      <c r="ET24" s="955">
        <v>9.7940235294117652</v>
      </c>
      <c r="EU24" s="955">
        <v>14.374902973525701</v>
      </c>
      <c r="EV24" s="955">
        <v>52.295877647058823</v>
      </c>
      <c r="EW24" s="955">
        <v>3.6695157754816461</v>
      </c>
      <c r="EX24" s="955">
        <v>7.7156705882352945</v>
      </c>
      <c r="EY24" s="955">
        <v>9.7077784287257014</v>
      </c>
      <c r="EZ24" s="955">
        <v>0</v>
      </c>
      <c r="FA24" s="955">
        <v>0</v>
      </c>
      <c r="FB24" s="955">
        <v>31.197329411764713</v>
      </c>
      <c r="FC24" s="956">
        <v>112.4897299684592</v>
      </c>
      <c r="FD24" s="954">
        <v>6.6252941176470603</v>
      </c>
      <c r="FE24" s="955">
        <v>0</v>
      </c>
      <c r="FF24" s="955">
        <v>12.208988235294118</v>
      </c>
      <c r="FG24" s="955">
        <v>20.512120841611161</v>
      </c>
      <c r="FH24" s="955">
        <v>4.4898823529411747</v>
      </c>
      <c r="FI24" s="955">
        <v>0</v>
      </c>
      <c r="FJ24" s="955">
        <v>9.6181647058823536</v>
      </c>
      <c r="FK24" s="955">
        <v>12.031544350078281</v>
      </c>
      <c r="FL24" s="955">
        <v>0</v>
      </c>
      <c r="FM24" s="955">
        <v>0</v>
      </c>
      <c r="FN24" s="955">
        <v>38.395635294117653</v>
      </c>
      <c r="FO24" s="956">
        <v>192.29378515878125</v>
      </c>
      <c r="FP24" s="954">
        <v>57.856011764705876</v>
      </c>
      <c r="FQ24" s="955">
        <v>5.7287594272631788</v>
      </c>
      <c r="FR24" s="955">
        <v>9.3915294117647079</v>
      </c>
      <c r="FS24" s="955">
        <v>11.60270376739218</v>
      </c>
      <c r="FT24" s="955">
        <v>56.735011764705881</v>
      </c>
      <c r="FU24" s="955">
        <v>5.2704649475876826</v>
      </c>
      <c r="FV24" s="955">
        <v>7.3985882352941186</v>
      </c>
      <c r="FW24" s="955">
        <v>7.5517113387769399</v>
      </c>
      <c r="FX24" s="955">
        <v>0</v>
      </c>
      <c r="FY24" s="955">
        <v>0</v>
      </c>
      <c r="FZ24" s="955">
        <v>29.997611764705891</v>
      </c>
      <c r="GA24" s="956">
        <v>101.68490631313335</v>
      </c>
      <c r="GB24" s="954">
        <v>53.008011764705884</v>
      </c>
      <c r="GC24" s="955">
        <v>4.4266736990874058</v>
      </c>
      <c r="GD24" s="955">
        <v>9.3915294117647079</v>
      </c>
      <c r="GE24" s="955">
        <v>12.124396311247786</v>
      </c>
      <c r="GF24" s="955">
        <v>51.958188235294116</v>
      </c>
      <c r="GG24" s="955">
        <v>4.2230905770112637</v>
      </c>
      <c r="GH24" s="955">
        <v>7.3985882352941186</v>
      </c>
      <c r="GI24" s="955">
        <v>7.7848835697665937</v>
      </c>
      <c r="GJ24" s="955">
        <v>0</v>
      </c>
      <c r="GK24" s="955">
        <v>0</v>
      </c>
      <c r="GL24" s="955">
        <v>29.997611764705891</v>
      </c>
      <c r="GM24" s="956">
        <v>107.00640322021805</v>
      </c>
      <c r="GN24" s="954">
        <v>53.086903529411778</v>
      </c>
      <c r="GO24" s="955">
        <v>1.647319757818104</v>
      </c>
      <c r="GP24" s="955">
        <v>10.230058823529413</v>
      </c>
      <c r="GQ24" s="955">
        <v>12.594353449357222</v>
      </c>
      <c r="GR24" s="955">
        <v>51.298644705882353</v>
      </c>
      <c r="GS24" s="955">
        <v>1.6884589487061592</v>
      </c>
      <c r="GT24" s="955">
        <v>8.0591764705882358</v>
      </c>
      <c r="GU24" s="955">
        <v>7.4952939903131313</v>
      </c>
      <c r="GV24" s="955">
        <v>0</v>
      </c>
      <c r="GW24" s="955">
        <v>0</v>
      </c>
      <c r="GX24" s="955">
        <v>32.49702352941177</v>
      </c>
      <c r="GY24" s="956">
        <v>124.84465278820061</v>
      </c>
      <c r="GZ24" s="954">
        <v>40.014482352941172</v>
      </c>
      <c r="HA24" s="955">
        <v>1.0231497379322052</v>
      </c>
      <c r="HB24" s="955">
        <v>10.263600000000002</v>
      </c>
      <c r="HC24" s="955">
        <v>15.174196961215452</v>
      </c>
      <c r="HD24" s="955">
        <v>39.142599999999995</v>
      </c>
      <c r="HE24" s="955">
        <v>1.1207488304577657</v>
      </c>
      <c r="HF24" s="955">
        <v>8.0856000000000012</v>
      </c>
      <c r="HG24" s="955">
        <v>9.4971856039443594</v>
      </c>
      <c r="HH24" s="955">
        <v>0</v>
      </c>
      <c r="HI24" s="955">
        <v>0</v>
      </c>
      <c r="HJ24" s="955">
        <v>32.597000000000016</v>
      </c>
      <c r="HK24" s="956">
        <v>134.70834492938531</v>
      </c>
      <c r="HL24" s="954">
        <v>57.502919999999996</v>
      </c>
      <c r="HM24" s="955">
        <v>11.037233139816284</v>
      </c>
      <c r="HN24" s="955">
        <v>7.479682352941178</v>
      </c>
      <c r="HO24" s="955">
        <v>5.2373372585343763</v>
      </c>
      <c r="HP24" s="955">
        <v>55.017355294117642</v>
      </c>
      <c r="HQ24" s="955">
        <v>9.4406232242054635</v>
      </c>
      <c r="HR24" s="955">
        <v>5.8924470588235298</v>
      </c>
      <c r="HS24" s="955">
        <v>2.7965095181299309</v>
      </c>
      <c r="HT24" s="955">
        <v>68.068694117647055</v>
      </c>
      <c r="HU24" s="955">
        <v>2.0729106946769438</v>
      </c>
      <c r="HV24" s="955">
        <v>24.298952941176477</v>
      </c>
      <c r="HW24" s="956">
        <v>71.336028990425547</v>
      </c>
      <c r="HX24" s="954">
        <v>55.397221176470588</v>
      </c>
      <c r="HY24" s="955">
        <v>11.541641726575348</v>
      </c>
      <c r="HZ24" s="955">
        <v>7.3119764705882364</v>
      </c>
      <c r="IA24" s="955">
        <v>4.8629544792611368</v>
      </c>
      <c r="IB24" s="955">
        <v>53.15419764705883</v>
      </c>
      <c r="IC24" s="955">
        <v>9.8262296931713493</v>
      </c>
      <c r="ID24" s="955">
        <v>5.7603294117647064</v>
      </c>
      <c r="IE24" s="955">
        <v>2.519550993909029</v>
      </c>
      <c r="IF24" s="955">
        <v>64.430894117647071</v>
      </c>
      <c r="IG24" s="955">
        <v>2.7438499711958797</v>
      </c>
      <c r="IH24" s="955">
        <v>23.799070588235303</v>
      </c>
      <c r="II24" s="956">
        <v>70.85266939292309</v>
      </c>
      <c r="IJ24" s="954">
        <v>58.461950588235297</v>
      </c>
      <c r="IK24" s="955">
        <v>6.0653721555223248</v>
      </c>
      <c r="IL24" s="955">
        <v>9.1902823529411766</v>
      </c>
      <c r="IM24" s="955">
        <v>11.071608357738938</v>
      </c>
      <c r="IN24" s="955">
        <v>55.76416235294117</v>
      </c>
      <c r="IO24" s="955">
        <v>5.5769696222350085</v>
      </c>
      <c r="IP24" s="955">
        <v>7.2400470588235297</v>
      </c>
      <c r="IQ24" s="955">
        <v>7.1780730728680835</v>
      </c>
      <c r="IR24" s="955">
        <v>0</v>
      </c>
      <c r="IS24" s="955">
        <v>0</v>
      </c>
      <c r="IT24" s="955">
        <v>29.397752941176478</v>
      </c>
      <c r="IU24" s="956">
        <v>99.231422800692911</v>
      </c>
      <c r="IV24" s="954">
        <v>57.969785882352944</v>
      </c>
      <c r="IW24" s="955">
        <v>11.049791327756331</v>
      </c>
      <c r="IX24" s="955">
        <v>8.0498823529411769</v>
      </c>
      <c r="IY24" s="955">
        <v>7.486281214484908</v>
      </c>
      <c r="IZ24" s="955">
        <v>55.423585882352938</v>
      </c>
      <c r="JA24" s="955">
        <v>9.4546562827045246</v>
      </c>
      <c r="JB24" s="955">
        <v>6.3416470588235301</v>
      </c>
      <c r="JC24" s="955">
        <v>4.4030979633308025</v>
      </c>
      <c r="JD24" s="955">
        <v>68.900717647058826</v>
      </c>
      <c r="JE24" s="955">
        <v>1.9669581334908059</v>
      </c>
      <c r="JF24" s="955">
        <v>25.998552941176477</v>
      </c>
      <c r="JG24" s="956">
        <v>80.101495010126229</v>
      </c>
      <c r="JH24" s="954">
        <v>46.086199999999991</v>
      </c>
      <c r="JI24" s="955">
        <v>1.3810428528575884</v>
      </c>
      <c r="JJ24" s="955">
        <v>10.263600000000002</v>
      </c>
      <c r="JK24" s="955">
        <v>10.877430598124644</v>
      </c>
      <c r="JL24" s="955">
        <v>45.128905882352932</v>
      </c>
      <c r="JM24" s="955">
        <v>1.3866786157191147</v>
      </c>
      <c r="JN24" s="955">
        <v>8.0856000000000012</v>
      </c>
      <c r="JO24" s="955">
        <v>5.9756812588210551</v>
      </c>
      <c r="JP24" s="955">
        <v>0</v>
      </c>
      <c r="JQ24" s="955">
        <v>0</v>
      </c>
      <c r="JR24" s="955">
        <v>32.597000000000016</v>
      </c>
      <c r="JS24" s="956">
        <v>125.19002046410185</v>
      </c>
      <c r="JT24" s="954">
        <v>54.676425882352937</v>
      </c>
      <c r="JU24" s="955">
        <v>7.4328031151587464</v>
      </c>
      <c r="JV24" s="955">
        <v>8.8548705882352952</v>
      </c>
      <c r="JW24" s="955">
        <v>9.8628984013914351</v>
      </c>
      <c r="JX24" s="955">
        <v>52.645625882352945</v>
      </c>
      <c r="JY24" s="955">
        <v>6.6274089193437922</v>
      </c>
      <c r="JZ24" s="955">
        <v>6.9758117647058828</v>
      </c>
      <c r="KA24" s="955">
        <v>6.3258935206352742</v>
      </c>
      <c r="KB24" s="955">
        <v>0</v>
      </c>
      <c r="KC24" s="955">
        <v>0</v>
      </c>
      <c r="KD24" s="955">
        <v>28.397988235294122</v>
      </c>
      <c r="KE24" s="956">
        <v>92.758227806916267</v>
      </c>
      <c r="KF24" s="954">
        <v>57.101058823529414</v>
      </c>
      <c r="KG24" s="955">
        <v>6.4011005011919462</v>
      </c>
      <c r="KH24" s="955">
        <v>9.2909058823529413</v>
      </c>
      <c r="KI24" s="955">
        <v>10.661623640723707</v>
      </c>
      <c r="KJ24" s="955">
        <v>54.585176470588245</v>
      </c>
      <c r="KK24" s="955">
        <v>5.7761061918616541</v>
      </c>
      <c r="KL24" s="955">
        <v>7.3193176470588242</v>
      </c>
      <c r="KM24" s="955">
        <v>6.8204078567342608</v>
      </c>
      <c r="KN24" s="955">
        <v>0</v>
      </c>
      <c r="KO24" s="955">
        <v>0</v>
      </c>
      <c r="KP24" s="955">
        <v>29.697682352941182</v>
      </c>
      <c r="KQ24" s="956">
        <v>98.228322569877975</v>
      </c>
      <c r="KR24" s="954">
        <v>54.820152941176474</v>
      </c>
      <c r="KS24" s="955">
        <v>3.2919232368949793</v>
      </c>
      <c r="KT24" s="955">
        <v>9.4586117647058821</v>
      </c>
      <c r="KU24" s="955">
        <v>14.198412905547306</v>
      </c>
      <c r="KV24" s="955">
        <v>53.741858823529412</v>
      </c>
      <c r="KW24" s="955">
        <v>3.0750577990977805</v>
      </c>
      <c r="KX24" s="955">
        <v>7.4514352941176476</v>
      </c>
      <c r="KY24" s="955">
        <v>9.4287146978712038</v>
      </c>
      <c r="KZ24" s="955">
        <v>0</v>
      </c>
      <c r="LA24" s="955">
        <v>0</v>
      </c>
      <c r="LB24" s="955">
        <v>30.197564705882357</v>
      </c>
      <c r="LC24" s="956">
        <v>118.56935630239353</v>
      </c>
      <c r="LD24" s="954">
        <v>55.60710588235294</v>
      </c>
      <c r="LE24" s="955">
        <v>8.9463756696689813</v>
      </c>
      <c r="LF24" s="955">
        <v>8.4859176470588249</v>
      </c>
      <c r="LG24" s="955">
        <v>7.5336624502255756</v>
      </c>
      <c r="LH24" s="955">
        <v>54.514576470588239</v>
      </c>
      <c r="LI24" s="955">
        <v>7.7643073381415384</v>
      </c>
      <c r="LJ24" s="955">
        <v>6.6851529411764705</v>
      </c>
      <c r="LK24" s="955">
        <v>4.5033488466581435</v>
      </c>
      <c r="LL24" s="955">
        <v>0</v>
      </c>
      <c r="LM24" s="955">
        <v>0</v>
      </c>
      <c r="LN24" s="955">
        <v>27.298247058823538</v>
      </c>
      <c r="LO24" s="956">
        <v>82.819034010069245</v>
      </c>
      <c r="LP24" s="954">
        <v>39.902529411764711</v>
      </c>
      <c r="LQ24" s="955">
        <v>1.840284322222296</v>
      </c>
      <c r="LR24" s="955">
        <v>9.6598588235294134</v>
      </c>
      <c r="LS24" s="955">
        <v>13.449048172771231</v>
      </c>
      <c r="LT24" s="955">
        <v>39.04488235294118</v>
      </c>
      <c r="LU24" s="955">
        <v>1.9540951178901509</v>
      </c>
      <c r="LV24" s="955">
        <v>7.6099764705882365</v>
      </c>
      <c r="LW24" s="955">
        <v>8.2838496407499917</v>
      </c>
      <c r="LX24" s="955">
        <v>0</v>
      </c>
      <c r="LY24" s="955">
        <v>0</v>
      </c>
      <c r="LZ24" s="955">
        <v>30.797423529411773</v>
      </c>
      <c r="MA24" s="956">
        <v>125.38361396331828</v>
      </c>
      <c r="MB24" s="954">
        <v>57.960181176470591</v>
      </c>
      <c r="MC24" s="955">
        <v>5.0166112755734638</v>
      </c>
      <c r="MD24" s="955">
        <v>9.7604823529411782</v>
      </c>
      <c r="ME24" s="955">
        <v>11.361216272482931</v>
      </c>
      <c r="MF24" s="955">
        <v>55.353345882352947</v>
      </c>
      <c r="MG24" s="955">
        <v>4.6655558017031797</v>
      </c>
      <c r="MH24" s="955">
        <v>7.68924705882353</v>
      </c>
      <c r="MI24" s="955">
        <v>7.3270093185061587</v>
      </c>
      <c r="MJ24" s="955">
        <v>0</v>
      </c>
      <c r="MK24" s="955">
        <v>0</v>
      </c>
      <c r="ML24" s="955">
        <v>31.097352941176478</v>
      </c>
      <c r="MM24" s="956">
        <v>102.49581262255501</v>
      </c>
      <c r="MN24" s="954">
        <v>34.125023529411756</v>
      </c>
      <c r="MO24" s="955">
        <v>0</v>
      </c>
      <c r="MP24" s="955">
        <v>12.94689411764706</v>
      </c>
      <c r="MQ24" s="955">
        <v>19.981935706255808</v>
      </c>
      <c r="MR24" s="955">
        <v>33.345670588235286</v>
      </c>
      <c r="MS24" s="955">
        <v>0</v>
      </c>
      <c r="MT24" s="955">
        <v>10.199482352941178</v>
      </c>
      <c r="MU24" s="955">
        <v>12.010054779864749</v>
      </c>
      <c r="MV24" s="955">
        <v>0</v>
      </c>
      <c r="MW24" s="955">
        <v>0</v>
      </c>
      <c r="MX24" s="955">
        <v>40.595117647058842</v>
      </c>
      <c r="MY24" s="956">
        <v>173.0195701589991</v>
      </c>
      <c r="MZ24" s="954">
        <v>31.820141176470589</v>
      </c>
      <c r="NA24" s="955">
        <v>0</v>
      </c>
      <c r="NB24" s="955">
        <v>10.699635294117648</v>
      </c>
      <c r="NC24" s="955">
        <v>17.534335261319445</v>
      </c>
      <c r="ND24" s="955">
        <v>31.076376470588233</v>
      </c>
      <c r="NE24" s="955">
        <v>0</v>
      </c>
      <c r="NF24" s="955">
        <v>8.4291058823529426</v>
      </c>
      <c r="NG24" s="955">
        <v>10.661137742192865</v>
      </c>
      <c r="NH24" s="955">
        <v>0</v>
      </c>
      <c r="NI24" s="955">
        <v>0</v>
      </c>
      <c r="NJ24" s="955">
        <v>33.896694117647073</v>
      </c>
      <c r="NK24" s="956">
        <v>159.26892733766175</v>
      </c>
      <c r="NL24" s="954">
        <v>47.723247058823524</v>
      </c>
      <c r="NM24" s="955">
        <v>3.8416291192479206</v>
      </c>
      <c r="NN24" s="955">
        <v>10.162976470588237</v>
      </c>
      <c r="NO24" s="955">
        <v>11.726452491173713</v>
      </c>
      <c r="NP24" s="955">
        <v>46.744599999999998</v>
      </c>
      <c r="NQ24" s="955">
        <v>3.4677048579213099</v>
      </c>
      <c r="NR24" s="955">
        <v>8.0063294117647068</v>
      </c>
      <c r="NS24" s="955">
        <v>7.3686276784265692</v>
      </c>
      <c r="NT24" s="955">
        <v>0</v>
      </c>
      <c r="NU24" s="955">
        <v>0</v>
      </c>
      <c r="NV24" s="955">
        <v>32.2970705882353</v>
      </c>
      <c r="NW24" s="956">
        <v>108.92808395521683</v>
      </c>
      <c r="NX24" s="954">
        <v>52.952091764705884</v>
      </c>
      <c r="NY24" s="955">
        <v>5.9354976429730888</v>
      </c>
      <c r="NZ24" s="955">
        <v>9.5592352941176486</v>
      </c>
      <c r="OA24" s="955">
        <v>12.069524182506537</v>
      </c>
      <c r="OB24" s="955">
        <v>51.315421176470586</v>
      </c>
      <c r="OC24" s="955">
        <v>5.4563145304831968</v>
      </c>
      <c r="OD24" s="955">
        <v>7.530705882352942</v>
      </c>
      <c r="OE24" s="955">
        <v>7.9237124256902307</v>
      </c>
      <c r="OF24" s="955">
        <v>0</v>
      </c>
      <c r="OG24" s="955">
        <v>0</v>
      </c>
      <c r="OH24" s="955">
        <v>30.497494117647065</v>
      </c>
      <c r="OI24" s="956">
        <v>102.45537498141667</v>
      </c>
      <c r="OJ24" s="954">
        <v>48.374811764705882</v>
      </c>
      <c r="OK24" s="955">
        <v>1.3534219804475978</v>
      </c>
      <c r="OL24" s="955">
        <v>11.068588235294119</v>
      </c>
      <c r="OM24" s="955">
        <v>14.722220021424032</v>
      </c>
      <c r="ON24" s="955">
        <v>47.389047058823536</v>
      </c>
      <c r="OO24" s="955">
        <v>1.4542092807674001</v>
      </c>
      <c r="OP24" s="955">
        <v>8.7197647058823531</v>
      </c>
      <c r="OQ24" s="955">
        <v>8.9752496954192971</v>
      </c>
      <c r="OR24" s="955">
        <v>0</v>
      </c>
      <c r="OS24" s="955">
        <v>0</v>
      </c>
      <c r="OT24" s="955">
        <v>34.996435294117646</v>
      </c>
      <c r="OU24" s="956">
        <v>134.8930646321119</v>
      </c>
      <c r="OV24" s="954">
        <v>53.577781176470587</v>
      </c>
      <c r="OW24" s="955">
        <v>8.3865840943793746</v>
      </c>
      <c r="OX24" s="955">
        <v>9.0561176470588247</v>
      </c>
      <c r="OY24" s="955">
        <v>9.5440756776535363</v>
      </c>
      <c r="OZ24" s="955">
        <v>51.880475294117652</v>
      </c>
      <c r="PA24" s="955">
        <v>7.3442045159100031</v>
      </c>
      <c r="PB24" s="955">
        <v>7.1343529411764717</v>
      </c>
      <c r="PC24" s="955">
        <v>5.8620625344689117</v>
      </c>
      <c r="PD24" s="955">
        <v>0</v>
      </c>
      <c r="PE24" s="955">
        <v>0</v>
      </c>
      <c r="PF24" s="955">
        <v>28.997847058823535</v>
      </c>
      <c r="PG24" s="956">
        <v>91.219897059627144</v>
      </c>
      <c r="PH24" s="954">
        <v>55.193776470588233</v>
      </c>
      <c r="PI24" s="955">
        <v>0.6841282139637932</v>
      </c>
      <c r="PJ24" s="955">
        <v>12.477317647058825</v>
      </c>
      <c r="PK24" s="955">
        <v>18.088484878124206</v>
      </c>
      <c r="PL24" s="955">
        <v>54.108364705882352</v>
      </c>
      <c r="PM24" s="955">
        <v>0.85800690699389259</v>
      </c>
      <c r="PN24" s="955">
        <v>9.8295529411764733</v>
      </c>
      <c r="PO24" s="955">
        <v>11.397919458658276</v>
      </c>
      <c r="PP24" s="955">
        <v>0</v>
      </c>
      <c r="PQ24" s="955">
        <v>0</v>
      </c>
      <c r="PR24" s="955">
        <v>39.19544705882354</v>
      </c>
      <c r="PS24" s="956">
        <v>152.65695324926983</v>
      </c>
      <c r="PT24" s="954">
        <v>60.15618352941177</v>
      </c>
      <c r="PU24" s="955">
        <v>6.2519343703181356</v>
      </c>
      <c r="PV24" s="955">
        <v>9.6598588235294134</v>
      </c>
      <c r="PW24" s="955">
        <v>9.7220924119235619</v>
      </c>
      <c r="PX24" s="955">
        <v>57.124901176470594</v>
      </c>
      <c r="PY24" s="955">
        <v>5.71778123409426</v>
      </c>
      <c r="PZ24" s="955">
        <v>7.6099764705882365</v>
      </c>
      <c r="QA24" s="955">
        <v>6.0595435821971835</v>
      </c>
      <c r="QB24" s="955">
        <v>0</v>
      </c>
      <c r="QC24" s="955">
        <v>0</v>
      </c>
      <c r="QD24" s="955">
        <v>30.797423529411773</v>
      </c>
      <c r="QE24" s="956">
        <v>93.932321398726245</v>
      </c>
      <c r="QF24" s="954">
        <v>53.990534117647059</v>
      </c>
      <c r="QG24" s="955">
        <v>5.6127111998027441</v>
      </c>
      <c r="QH24" s="955">
        <v>9.4921529411764727</v>
      </c>
      <c r="QI24" s="955">
        <v>11.718717316723344</v>
      </c>
      <c r="QJ24" s="955">
        <v>52.141640000000002</v>
      </c>
      <c r="QK24" s="955">
        <v>5.1723015850177116</v>
      </c>
      <c r="QL24" s="955">
        <v>7.477858823529413</v>
      </c>
      <c r="QM24" s="955">
        <v>7.595372666084522</v>
      </c>
      <c r="QN24" s="955">
        <v>0</v>
      </c>
      <c r="QO24" s="955">
        <v>0</v>
      </c>
      <c r="QP24" s="955">
        <v>30.297541176470595</v>
      </c>
      <c r="QQ24" s="956">
        <v>102.92831467177253</v>
      </c>
      <c r="QR24" s="954">
        <v>41.635258823529405</v>
      </c>
      <c r="QS24" s="955">
        <v>0</v>
      </c>
      <c r="QT24" s="955">
        <v>10.766717647058826</v>
      </c>
      <c r="QU24" s="955">
        <v>15.525137129536107</v>
      </c>
      <c r="QV24" s="955">
        <v>40.74914117647058</v>
      </c>
      <c r="QW24" s="955">
        <v>0.16021874167560055</v>
      </c>
      <c r="QX24" s="955">
        <v>8.4819529411764716</v>
      </c>
      <c r="QY24" s="955">
        <v>8.9767377628996794</v>
      </c>
      <c r="QZ24" s="955">
        <v>0</v>
      </c>
      <c r="RA24" s="955">
        <v>0</v>
      </c>
      <c r="RB24" s="955">
        <v>34.096647058823542</v>
      </c>
      <c r="RC24" s="956">
        <v>152.46080616448535</v>
      </c>
      <c r="RD24" s="954">
        <v>56.226242352941178</v>
      </c>
      <c r="RE24" s="955">
        <v>6.2705370152174105</v>
      </c>
      <c r="RF24" s="955">
        <v>9.6263176470588245</v>
      </c>
      <c r="RG24" s="955">
        <v>10.875887075615193</v>
      </c>
      <c r="RH24" s="955">
        <v>53.95290117647059</v>
      </c>
      <c r="RI24" s="955">
        <v>5.6854195205299325</v>
      </c>
      <c r="RJ24" s="955">
        <v>7.5835529411764711</v>
      </c>
      <c r="RK24" s="955">
        <v>6.9211122626801513</v>
      </c>
      <c r="RL24" s="955">
        <v>0</v>
      </c>
      <c r="RM24" s="955">
        <v>0</v>
      </c>
      <c r="RN24" s="955">
        <v>30.697447058823535</v>
      </c>
      <c r="RO24" s="956">
        <v>99.29860703501005</v>
      </c>
      <c r="RP24" s="954">
        <v>52.47081882352942</v>
      </c>
      <c r="RQ24" s="955">
        <v>5.871023497556167</v>
      </c>
      <c r="RR24" s="955">
        <v>9.5592352941176486</v>
      </c>
      <c r="RS24" s="955">
        <v>10.528582397238287</v>
      </c>
      <c r="RT24" s="955">
        <v>50.803830588235293</v>
      </c>
      <c r="RU24" s="955">
        <v>5.3771450649102706</v>
      </c>
      <c r="RV24" s="955">
        <v>7.530705882352942</v>
      </c>
      <c r="RW24" s="955">
        <v>6.652144964056447</v>
      </c>
      <c r="RX24" s="955">
        <v>0</v>
      </c>
      <c r="RY24" s="955">
        <v>0</v>
      </c>
      <c r="RZ24" s="955">
        <v>30.497494117647065</v>
      </c>
      <c r="SA24" s="956">
        <v>98.754495234891166</v>
      </c>
    </row>
    <row r="25" spans="1:495">
      <c r="A25" s="966">
        <f>[3]Eingabedaten!A27</f>
        <v>6.03</v>
      </c>
      <c r="B25" s="169" t="str">
        <f>[3]Eingabedaten!C27</f>
        <v>Küche zu Restaurant</v>
      </c>
      <c r="C25" s="987">
        <f t="shared" si="1"/>
        <v>19</v>
      </c>
      <c r="D25" s="954" cm="1">
        <f t="array" ref="D25">INDEX($P$7:$SA$51,$C25,$G$3-1+D$2)</f>
        <v>37.90705098039215</v>
      </c>
      <c r="E25" s="955" cm="1">
        <f t="array" ref="E25">INDEX($P$7:$SA$51,$C25,$G$3-1+E$2)</f>
        <v>10.260824133875831</v>
      </c>
      <c r="F25" s="955" cm="1">
        <f t="array" ref="F25">INDEX($P$7:$SA$51,$C25,$G$3-1+F$2)</f>
        <v>22.48081176470588</v>
      </c>
      <c r="G25" s="955" cm="1">
        <f t="array" ref="G25">INDEX($P$7:$SA$51,$C25,$G$3-1+G$2)</f>
        <v>26.489435322074975</v>
      </c>
      <c r="H25" s="955" cm="1">
        <f t="array" ref="H25">INDEX($P$7:$SA$51,$C25,$G$3-1+H$2)</f>
        <v>37.868658823529408</v>
      </c>
      <c r="I25" s="955" cm="1">
        <f t="array" ref="I25">INDEX($P$7:$SA$51,$C25,$G$3-1+I$2)</f>
        <v>8.2024631770451908</v>
      </c>
      <c r="J25" s="955" cm="1">
        <f t="array" ref="J25">INDEX($P$7:$SA$51,$C25,$G$3-1+J$2)</f>
        <v>16.549223529411766</v>
      </c>
      <c r="K25" s="955" cm="1">
        <f t="array" ref="K25">INDEX($P$7:$SA$51,$C25,$G$3-1+K$2)</f>
        <v>16.613126114158732</v>
      </c>
      <c r="L25" s="955" cm="1">
        <f t="array" ref="L25">INDEX($P$7:$SA$51,$C25,$G$3-1+L$2)</f>
        <v>0</v>
      </c>
      <c r="M25" s="955" cm="1">
        <f t="array" ref="M25">INDEX($P$7:$SA$51,$C25,$G$3-1+M$2)</f>
        <v>0</v>
      </c>
      <c r="N25" s="955" cm="1">
        <f t="array" ref="N25">INDEX($P$7:$SA$51,$C25,$G$3-1+N$2)</f>
        <v>64.469670588235303</v>
      </c>
      <c r="O25" s="956" cm="1">
        <f t="array" ref="O25">INDEX($P$7:$SA$51,$C25,$G$3-1+O$2)</f>
        <v>167.56970588239261</v>
      </c>
      <c r="P25" s="954">
        <v>25.751909803921567</v>
      </c>
      <c r="Q25" s="955">
        <v>0</v>
      </c>
      <c r="R25" s="955">
        <v>24.597717647058822</v>
      </c>
      <c r="S25" s="955">
        <v>28.556554318621558</v>
      </c>
      <c r="T25" s="955">
        <v>26.462164705882351</v>
      </c>
      <c r="U25" s="955">
        <v>0</v>
      </c>
      <c r="V25" s="955">
        <v>18.147835294117648</v>
      </c>
      <c r="W25" s="955">
        <v>15.725391115818862</v>
      </c>
      <c r="X25" s="955">
        <v>0</v>
      </c>
      <c r="Y25" s="955">
        <v>0</v>
      </c>
      <c r="Z25" s="955">
        <v>70.255505882352935</v>
      </c>
      <c r="AA25" s="956">
        <v>222.4985719931486</v>
      </c>
      <c r="AB25" s="954">
        <v>43.683064313725488</v>
      </c>
      <c r="AC25" s="955">
        <v>10.327053642361893</v>
      </c>
      <c r="AD25" s="955">
        <v>20.912733333333332</v>
      </c>
      <c r="AE25" s="955">
        <v>25.17680519415504</v>
      </c>
      <c r="AF25" s="955">
        <v>42.677844705882343</v>
      </c>
      <c r="AG25" s="955">
        <v>8.4850753823486205</v>
      </c>
      <c r="AH25" s="955">
        <v>15.365066666666667</v>
      </c>
      <c r="AI25" s="955">
        <v>15.909356522960604</v>
      </c>
      <c r="AJ25" s="955">
        <v>0</v>
      </c>
      <c r="AK25" s="955">
        <v>0</v>
      </c>
      <c r="AL25" s="955">
        <v>60.183866666666667</v>
      </c>
      <c r="AM25" s="956">
        <v>160.88126244312784</v>
      </c>
      <c r="AN25" s="954">
        <v>48.173843137254906</v>
      </c>
      <c r="AO25" s="955">
        <v>7.5854646181968715</v>
      </c>
      <c r="AP25" s="955">
        <v>20.991137254901965</v>
      </c>
      <c r="AQ25" s="955">
        <v>29.499811859934184</v>
      </c>
      <c r="AR25" s="955">
        <v>46.440705882352944</v>
      </c>
      <c r="AS25" s="955">
        <v>6.3209541473911521</v>
      </c>
      <c r="AT25" s="955">
        <v>15.424274509803924</v>
      </c>
      <c r="AU25" s="955">
        <v>19.505749386465993</v>
      </c>
      <c r="AV25" s="955">
        <v>0</v>
      </c>
      <c r="AW25" s="955">
        <v>0</v>
      </c>
      <c r="AX25" s="955">
        <v>60.398156862745104</v>
      </c>
      <c r="AY25" s="956">
        <v>173.18539115805859</v>
      </c>
      <c r="AZ25" s="954">
        <v>45.022866666666665</v>
      </c>
      <c r="BA25" s="955">
        <v>14.218922880898953</v>
      </c>
      <c r="BB25" s="955">
        <v>21.696772549019606</v>
      </c>
      <c r="BC25" s="955">
        <v>22.176634228165327</v>
      </c>
      <c r="BD25" s="955">
        <v>43.809670588235292</v>
      </c>
      <c r="BE25" s="955">
        <v>11.476081369974194</v>
      </c>
      <c r="BF25" s="955">
        <v>15.957145098039216</v>
      </c>
      <c r="BG25" s="955">
        <v>13.679411794682386</v>
      </c>
      <c r="BH25" s="955">
        <v>67.562078431372555</v>
      </c>
      <c r="BI25" s="955">
        <v>1.007686407779512</v>
      </c>
      <c r="BJ25" s="955">
        <v>62.326768627450988</v>
      </c>
      <c r="BK25" s="956">
        <v>148.82876303293975</v>
      </c>
      <c r="BL25" s="954">
        <v>42.186138039215692</v>
      </c>
      <c r="BM25" s="955">
        <v>10.287125220460846</v>
      </c>
      <c r="BN25" s="955">
        <v>22.402407843137254</v>
      </c>
      <c r="BO25" s="955">
        <v>27.076674641279062</v>
      </c>
      <c r="BP25" s="955">
        <v>41.423557647058828</v>
      </c>
      <c r="BQ25" s="955">
        <v>8.2171194731209365</v>
      </c>
      <c r="BR25" s="955">
        <v>16.490015686274511</v>
      </c>
      <c r="BS25" s="955">
        <v>16.857962377280774</v>
      </c>
      <c r="BT25" s="955">
        <v>0</v>
      </c>
      <c r="BU25" s="955">
        <v>0</v>
      </c>
      <c r="BV25" s="955">
        <v>64.255380392156866</v>
      </c>
      <c r="BW25" s="956">
        <v>171.57680415025115</v>
      </c>
      <c r="BX25" s="954">
        <v>43.426856470588234</v>
      </c>
      <c r="BY25" s="955">
        <v>10.972015554948374</v>
      </c>
      <c r="BZ25" s="955">
        <v>22.167196078431374</v>
      </c>
      <c r="CA25" s="955">
        <v>29.408769127441406</v>
      </c>
      <c r="CB25" s="955">
        <v>42.594950588235285</v>
      </c>
      <c r="CC25" s="955">
        <v>8.9064774647367226</v>
      </c>
      <c r="CD25" s="955">
        <v>16.312392156862746</v>
      </c>
      <c r="CE25" s="955">
        <v>19.255570455171853</v>
      </c>
      <c r="CF25" s="955">
        <v>0</v>
      </c>
      <c r="CG25" s="955">
        <v>0</v>
      </c>
      <c r="CH25" s="955">
        <v>63.612509803921569</v>
      </c>
      <c r="CI25" s="956">
        <v>172.06664886915439</v>
      </c>
      <c r="CJ25" s="954">
        <v>42.549927843137269</v>
      </c>
      <c r="CK25" s="955">
        <v>8.5728803395515794</v>
      </c>
      <c r="CL25" s="955">
        <v>22.2456</v>
      </c>
      <c r="CM25" s="955">
        <v>22.997343715444757</v>
      </c>
      <c r="CN25" s="955">
        <v>41.648696470588234</v>
      </c>
      <c r="CO25" s="955">
        <v>7.1369036239276973</v>
      </c>
      <c r="CP25" s="955">
        <v>16.371600000000001</v>
      </c>
      <c r="CQ25" s="955">
        <v>13.644842562649096</v>
      </c>
      <c r="CR25" s="955">
        <v>0</v>
      </c>
      <c r="CS25" s="955">
        <v>0</v>
      </c>
      <c r="CT25" s="955">
        <v>63.826800000000006</v>
      </c>
      <c r="CU25" s="956">
        <v>161.0525568729046</v>
      </c>
      <c r="CV25" s="954">
        <v>20.337254901960787</v>
      </c>
      <c r="CW25" s="955">
        <v>0</v>
      </c>
      <c r="CX25" s="955">
        <v>26.871431372549019</v>
      </c>
      <c r="CY25" s="955">
        <v>33.5969379631577</v>
      </c>
      <c r="CZ25" s="955">
        <v>15.614729411764699</v>
      </c>
      <c r="DA25" s="955">
        <v>0</v>
      </c>
      <c r="DB25" s="955">
        <v>19.864862745098041</v>
      </c>
      <c r="DC25" s="955">
        <v>18.509554029781963</v>
      </c>
      <c r="DD25" s="955">
        <v>0</v>
      </c>
      <c r="DE25" s="955">
        <v>0</v>
      </c>
      <c r="DF25" s="955">
        <v>76.46992156862747</v>
      </c>
      <c r="DG25" s="956">
        <v>251.26149922907302</v>
      </c>
      <c r="DH25" s="954">
        <v>44.459349019607849</v>
      </c>
      <c r="DI25" s="955">
        <v>1.4387670060612774</v>
      </c>
      <c r="DJ25" s="955">
        <v>24.205698039215687</v>
      </c>
      <c r="DK25" s="955">
        <v>25.842747429479722</v>
      </c>
      <c r="DL25" s="955">
        <v>44.152211764705889</v>
      </c>
      <c r="DM25" s="955">
        <v>1.4128478923720491</v>
      </c>
      <c r="DN25" s="955">
        <v>17.85179607843137</v>
      </c>
      <c r="DO25" s="955">
        <v>14.23422142028862</v>
      </c>
      <c r="DP25" s="955">
        <v>0</v>
      </c>
      <c r="DQ25" s="955">
        <v>0</v>
      </c>
      <c r="DR25" s="955">
        <v>69.184054901960778</v>
      </c>
      <c r="DS25" s="956">
        <v>202.29775876399725</v>
      </c>
      <c r="DT25" s="954">
        <v>38.374717647058823</v>
      </c>
      <c r="DU25" s="955">
        <v>0.33167951790913958</v>
      </c>
      <c r="DV25" s="955">
        <v>25.381756862745096</v>
      </c>
      <c r="DW25" s="955">
        <v>38.494683525120244</v>
      </c>
      <c r="DX25" s="955">
        <v>38.432305882352942</v>
      </c>
      <c r="DY25" s="955">
        <v>0.58792817522566387</v>
      </c>
      <c r="DZ25" s="955">
        <v>18.739913725490197</v>
      </c>
      <c r="EA25" s="955">
        <v>24.736411218380116</v>
      </c>
      <c r="EB25" s="955">
        <v>0</v>
      </c>
      <c r="EC25" s="955">
        <v>0</v>
      </c>
      <c r="ED25" s="955">
        <v>72.39840784313725</v>
      </c>
      <c r="EE25" s="956">
        <v>228.74112733414358</v>
      </c>
      <c r="EF25" s="954">
        <v>44.960517647058822</v>
      </c>
      <c r="EG25" s="955">
        <v>16.487781553683803</v>
      </c>
      <c r="EH25" s="955">
        <v>19.893482352941174</v>
      </c>
      <c r="EI25" s="955">
        <v>21.35759077559079</v>
      </c>
      <c r="EJ25" s="955">
        <v>44.614988235294113</v>
      </c>
      <c r="EK25" s="955">
        <v>13.197884469059611</v>
      </c>
      <c r="EL25" s="955">
        <v>14.595364705882352</v>
      </c>
      <c r="EM25" s="955">
        <v>13.117238838435972</v>
      </c>
      <c r="EN25" s="955">
        <v>62.507564705882359</v>
      </c>
      <c r="EO25" s="955">
        <v>3.7989207748727201</v>
      </c>
      <c r="EP25" s="955">
        <v>57.398094117647055</v>
      </c>
      <c r="EQ25" s="956">
        <v>144.83209972176834</v>
      </c>
      <c r="ER25" s="954">
        <v>42.733501960784309</v>
      </c>
      <c r="ES25" s="955">
        <v>5.7147022912215233</v>
      </c>
      <c r="ET25" s="955">
        <v>23.029639215686274</v>
      </c>
      <c r="EU25" s="955">
        <v>37.658893620844822</v>
      </c>
      <c r="EV25" s="955">
        <v>42.5991294117647</v>
      </c>
      <c r="EW25" s="955">
        <v>4.8705643054215004</v>
      </c>
      <c r="EX25" s="955">
        <v>16.96367843137255</v>
      </c>
      <c r="EY25" s="955">
        <v>25.476992606980136</v>
      </c>
      <c r="EZ25" s="955">
        <v>0</v>
      </c>
      <c r="FA25" s="955">
        <v>0</v>
      </c>
      <c r="FB25" s="955">
        <v>65.96970196078432</v>
      </c>
      <c r="FC25" s="956">
        <v>200.54160563501145</v>
      </c>
      <c r="FD25" s="954">
        <v>15.059992156862748</v>
      </c>
      <c r="FE25" s="955">
        <v>0</v>
      </c>
      <c r="FF25" s="955">
        <v>28.674721568627447</v>
      </c>
      <c r="FG25" s="955">
        <v>41.515039581272205</v>
      </c>
      <c r="FH25" s="955">
        <v>8.2844705882352958</v>
      </c>
      <c r="FI25" s="955">
        <v>0</v>
      </c>
      <c r="FJ25" s="955">
        <v>21.2266431372549</v>
      </c>
      <c r="FK25" s="955">
        <v>23.363626391823313</v>
      </c>
      <c r="FL25" s="955">
        <v>0</v>
      </c>
      <c r="FM25" s="955">
        <v>0</v>
      </c>
      <c r="FN25" s="955">
        <v>81.398596078431368</v>
      </c>
      <c r="FO25" s="956">
        <v>304.72279454555434</v>
      </c>
      <c r="FP25" s="954">
        <v>37.315894117647062</v>
      </c>
      <c r="FQ25" s="955">
        <v>10.037511727268582</v>
      </c>
      <c r="FR25" s="955">
        <v>22.088792156862745</v>
      </c>
      <c r="FS25" s="955">
        <v>29.715940552201676</v>
      </c>
      <c r="FT25" s="955">
        <v>37.373482352941181</v>
      </c>
      <c r="FU25" s="955">
        <v>8.038686447696012</v>
      </c>
      <c r="FV25" s="955">
        <v>16.253184313725491</v>
      </c>
      <c r="FW25" s="955">
        <v>19.327907045337412</v>
      </c>
      <c r="FX25" s="955">
        <v>0</v>
      </c>
      <c r="FY25" s="955">
        <v>0</v>
      </c>
      <c r="FZ25" s="955">
        <v>63.398219607843139</v>
      </c>
      <c r="GA25" s="956">
        <v>175.14334242547471</v>
      </c>
      <c r="GB25" s="954">
        <v>33.751227450980394</v>
      </c>
      <c r="GC25" s="955">
        <v>7.5003819713166076</v>
      </c>
      <c r="GD25" s="955">
        <v>22.088792156862745</v>
      </c>
      <c r="GE25" s="955">
        <v>30.313072022122618</v>
      </c>
      <c r="GF25" s="955">
        <v>34.000776470588235</v>
      </c>
      <c r="GG25" s="955">
        <v>6.1673891286379909</v>
      </c>
      <c r="GH25" s="955">
        <v>16.253184313725491</v>
      </c>
      <c r="GI25" s="955">
        <v>19.260582266878117</v>
      </c>
      <c r="GJ25" s="955">
        <v>0</v>
      </c>
      <c r="GK25" s="955">
        <v>0</v>
      </c>
      <c r="GL25" s="955">
        <v>63.398219607843139</v>
      </c>
      <c r="GM25" s="956">
        <v>183.29767389107448</v>
      </c>
      <c r="GN25" s="954">
        <v>39.438800000000008</v>
      </c>
      <c r="GO25" s="955">
        <v>2.3707343847897207</v>
      </c>
      <c r="GP25" s="955">
        <v>24.048890196078432</v>
      </c>
      <c r="GQ25" s="955">
        <v>29.158756986260009</v>
      </c>
      <c r="GR25" s="955">
        <v>39.323623529411769</v>
      </c>
      <c r="GS25" s="955">
        <v>2.057199539743793</v>
      </c>
      <c r="GT25" s="955">
        <v>17.733380392156864</v>
      </c>
      <c r="GU25" s="955">
        <v>16.866405751511117</v>
      </c>
      <c r="GV25" s="955">
        <v>0</v>
      </c>
      <c r="GW25" s="955">
        <v>0</v>
      </c>
      <c r="GX25" s="955">
        <v>68.755474509803918</v>
      </c>
      <c r="GY25" s="956">
        <v>205.85928977523463</v>
      </c>
      <c r="GZ25" s="954">
        <v>27.849972549019611</v>
      </c>
      <c r="HA25" s="955">
        <v>0.8708312805234818</v>
      </c>
      <c r="HB25" s="955">
        <v>24.127294117647061</v>
      </c>
      <c r="HC25" s="955">
        <v>36.257600641281918</v>
      </c>
      <c r="HD25" s="955">
        <v>22.657247058823529</v>
      </c>
      <c r="HE25" s="955">
        <v>0.92609003473761509</v>
      </c>
      <c r="HF25" s="955">
        <v>17.792588235294119</v>
      </c>
      <c r="HG25" s="955">
        <v>22.352488987266714</v>
      </c>
      <c r="HH25" s="955">
        <v>0</v>
      </c>
      <c r="HI25" s="955">
        <v>0</v>
      </c>
      <c r="HJ25" s="955">
        <v>68.969764705882355</v>
      </c>
      <c r="HK25" s="956">
        <v>226.62873863959803</v>
      </c>
      <c r="HL25" s="954">
        <v>44.609534901960785</v>
      </c>
      <c r="HM25" s="955">
        <v>20.937899642620469</v>
      </c>
      <c r="HN25" s="955">
        <v>17.619768627450981</v>
      </c>
      <c r="HO25" s="955">
        <v>13.844606392277422</v>
      </c>
      <c r="HP25" s="955">
        <v>43.60431529411764</v>
      </c>
      <c r="HQ25" s="955">
        <v>16.692362440898989</v>
      </c>
      <c r="HR25" s="955">
        <v>12.878337254901961</v>
      </c>
      <c r="HS25" s="955">
        <v>7.6009687382042088</v>
      </c>
      <c r="HT25" s="955">
        <v>66.151772549019611</v>
      </c>
      <c r="HU25" s="955">
        <v>9.2187376401104295</v>
      </c>
      <c r="HV25" s="955">
        <v>51.183678431372556</v>
      </c>
      <c r="HW25" s="956">
        <v>117.46270808771226</v>
      </c>
      <c r="HX25" s="954">
        <v>40.440778823529413</v>
      </c>
      <c r="HY25" s="955">
        <v>22.211191536849313</v>
      </c>
      <c r="HZ25" s="955">
        <v>17.227749019607845</v>
      </c>
      <c r="IA25" s="955">
        <v>12.817772522609358</v>
      </c>
      <c r="IB25" s="955">
        <v>39.712861176470582</v>
      </c>
      <c r="IC25" s="955">
        <v>17.643846960207341</v>
      </c>
      <c r="ID25" s="955">
        <v>12.582298039215686</v>
      </c>
      <c r="IE25" s="955">
        <v>6.8127564487003136</v>
      </c>
      <c r="IF25" s="955">
        <v>59.568423529411774</v>
      </c>
      <c r="IG25" s="955">
        <v>10.717628686277498</v>
      </c>
      <c r="IH25" s="955">
        <v>50.112227450980392</v>
      </c>
      <c r="II25" s="956">
        <v>116.20824875395071</v>
      </c>
      <c r="IJ25" s="954">
        <v>45.31234352941177</v>
      </c>
      <c r="IK25" s="955">
        <v>10.015383943493887</v>
      </c>
      <c r="IL25" s="955">
        <v>21.61836862745098</v>
      </c>
      <c r="IM25" s="955">
        <v>28.578070367703823</v>
      </c>
      <c r="IN25" s="955">
        <v>44.064484705882364</v>
      </c>
      <c r="IO25" s="955">
        <v>8.0904784019229794</v>
      </c>
      <c r="IP25" s="955">
        <v>15.89793725490196</v>
      </c>
      <c r="IQ25" s="955">
        <v>18.522039779388997</v>
      </c>
      <c r="IR25" s="955">
        <v>0</v>
      </c>
      <c r="IS25" s="955">
        <v>0</v>
      </c>
      <c r="IT25" s="955">
        <v>62.112478431372544</v>
      </c>
      <c r="IU25" s="956">
        <v>171.52582082682295</v>
      </c>
      <c r="IV25" s="954">
        <v>45.453194509803922</v>
      </c>
      <c r="IW25" s="955">
        <v>20.898146256760352</v>
      </c>
      <c r="IX25" s="955">
        <v>18.952635294117648</v>
      </c>
      <c r="IY25" s="955">
        <v>18.73202268166434</v>
      </c>
      <c r="IZ25" s="955">
        <v>44.378649411764698</v>
      </c>
      <c r="JA25" s="955">
        <v>16.672365227113602</v>
      </c>
      <c r="JB25" s="955">
        <v>13.884870588235295</v>
      </c>
      <c r="JC25" s="955">
        <v>10.956069036524854</v>
      </c>
      <c r="JD25" s="955">
        <v>67.539521568627464</v>
      </c>
      <c r="JE25" s="955">
        <v>9.0206986920331005</v>
      </c>
      <c r="JF25" s="955">
        <v>54.826611764705888</v>
      </c>
      <c r="JG25" s="956">
        <v>134.69688521977602</v>
      </c>
      <c r="JH25" s="954">
        <v>32.021858823529413</v>
      </c>
      <c r="JI25" s="955">
        <v>1.8979044363642561</v>
      </c>
      <c r="JJ25" s="955">
        <v>24.127294117647061</v>
      </c>
      <c r="JK25" s="955">
        <v>23.471360315749095</v>
      </c>
      <c r="JL25" s="955">
        <v>27.551552941176464</v>
      </c>
      <c r="JM25" s="955">
        <v>1.6767851874284565</v>
      </c>
      <c r="JN25" s="955">
        <v>17.792588235294119</v>
      </c>
      <c r="JO25" s="955">
        <v>12.269535433223677</v>
      </c>
      <c r="JP25" s="955">
        <v>0</v>
      </c>
      <c r="JQ25" s="955">
        <v>0</v>
      </c>
      <c r="JR25" s="955">
        <v>68.969764705882355</v>
      </c>
      <c r="JS25" s="956">
        <v>196.96094945389942</v>
      </c>
      <c r="JT25" s="954">
        <v>43.693474509803913</v>
      </c>
      <c r="JU25" s="955">
        <v>12.769694950154715</v>
      </c>
      <c r="JV25" s="955">
        <v>20.834329411764706</v>
      </c>
      <c r="JW25" s="955">
        <v>25.793877449275797</v>
      </c>
      <c r="JX25" s="955">
        <v>43.424729411764702</v>
      </c>
      <c r="JY25" s="955">
        <v>10.46212022658929</v>
      </c>
      <c r="JZ25" s="955">
        <v>15.305858823529411</v>
      </c>
      <c r="KA25" s="955">
        <v>16.636700556074768</v>
      </c>
      <c r="KB25" s="955">
        <v>60.833988235294107</v>
      </c>
      <c r="KC25" s="955">
        <v>0.84481274806422801</v>
      </c>
      <c r="KD25" s="955">
        <v>59.969576470588237</v>
      </c>
      <c r="KE25" s="956">
        <v>159.46404460580456</v>
      </c>
      <c r="KF25" s="954">
        <v>42.913717647058824</v>
      </c>
      <c r="KG25" s="955">
        <v>11.324783993742075</v>
      </c>
      <c r="KH25" s="955">
        <v>21.853580392156864</v>
      </c>
      <c r="KI25" s="955">
        <v>26.88718680959116</v>
      </c>
      <c r="KJ25" s="955">
        <v>41.873835294117654</v>
      </c>
      <c r="KK25" s="955">
        <v>9.1328817792763708</v>
      </c>
      <c r="KL25" s="955">
        <v>16.075560784313723</v>
      </c>
      <c r="KM25" s="955">
        <v>17.086812094635057</v>
      </c>
      <c r="KN25" s="955">
        <v>0</v>
      </c>
      <c r="KO25" s="955">
        <v>0</v>
      </c>
      <c r="KP25" s="955">
        <v>62.755349019607849</v>
      </c>
      <c r="KQ25" s="956">
        <v>166.65783317008933</v>
      </c>
      <c r="KR25" s="954">
        <v>34.753564705882361</v>
      </c>
      <c r="KS25" s="955">
        <v>4.8658283417656021</v>
      </c>
      <c r="KT25" s="955">
        <v>22.2456</v>
      </c>
      <c r="KU25" s="955">
        <v>35.892547072676237</v>
      </c>
      <c r="KV25" s="955">
        <v>34.926329411764712</v>
      </c>
      <c r="KW25" s="955">
        <v>4.1674415493454857</v>
      </c>
      <c r="KX25" s="955">
        <v>16.371600000000001</v>
      </c>
      <c r="KY25" s="955">
        <v>23.867610672432196</v>
      </c>
      <c r="KZ25" s="955">
        <v>0</v>
      </c>
      <c r="LA25" s="955">
        <v>0</v>
      </c>
      <c r="LB25" s="955">
        <v>63.826800000000006</v>
      </c>
      <c r="LC25" s="956">
        <v>204.7730233073477</v>
      </c>
      <c r="LD25" s="954">
        <v>34.857674509803928</v>
      </c>
      <c r="LE25" s="955">
        <v>16.915844728297504</v>
      </c>
      <c r="LF25" s="955">
        <v>19.971886274509806</v>
      </c>
      <c r="LG25" s="955">
        <v>19.591537573949484</v>
      </c>
      <c r="LH25" s="955">
        <v>34.992047058823537</v>
      </c>
      <c r="LI25" s="955">
        <v>13.516172135669065</v>
      </c>
      <c r="LJ25" s="955">
        <v>14.654572549019608</v>
      </c>
      <c r="LK25" s="955">
        <v>11.825165151686674</v>
      </c>
      <c r="LL25" s="955">
        <v>52.864627137254899</v>
      </c>
      <c r="LM25" s="955">
        <v>3.9165678336962566</v>
      </c>
      <c r="LN25" s="955">
        <v>57.612384313725492</v>
      </c>
      <c r="LO25" s="956">
        <v>138.84258710779179</v>
      </c>
      <c r="LP25" s="954">
        <v>25.225301960784314</v>
      </c>
      <c r="LQ25" s="955">
        <v>1.9804975963881075</v>
      </c>
      <c r="LR25" s="955">
        <v>22.716023529411764</v>
      </c>
      <c r="LS25" s="955">
        <v>32.042251948143829</v>
      </c>
      <c r="LT25" s="955">
        <v>24.841529411764704</v>
      </c>
      <c r="LU25" s="955">
        <v>1.846744856389511</v>
      </c>
      <c r="LV25" s="955">
        <v>16.72684705882353</v>
      </c>
      <c r="LW25" s="955">
        <v>19.275608036581318</v>
      </c>
      <c r="LX25" s="955">
        <v>0</v>
      </c>
      <c r="LY25" s="955">
        <v>0</v>
      </c>
      <c r="LZ25" s="955">
        <v>65.112541176470586</v>
      </c>
      <c r="MA25" s="956">
        <v>211.710392195471</v>
      </c>
      <c r="MB25" s="954">
        <v>44.70861882352942</v>
      </c>
      <c r="MC25" s="955">
        <v>9.1571314005278897</v>
      </c>
      <c r="MD25" s="955">
        <v>22.951235294117648</v>
      </c>
      <c r="ME25" s="955">
        <v>29.002753711758942</v>
      </c>
      <c r="MF25" s="955">
        <v>43.564748235294118</v>
      </c>
      <c r="MG25" s="955">
        <v>7.3551871187062172</v>
      </c>
      <c r="MH25" s="955">
        <v>16.904470588235295</v>
      </c>
      <c r="MI25" s="955">
        <v>18.663425460025611</v>
      </c>
      <c r="MJ25" s="955">
        <v>0</v>
      </c>
      <c r="MK25" s="955">
        <v>0</v>
      </c>
      <c r="ML25" s="955">
        <v>65.755411764705883</v>
      </c>
      <c r="MM25" s="956">
        <v>175.38344138183791</v>
      </c>
      <c r="MN25" s="954">
        <v>26.212917647058823</v>
      </c>
      <c r="MO25" s="955">
        <v>0</v>
      </c>
      <c r="MP25" s="955">
        <v>30.39960784313725</v>
      </c>
      <c r="MQ25" s="955">
        <v>40.797880347841094</v>
      </c>
      <c r="MR25" s="955">
        <v>19.693388235294119</v>
      </c>
      <c r="MS25" s="955">
        <v>0</v>
      </c>
      <c r="MT25" s="955">
        <v>22.529215686274512</v>
      </c>
      <c r="MU25" s="955">
        <v>22.839157888441751</v>
      </c>
      <c r="MV25" s="955">
        <v>0</v>
      </c>
      <c r="MW25" s="955">
        <v>0</v>
      </c>
      <c r="MX25" s="955">
        <v>86.112980392156871</v>
      </c>
      <c r="MY25" s="956">
        <v>279.62405821839479</v>
      </c>
      <c r="MZ25" s="954">
        <v>23.967160784313734</v>
      </c>
      <c r="NA25" s="955">
        <v>0</v>
      </c>
      <c r="NB25" s="955">
        <v>25.146545098039212</v>
      </c>
      <c r="NC25" s="955">
        <v>39.362988908411559</v>
      </c>
      <c r="ND25" s="955">
        <v>18.359905882352937</v>
      </c>
      <c r="NE25" s="955">
        <v>0</v>
      </c>
      <c r="NF25" s="955">
        <v>18.562290196078429</v>
      </c>
      <c r="NG25" s="955">
        <v>23.278660976146053</v>
      </c>
      <c r="NH25" s="955">
        <v>0</v>
      </c>
      <c r="NI25" s="955">
        <v>0</v>
      </c>
      <c r="NJ25" s="955">
        <v>71.755537254901967</v>
      </c>
      <c r="NK25" s="956">
        <v>266.42188959217845</v>
      </c>
      <c r="NL25" s="954">
        <v>31.15560392156863</v>
      </c>
      <c r="NM25" s="955">
        <v>6.6981812829420715</v>
      </c>
      <c r="NN25" s="955">
        <v>23.892082352941177</v>
      </c>
      <c r="NO25" s="955">
        <v>28.901069827400125</v>
      </c>
      <c r="NP25" s="955">
        <v>29.172188235294115</v>
      </c>
      <c r="NQ25" s="955">
        <v>5.4762650787572511</v>
      </c>
      <c r="NR25" s="955">
        <v>17.614964705882354</v>
      </c>
      <c r="NS25" s="955">
        <v>17.962362269045862</v>
      </c>
      <c r="NT25" s="955">
        <v>0</v>
      </c>
      <c r="NU25" s="955">
        <v>0</v>
      </c>
      <c r="NV25" s="955">
        <v>68.326894117647072</v>
      </c>
      <c r="NW25" s="956">
        <v>183.76384614987228</v>
      </c>
      <c r="NX25" s="954">
        <v>39.641760784313732</v>
      </c>
      <c r="NY25" s="955">
        <v>10.094071142451179</v>
      </c>
      <c r="NZ25" s="955">
        <v>22.48081176470588</v>
      </c>
      <c r="OA25" s="955">
        <v>31.043900005699633</v>
      </c>
      <c r="OB25" s="955">
        <v>39.622564705882354</v>
      </c>
      <c r="OC25" s="955">
        <v>8.1977391768062926</v>
      </c>
      <c r="OD25" s="955">
        <v>16.549223529411766</v>
      </c>
      <c r="OE25" s="955">
        <v>20.355182435448203</v>
      </c>
      <c r="OF25" s="955">
        <v>0</v>
      </c>
      <c r="OG25" s="955">
        <v>0</v>
      </c>
      <c r="OH25" s="955">
        <v>64.469670588235303</v>
      </c>
      <c r="OI25" s="956">
        <v>178.35794728538485</v>
      </c>
      <c r="OJ25" s="954">
        <v>33.192909803921573</v>
      </c>
      <c r="OK25" s="955">
        <v>1.5155030473209052</v>
      </c>
      <c r="OL25" s="955">
        <v>26.008988235294112</v>
      </c>
      <c r="OM25" s="955">
        <v>32.498881289079129</v>
      </c>
      <c r="ON25" s="955">
        <v>30.065341176470586</v>
      </c>
      <c r="OO25" s="955">
        <v>1.4335164105197813</v>
      </c>
      <c r="OP25" s="955">
        <v>19.213576470588237</v>
      </c>
      <c r="OQ25" s="955">
        <v>18.961640807336686</v>
      </c>
      <c r="OR25" s="955">
        <v>0</v>
      </c>
      <c r="OS25" s="955">
        <v>0</v>
      </c>
      <c r="OT25" s="955">
        <v>74.112729411764718</v>
      </c>
      <c r="OU25" s="956">
        <v>219.9809066037738</v>
      </c>
      <c r="OV25" s="954">
        <v>41.466458823529415</v>
      </c>
      <c r="OW25" s="955">
        <v>15.376328859973245</v>
      </c>
      <c r="OX25" s="955">
        <v>21.304752941176471</v>
      </c>
      <c r="OY25" s="955">
        <v>23.18440870429567</v>
      </c>
      <c r="OZ25" s="955">
        <v>41.408870588235295</v>
      </c>
      <c r="PA25" s="955">
        <v>12.382925696692967</v>
      </c>
      <c r="PB25" s="955">
        <v>15.661105882352942</v>
      </c>
      <c r="PC25" s="955">
        <v>13.981823468632287</v>
      </c>
      <c r="PD25" s="955">
        <v>57.866211764705888</v>
      </c>
      <c r="PE25" s="955">
        <v>1.3925510277930602</v>
      </c>
      <c r="PF25" s="955">
        <v>61.255317647058831</v>
      </c>
      <c r="PG25" s="956">
        <v>153.19361687872478</v>
      </c>
      <c r="PH25" s="954">
        <v>34.739443137254902</v>
      </c>
      <c r="PI25" s="955">
        <v>0.30434050609655156</v>
      </c>
      <c r="PJ25" s="955">
        <v>29.30195294117647</v>
      </c>
      <c r="PK25" s="955">
        <v>39.228248307905375</v>
      </c>
      <c r="PL25" s="955">
        <v>34.893011764705882</v>
      </c>
      <c r="PM25" s="955">
        <v>0.35875025281938394</v>
      </c>
      <c r="PN25" s="955">
        <v>21.700305882352943</v>
      </c>
      <c r="PO25" s="955">
        <v>23.472316350731731</v>
      </c>
      <c r="PP25" s="955">
        <v>0</v>
      </c>
      <c r="PQ25" s="955">
        <v>0</v>
      </c>
      <c r="PR25" s="955">
        <v>83.112917647058836</v>
      </c>
      <c r="PS25" s="956">
        <v>247.58222018871982</v>
      </c>
      <c r="PT25" s="954">
        <v>47.040706666666679</v>
      </c>
      <c r="PU25" s="955">
        <v>10.158176748865539</v>
      </c>
      <c r="PV25" s="955">
        <v>22.716023529411764</v>
      </c>
      <c r="PW25" s="955">
        <v>24.658654244790522</v>
      </c>
      <c r="PX25" s="955">
        <v>45.411557647058828</v>
      </c>
      <c r="PY25" s="955">
        <v>8.3295695724520051</v>
      </c>
      <c r="PZ25" s="955">
        <v>16.72684705882353</v>
      </c>
      <c r="QA25" s="955">
        <v>15.290945006140815</v>
      </c>
      <c r="QB25" s="955">
        <v>0</v>
      </c>
      <c r="QC25" s="955">
        <v>0</v>
      </c>
      <c r="QD25" s="955">
        <v>65.112541176470586</v>
      </c>
      <c r="QE25" s="956">
        <v>160.13665956466437</v>
      </c>
      <c r="QF25" s="954">
        <v>42.18996862745098</v>
      </c>
      <c r="QG25" s="955">
        <v>10.064416325818787</v>
      </c>
      <c r="QH25" s="955">
        <v>22.324003921568629</v>
      </c>
      <c r="QI25" s="955">
        <v>29.591865187865082</v>
      </c>
      <c r="QJ25" s="955">
        <v>42.0364</v>
      </c>
      <c r="QK25" s="955">
        <v>8.049368283115296</v>
      </c>
      <c r="QL25" s="955">
        <v>16.430807843137256</v>
      </c>
      <c r="QM25" s="955">
        <v>19.094344896973954</v>
      </c>
      <c r="QN25" s="955">
        <v>0</v>
      </c>
      <c r="QO25" s="955">
        <v>0</v>
      </c>
      <c r="QP25" s="955">
        <v>64.041090196078443</v>
      </c>
      <c r="QQ25" s="956">
        <v>176.28623068656574</v>
      </c>
      <c r="QR25" s="954">
        <v>24.811317647058814</v>
      </c>
      <c r="QS25" s="955">
        <v>0</v>
      </c>
      <c r="QT25" s="955">
        <v>25.30335294117647</v>
      </c>
      <c r="QU25" s="955">
        <v>33.607413147100253</v>
      </c>
      <c r="QV25" s="955">
        <v>25.502376470588228</v>
      </c>
      <c r="QW25" s="955">
        <v>0</v>
      </c>
      <c r="QX25" s="955">
        <v>18.680705882352942</v>
      </c>
      <c r="QY25" s="955">
        <v>18.481261283470126</v>
      </c>
      <c r="QZ25" s="955">
        <v>0</v>
      </c>
      <c r="RA25" s="955">
        <v>0</v>
      </c>
      <c r="RB25" s="955">
        <v>72.184117647058827</v>
      </c>
      <c r="RC25" s="956">
        <v>251.65104687528969</v>
      </c>
      <c r="RD25" s="954">
        <v>42.84790274509804</v>
      </c>
      <c r="RE25" s="955">
        <v>11.035007797139512</v>
      </c>
      <c r="RF25" s="955">
        <v>22.637619607843138</v>
      </c>
      <c r="RG25" s="955">
        <v>27.331890298662255</v>
      </c>
      <c r="RH25" s="955">
        <v>42.085322352941176</v>
      </c>
      <c r="RI25" s="955">
        <v>8.904938400523454</v>
      </c>
      <c r="RJ25" s="955">
        <v>16.667639215686272</v>
      </c>
      <c r="RK25" s="955">
        <v>17.263929995572237</v>
      </c>
      <c r="RL25" s="955">
        <v>0</v>
      </c>
      <c r="RM25" s="955">
        <v>0</v>
      </c>
      <c r="RN25" s="955">
        <v>64.898250980392163</v>
      </c>
      <c r="RO25" s="956">
        <v>169.17358659651597</v>
      </c>
      <c r="RP25" s="954">
        <v>37.90705098039215</v>
      </c>
      <c r="RQ25" s="955">
        <v>10.260824133875831</v>
      </c>
      <c r="RR25" s="955">
        <v>22.48081176470588</v>
      </c>
      <c r="RS25" s="955">
        <v>26.489435322074975</v>
      </c>
      <c r="RT25" s="955">
        <v>37.868658823529408</v>
      </c>
      <c r="RU25" s="955">
        <v>8.2024631770451908</v>
      </c>
      <c r="RV25" s="955">
        <v>16.549223529411766</v>
      </c>
      <c r="RW25" s="955">
        <v>16.613126114158732</v>
      </c>
      <c r="RX25" s="955">
        <v>0</v>
      </c>
      <c r="RY25" s="955">
        <v>0</v>
      </c>
      <c r="RZ25" s="955">
        <v>64.469670588235303</v>
      </c>
      <c r="SA25" s="956">
        <v>167.56970588239261</v>
      </c>
    </row>
    <row r="26" spans="1:495">
      <c r="A26" s="968">
        <f>[3]Eingabedaten!A28</f>
        <v>6.04</v>
      </c>
      <c r="B26" s="964" t="str">
        <f>[3]Eingabedaten!C28</f>
        <v>Küche zu Selbstbedienungsrest.</v>
      </c>
      <c r="C26" s="989">
        <f t="shared" si="1"/>
        <v>20</v>
      </c>
      <c r="D26" s="954" cm="1">
        <f t="array" ref="D26">INDEX($P$7:$SA$51,$C26,$G$3-1+D$2)</f>
        <v>29.36765882352941</v>
      </c>
      <c r="E26" s="955" cm="1">
        <f t="array" ref="E26">INDEX($P$7:$SA$51,$C26,$G$3-1+E$2)</f>
        <v>6.7650230800620994</v>
      </c>
      <c r="F26" s="955" cm="1">
        <f t="array" ref="F26">INDEX($P$7:$SA$51,$C26,$G$3-1+F$2)</f>
        <v>12.11610588235294</v>
      </c>
      <c r="G26" s="955" cm="1">
        <f t="array" ref="G26">INDEX($P$7:$SA$51,$C26,$G$3-1+G$2)</f>
        <v>12.944734690411709</v>
      </c>
      <c r="H26" s="955" cm="1">
        <f t="array" ref="H26">INDEX($P$7:$SA$51,$C26,$G$3-1+H$2)</f>
        <v>29.34846274509804</v>
      </c>
      <c r="I26" s="955" cm="1">
        <f t="array" ref="I26">INDEX($P$7:$SA$51,$C26,$G$3-1+I$2)</f>
        <v>6.0141392957914954</v>
      </c>
      <c r="J26" s="955" cm="1">
        <f t="array" ref="J26">INDEX($P$7:$SA$51,$C26,$G$3-1+J$2)</f>
        <v>9.4610784313725489</v>
      </c>
      <c r="K26" s="955" cm="1">
        <f t="array" ref="K26">INDEX($P$7:$SA$51,$C26,$G$3-1+K$2)</f>
        <v>7.9352710051231403</v>
      </c>
      <c r="L26" s="955" cm="1">
        <f t="array" ref="L26">INDEX($P$7:$SA$51,$C26,$G$3-1+L$2)</f>
        <v>0</v>
      </c>
      <c r="M26" s="955" cm="1">
        <f t="array" ref="M26">INDEX($P$7:$SA$51,$C26,$G$3-1+M$2)</f>
        <v>0</v>
      </c>
      <c r="N26" s="955" cm="1">
        <f t="array" ref="N26">INDEX($P$7:$SA$51,$C26,$G$3-1+N$2)</f>
        <v>36.076935294117646</v>
      </c>
      <c r="O26" s="956" cm="1">
        <f t="array" ref="O26">INDEX($P$7:$SA$51,$C26,$G$3-1+O$2)</f>
        <v>89.655548788541566</v>
      </c>
      <c r="P26" s="954">
        <v>17.164488235294119</v>
      </c>
      <c r="Q26" s="955">
        <v>0.16883668021226564</v>
      </c>
      <c r="R26" s="955">
        <v>13.304158823529411</v>
      </c>
      <c r="S26" s="955">
        <v>13.962081651012321</v>
      </c>
      <c r="T26" s="955">
        <v>17.519615686274509</v>
      </c>
      <c r="U26" s="955">
        <v>0.494410212127814</v>
      </c>
      <c r="V26" s="955">
        <v>10.389984313725492</v>
      </c>
      <c r="W26" s="955">
        <v>7.4405535982323023</v>
      </c>
      <c r="X26" s="955">
        <v>0</v>
      </c>
      <c r="Y26" s="955">
        <v>0</v>
      </c>
      <c r="Z26" s="955">
        <v>39.358652941176473</v>
      </c>
      <c r="AA26" s="956">
        <v>119.90975060923691</v>
      </c>
      <c r="AB26" s="954">
        <v>34.313329411764713</v>
      </c>
      <c r="AC26" s="955">
        <v>7.0940401765765753</v>
      </c>
      <c r="AD26" s="955">
        <v>11.236066666666666</v>
      </c>
      <c r="AE26" s="955">
        <v>12.191775112895147</v>
      </c>
      <c r="AF26" s="955">
        <v>34.159760784313733</v>
      </c>
      <c r="AG26" s="955">
        <v>6.3417717476712063</v>
      </c>
      <c r="AH26" s="955">
        <v>8.7729999999999997</v>
      </c>
      <c r="AI26" s="955">
        <v>7.4996347425940417</v>
      </c>
      <c r="AJ26" s="955">
        <v>0</v>
      </c>
      <c r="AK26" s="955">
        <v>0</v>
      </c>
      <c r="AL26" s="955">
        <v>33.646033333333335</v>
      </c>
      <c r="AM26" s="956">
        <v>85.668123866858309</v>
      </c>
      <c r="AN26" s="954">
        <v>36.394921568627453</v>
      </c>
      <c r="AO26" s="955">
        <v>5.3008524980429232</v>
      </c>
      <c r="AP26" s="955">
        <v>11.28006862745098</v>
      </c>
      <c r="AQ26" s="955">
        <v>14.265751263370714</v>
      </c>
      <c r="AR26" s="955">
        <v>35.141686274509809</v>
      </c>
      <c r="AS26" s="955">
        <v>4.9941379905985981</v>
      </c>
      <c r="AT26" s="955">
        <v>8.8074039215686284</v>
      </c>
      <c r="AU26" s="955">
        <v>9.2030949016778933</v>
      </c>
      <c r="AV26" s="955">
        <v>0</v>
      </c>
      <c r="AW26" s="955">
        <v>0</v>
      </c>
      <c r="AX26" s="955">
        <v>33.767578431372549</v>
      </c>
      <c r="AY26" s="956">
        <v>91.777765949301724</v>
      </c>
      <c r="AZ26" s="954">
        <v>34.157033333333331</v>
      </c>
      <c r="BA26" s="955">
        <v>9.2074174170960514</v>
      </c>
      <c r="BB26" s="955">
        <v>11.676086274509803</v>
      </c>
      <c r="BC26" s="955">
        <v>10.675880826283178</v>
      </c>
      <c r="BD26" s="955">
        <v>33.279768627450977</v>
      </c>
      <c r="BE26" s="955">
        <v>7.8976843430060617</v>
      </c>
      <c r="BF26" s="955">
        <v>9.1170392156862761</v>
      </c>
      <c r="BG26" s="955">
        <v>6.3470442190230889</v>
      </c>
      <c r="BH26" s="955">
        <v>51.755705882352942</v>
      </c>
      <c r="BI26" s="955">
        <v>1.3607124675921354</v>
      </c>
      <c r="BJ26" s="955">
        <v>34.861484313725484</v>
      </c>
      <c r="BK26" s="956">
        <v>79.357059410225048</v>
      </c>
      <c r="BL26" s="954">
        <v>32.164589019607845</v>
      </c>
      <c r="BM26" s="955">
        <v>6.6234151092532869</v>
      </c>
      <c r="BN26" s="955">
        <v>12.072103921568626</v>
      </c>
      <c r="BO26" s="955">
        <v>13.284519400954661</v>
      </c>
      <c r="BP26" s="955">
        <v>31.613165490196074</v>
      </c>
      <c r="BQ26" s="955">
        <v>5.9014486928233705</v>
      </c>
      <c r="BR26" s="955">
        <v>9.426674509803922</v>
      </c>
      <c r="BS26" s="955">
        <v>8.104390802739978</v>
      </c>
      <c r="BT26" s="955">
        <v>0</v>
      </c>
      <c r="BU26" s="955">
        <v>0</v>
      </c>
      <c r="BV26" s="955">
        <v>35.955390196078426</v>
      </c>
      <c r="BW26" s="956">
        <v>91.95709440317124</v>
      </c>
      <c r="BX26" s="954">
        <v>32.873268235294113</v>
      </c>
      <c r="BY26" s="955">
        <v>7.2753143672016085</v>
      </c>
      <c r="BZ26" s="955">
        <v>11.940098039215687</v>
      </c>
      <c r="CA26" s="955">
        <v>14.351494904909528</v>
      </c>
      <c r="CB26" s="955">
        <v>32.271715294117648</v>
      </c>
      <c r="CC26" s="955">
        <v>6.4423981814273645</v>
      </c>
      <c r="CD26" s="955">
        <v>9.3234627450980412</v>
      </c>
      <c r="CE26" s="955">
        <v>9.2153933977509066</v>
      </c>
      <c r="CF26" s="955">
        <v>0</v>
      </c>
      <c r="CG26" s="955">
        <v>0</v>
      </c>
      <c r="CH26" s="955">
        <v>35.590754901960786</v>
      </c>
      <c r="CI26" s="956">
        <v>91.756783158008972</v>
      </c>
      <c r="CJ26" s="954">
        <v>34.11480000000001</v>
      </c>
      <c r="CK26" s="955">
        <v>5.9586197678597879</v>
      </c>
      <c r="CL26" s="955">
        <v>11.984099999999998</v>
      </c>
      <c r="CM26" s="955">
        <v>11.155764401553746</v>
      </c>
      <c r="CN26" s="955">
        <v>33.96123137254903</v>
      </c>
      <c r="CO26" s="955">
        <v>5.475790510681728</v>
      </c>
      <c r="CP26" s="955">
        <v>9.3578666666666663</v>
      </c>
      <c r="CQ26" s="955">
        <v>6.3967207313977008</v>
      </c>
      <c r="CR26" s="955">
        <v>0</v>
      </c>
      <c r="CS26" s="955">
        <v>0</v>
      </c>
      <c r="CT26" s="955">
        <v>35.712299999999999</v>
      </c>
      <c r="CU26" s="956">
        <v>86.107085736154374</v>
      </c>
      <c r="CV26" s="954">
        <v>10.042811764705887</v>
      </c>
      <c r="CW26" s="955">
        <v>0</v>
      </c>
      <c r="CX26" s="955">
        <v>14.58021568627451</v>
      </c>
      <c r="CY26" s="955">
        <v>16.970523022372351</v>
      </c>
      <c r="CZ26" s="955">
        <v>8.3262980392156773</v>
      </c>
      <c r="DA26" s="955">
        <v>0</v>
      </c>
      <c r="DB26" s="955">
        <v>11.387698039215689</v>
      </c>
      <c r="DC26" s="955">
        <v>9.2490507761042995</v>
      </c>
      <c r="DD26" s="955">
        <v>0</v>
      </c>
      <c r="DE26" s="955">
        <v>0</v>
      </c>
      <c r="DF26" s="955">
        <v>42.883460784313726</v>
      </c>
      <c r="DG26" s="956">
        <v>137.52717193423592</v>
      </c>
      <c r="DH26" s="954">
        <v>34.842741176470597</v>
      </c>
      <c r="DI26" s="955">
        <v>1.4211621442068949</v>
      </c>
      <c r="DJ26" s="955">
        <v>13.084149019607842</v>
      </c>
      <c r="DK26" s="955">
        <v>12.604577481544766</v>
      </c>
      <c r="DL26" s="955">
        <v>34.689172549019617</v>
      </c>
      <c r="DM26" s="955">
        <v>1.447584732515494</v>
      </c>
      <c r="DN26" s="955">
        <v>10.217964705882354</v>
      </c>
      <c r="DO26" s="955">
        <v>6.7311677524096494</v>
      </c>
      <c r="DP26" s="955">
        <v>0</v>
      </c>
      <c r="DQ26" s="955">
        <v>0</v>
      </c>
      <c r="DR26" s="955">
        <v>38.750927450980392</v>
      </c>
      <c r="DS26" s="956">
        <v>109.17170383687645</v>
      </c>
      <c r="DT26" s="954">
        <v>28.816158823529406</v>
      </c>
      <c r="DU26" s="955">
        <v>0.83376137037374876</v>
      </c>
      <c r="DV26" s="955">
        <v>13.744178431372548</v>
      </c>
      <c r="DW26" s="955">
        <v>19.139707294480239</v>
      </c>
      <c r="DX26" s="955">
        <v>28.844952941176466</v>
      </c>
      <c r="DY26" s="955">
        <v>1.0045502184780701</v>
      </c>
      <c r="DZ26" s="955">
        <v>10.734023529411765</v>
      </c>
      <c r="EA26" s="955">
        <v>12.128714206117035</v>
      </c>
      <c r="EB26" s="955">
        <v>0</v>
      </c>
      <c r="EC26" s="955">
        <v>0</v>
      </c>
      <c r="ED26" s="955">
        <v>40.574103921568629</v>
      </c>
      <c r="EE26" s="956">
        <v>122.65860376299426</v>
      </c>
      <c r="EF26" s="954">
        <v>35.40745882352941</v>
      </c>
      <c r="EG26" s="955">
        <v>10.442189160228201</v>
      </c>
      <c r="EH26" s="955">
        <v>10.664041176470587</v>
      </c>
      <c r="EI26" s="955">
        <v>10.293471757789186</v>
      </c>
      <c r="EJ26" s="955">
        <v>35.234694117647059</v>
      </c>
      <c r="EK26" s="955">
        <v>8.849200294831876</v>
      </c>
      <c r="EL26" s="955">
        <v>8.3257490196078443</v>
      </c>
      <c r="EM26" s="955">
        <v>6.0801054227161311</v>
      </c>
      <c r="EN26" s="955">
        <v>49.224182352941177</v>
      </c>
      <c r="EO26" s="955">
        <v>2.9221194629165157</v>
      </c>
      <c r="EP26" s="955">
        <v>32.065947058823525</v>
      </c>
      <c r="EQ26" s="956">
        <v>77.432457576339985</v>
      </c>
      <c r="ER26" s="954">
        <v>32.566217647058821</v>
      </c>
      <c r="ES26" s="955">
        <v>4.113992580609847</v>
      </c>
      <c r="ET26" s="955">
        <v>12.424119607843135</v>
      </c>
      <c r="EU26" s="955">
        <v>18.518987574721546</v>
      </c>
      <c r="EV26" s="955">
        <v>32.499031372549013</v>
      </c>
      <c r="EW26" s="955">
        <v>3.7537837314123492</v>
      </c>
      <c r="EX26" s="955">
        <v>9.7019058823529427</v>
      </c>
      <c r="EY26" s="955">
        <v>12.280114596669801</v>
      </c>
      <c r="EZ26" s="955">
        <v>0</v>
      </c>
      <c r="FA26" s="955">
        <v>0</v>
      </c>
      <c r="FB26" s="955">
        <v>36.927750980392155</v>
      </c>
      <c r="FC26" s="956">
        <v>106.63627374541711</v>
      </c>
      <c r="FD26" s="954">
        <v>6.2241294117647055</v>
      </c>
      <c r="FE26" s="955">
        <v>0</v>
      </c>
      <c r="FF26" s="955">
        <v>15.592260784313725</v>
      </c>
      <c r="FG26" s="955">
        <v>21.32010439286713</v>
      </c>
      <c r="FH26" s="955">
        <v>2.8037568627450953</v>
      </c>
      <c r="FI26" s="955">
        <v>0</v>
      </c>
      <c r="FJ26" s="955">
        <v>12.178988235294119</v>
      </c>
      <c r="FK26" s="955">
        <v>11.971181703380848</v>
      </c>
      <c r="FL26" s="955">
        <v>0</v>
      </c>
      <c r="FM26" s="955">
        <v>0</v>
      </c>
      <c r="FN26" s="955">
        <v>45.678998039215685</v>
      </c>
      <c r="FO26" s="956">
        <v>169.98734266761525</v>
      </c>
      <c r="FP26" s="954">
        <v>28.286747058823526</v>
      </c>
      <c r="FQ26" s="955">
        <v>6.5603955652459298</v>
      </c>
      <c r="FR26" s="955">
        <v>11.896096078431372</v>
      </c>
      <c r="FS26" s="955">
        <v>14.544931973091822</v>
      </c>
      <c r="FT26" s="955">
        <v>28.315541176470585</v>
      </c>
      <c r="FU26" s="955">
        <v>5.8622057590133148</v>
      </c>
      <c r="FV26" s="955">
        <v>9.2890588235294125</v>
      </c>
      <c r="FW26" s="955">
        <v>9.2883633845738771</v>
      </c>
      <c r="FX26" s="955">
        <v>0</v>
      </c>
      <c r="FY26" s="955">
        <v>0</v>
      </c>
      <c r="FZ26" s="955">
        <v>35.469209803921565</v>
      </c>
      <c r="GA26" s="956">
        <v>93.609520988345011</v>
      </c>
      <c r="GB26" s="954">
        <v>24.933747058823524</v>
      </c>
      <c r="GC26" s="955">
        <v>5.0279930642555639</v>
      </c>
      <c r="GD26" s="955">
        <v>11.896096078431372</v>
      </c>
      <c r="GE26" s="955">
        <v>14.902404227650411</v>
      </c>
      <c r="GF26" s="955">
        <v>25.058521568627445</v>
      </c>
      <c r="GG26" s="955">
        <v>4.4178511834511172</v>
      </c>
      <c r="GH26" s="955">
        <v>9.2890588235294125</v>
      </c>
      <c r="GI26" s="955">
        <v>9.3011387987626915</v>
      </c>
      <c r="GJ26" s="955">
        <v>0</v>
      </c>
      <c r="GK26" s="955">
        <v>0</v>
      </c>
      <c r="GL26" s="955">
        <v>35.469209803921565</v>
      </c>
      <c r="GM26" s="956">
        <v>98.090518777896108</v>
      </c>
      <c r="GN26" s="954">
        <v>30.761800000000008</v>
      </c>
      <c r="GO26" s="955">
        <v>1.865985189972942</v>
      </c>
      <c r="GP26" s="955">
        <v>12.996145098039214</v>
      </c>
      <c r="GQ26" s="955">
        <v>14.35995888377504</v>
      </c>
      <c r="GR26" s="955">
        <v>30.704211764705889</v>
      </c>
      <c r="GS26" s="955">
        <v>1.7600768225410284</v>
      </c>
      <c r="GT26" s="955">
        <v>10.149156862745098</v>
      </c>
      <c r="GU26" s="955">
        <v>8.1067902169206292</v>
      </c>
      <c r="GV26" s="955">
        <v>0</v>
      </c>
      <c r="GW26" s="955">
        <v>0</v>
      </c>
      <c r="GX26" s="955">
        <v>38.507837254901958</v>
      </c>
      <c r="GY26" s="956">
        <v>111.20677803203154</v>
      </c>
      <c r="GZ26" s="954">
        <v>15.701905882352939</v>
      </c>
      <c r="HA26" s="955">
        <v>1.0567838357649368</v>
      </c>
      <c r="HB26" s="955">
        <v>13.040147058823528</v>
      </c>
      <c r="HC26" s="955">
        <v>17.986217337368757</v>
      </c>
      <c r="HD26" s="955">
        <v>15.460090196078427</v>
      </c>
      <c r="HE26" s="955">
        <v>1.1315909969707272</v>
      </c>
      <c r="HF26" s="955">
        <v>10.183560784313727</v>
      </c>
      <c r="HG26" s="955">
        <v>10.857134953448764</v>
      </c>
      <c r="HH26" s="955">
        <v>0</v>
      </c>
      <c r="HI26" s="955">
        <v>0</v>
      </c>
      <c r="HJ26" s="955">
        <v>38.629382352941178</v>
      </c>
      <c r="HK26" s="956">
        <v>122.05754297484475</v>
      </c>
      <c r="HL26" s="954">
        <v>34.01331764705882</v>
      </c>
      <c r="HM26" s="955">
        <v>12.980425729949506</v>
      </c>
      <c r="HN26" s="955">
        <v>9.3879843137254895</v>
      </c>
      <c r="HO26" s="955">
        <v>6.3280697986482135</v>
      </c>
      <c r="HP26" s="955">
        <v>33.87894509803921</v>
      </c>
      <c r="HQ26" s="955">
        <v>10.879254843795705</v>
      </c>
      <c r="HR26" s="955">
        <v>7.3280352941176474</v>
      </c>
      <c r="HS26" s="955">
        <v>3.1605042377446479</v>
      </c>
      <c r="HT26" s="955">
        <v>50.557752941176467</v>
      </c>
      <c r="HU26" s="955">
        <v>6.1280740592517029</v>
      </c>
      <c r="HV26" s="955">
        <v>28.541139215686275</v>
      </c>
      <c r="HW26" s="956">
        <v>62.361742139129049</v>
      </c>
      <c r="HX26" s="954">
        <v>33.351552941176465</v>
      </c>
      <c r="HY26" s="955">
        <v>13.658710362853881</v>
      </c>
      <c r="HZ26" s="955">
        <v>9.1679745098039209</v>
      </c>
      <c r="IA26" s="955">
        <v>5.7751151553038023</v>
      </c>
      <c r="IB26" s="955">
        <v>33.217180392156855</v>
      </c>
      <c r="IC26" s="955">
        <v>11.392598998274847</v>
      </c>
      <c r="ID26" s="955">
        <v>7.1560156862745101</v>
      </c>
      <c r="IE26" s="955">
        <v>2.7761174856439852</v>
      </c>
      <c r="IF26" s="955">
        <v>46.717174509803918</v>
      </c>
      <c r="IG26" s="955">
        <v>7.2238181211274304</v>
      </c>
      <c r="IH26" s="955">
        <v>27.933413725490194</v>
      </c>
      <c r="II26" s="956">
        <v>61.768439756753715</v>
      </c>
      <c r="IJ26" s="954">
        <v>34.345931764705888</v>
      </c>
      <c r="IK26" s="955">
        <v>6.6975889408413103</v>
      </c>
      <c r="IL26" s="955">
        <v>11.632084313725487</v>
      </c>
      <c r="IM26" s="955">
        <v>13.930065559454196</v>
      </c>
      <c r="IN26" s="955">
        <v>33.443602352941184</v>
      </c>
      <c r="IO26" s="955">
        <v>6.0355081887937807</v>
      </c>
      <c r="IP26" s="955">
        <v>9.0826352941176474</v>
      </c>
      <c r="IQ26" s="955">
        <v>8.8466622025638308</v>
      </c>
      <c r="IR26" s="955">
        <v>0</v>
      </c>
      <c r="IS26" s="955">
        <v>0</v>
      </c>
      <c r="IT26" s="955">
        <v>34.73993921568627</v>
      </c>
      <c r="IU26" s="956">
        <v>91.404295053639615</v>
      </c>
      <c r="IV26" s="954">
        <v>34.195557254901964</v>
      </c>
      <c r="IW26" s="955">
        <v>12.968876774177438</v>
      </c>
      <c r="IX26" s="955">
        <v>10.136017647058823</v>
      </c>
      <c r="IY26" s="955">
        <v>9.0086833289880275</v>
      </c>
      <c r="IZ26" s="955">
        <v>33.418551372549011</v>
      </c>
      <c r="JA26" s="955">
        <v>10.876776615868005</v>
      </c>
      <c r="JB26" s="955">
        <v>7.9129019607843141</v>
      </c>
      <c r="JC26" s="955">
        <v>5.0143584462188882</v>
      </c>
      <c r="JD26" s="955">
        <v>51.415894117647063</v>
      </c>
      <c r="JE26" s="955">
        <v>6.3112905555749172</v>
      </c>
      <c r="JF26" s="955">
        <v>30.607405882352939</v>
      </c>
      <c r="JG26" s="956">
        <v>72.003334855754716</v>
      </c>
      <c r="JH26" s="954">
        <v>19.542494117647049</v>
      </c>
      <c r="JI26" s="955">
        <v>1.5872489285638616</v>
      </c>
      <c r="JJ26" s="955">
        <v>13.040147058823528</v>
      </c>
      <c r="JK26" s="955">
        <v>11.524992643040397</v>
      </c>
      <c r="JL26" s="955">
        <v>19.792043137254893</v>
      </c>
      <c r="JM26" s="955">
        <v>1.5222259010482637</v>
      </c>
      <c r="JN26" s="955">
        <v>10.183560784313727</v>
      </c>
      <c r="JO26" s="955">
        <v>5.8188610964054392</v>
      </c>
      <c r="JP26" s="955">
        <v>0</v>
      </c>
      <c r="JQ26" s="955">
        <v>0</v>
      </c>
      <c r="JR26" s="955">
        <v>38.629382352941178</v>
      </c>
      <c r="JS26" s="956">
        <v>107.30213328459037</v>
      </c>
      <c r="JT26" s="954">
        <v>34.145670588235291</v>
      </c>
      <c r="JU26" s="955">
        <v>8.503827575040825</v>
      </c>
      <c r="JV26" s="955">
        <v>11.192064705882352</v>
      </c>
      <c r="JW26" s="955">
        <v>12.492198424117657</v>
      </c>
      <c r="JX26" s="955">
        <v>34.011298039215681</v>
      </c>
      <c r="JY26" s="955">
        <v>7.4096896460776911</v>
      </c>
      <c r="JZ26" s="955">
        <v>8.7385960784313728</v>
      </c>
      <c r="KA26" s="955">
        <v>7.8542696617514016</v>
      </c>
      <c r="KB26" s="955">
        <v>47.749527450980388</v>
      </c>
      <c r="KC26" s="955">
        <v>1.3430409499567149</v>
      </c>
      <c r="KD26" s="955">
        <v>33.524488235294115</v>
      </c>
      <c r="KE26" s="956">
        <v>84.90749516740992</v>
      </c>
      <c r="KF26" s="954">
        <v>33.003017647058819</v>
      </c>
      <c r="KG26" s="955">
        <v>7.5180352297336048</v>
      </c>
      <c r="KH26" s="955">
        <v>11.764090196078429</v>
      </c>
      <c r="KI26" s="955">
        <v>13.183972712877402</v>
      </c>
      <c r="KJ26" s="955">
        <v>32.878243137254898</v>
      </c>
      <c r="KK26" s="955">
        <v>6.5751838287530422</v>
      </c>
      <c r="KL26" s="955">
        <v>9.1858470588235299</v>
      </c>
      <c r="KM26" s="955">
        <v>8.2141107520680254</v>
      </c>
      <c r="KN26" s="955">
        <v>0</v>
      </c>
      <c r="KO26" s="955">
        <v>0</v>
      </c>
      <c r="KP26" s="955">
        <v>35.104574509803925</v>
      </c>
      <c r="KQ26" s="956">
        <v>89.259416337311265</v>
      </c>
      <c r="KR26" s="954">
        <v>26.063182352941183</v>
      </c>
      <c r="KS26" s="955">
        <v>3.5935818481430744</v>
      </c>
      <c r="KT26" s="955">
        <v>11.984099999999998</v>
      </c>
      <c r="KU26" s="955">
        <v>17.715927979812388</v>
      </c>
      <c r="KV26" s="955">
        <v>26.149564705882359</v>
      </c>
      <c r="KW26" s="955">
        <v>3.2912587514670291</v>
      </c>
      <c r="KX26" s="955">
        <v>9.3578666666666663</v>
      </c>
      <c r="KY26" s="955">
        <v>11.634229370791035</v>
      </c>
      <c r="KZ26" s="955">
        <v>0</v>
      </c>
      <c r="LA26" s="955">
        <v>0</v>
      </c>
      <c r="LB26" s="955">
        <v>35.712299999999999</v>
      </c>
      <c r="LC26" s="956">
        <v>109.8133802345983</v>
      </c>
      <c r="LD26" s="954">
        <v>26.429370588235294</v>
      </c>
      <c r="LE26" s="955">
        <v>10.668644093131402</v>
      </c>
      <c r="LF26" s="955">
        <v>10.708043137254901</v>
      </c>
      <c r="LG26" s="955">
        <v>9.3323732333853648</v>
      </c>
      <c r="LH26" s="955">
        <v>26.496556862745098</v>
      </c>
      <c r="LI26" s="955">
        <v>9.0195630541335614</v>
      </c>
      <c r="LJ26" s="955">
        <v>8.3601529411764712</v>
      </c>
      <c r="LK26" s="955">
        <v>5.3695134178454769</v>
      </c>
      <c r="LL26" s="955">
        <v>38.588103921568631</v>
      </c>
      <c r="LM26" s="955">
        <v>2.9809429923282837</v>
      </c>
      <c r="LN26" s="955">
        <v>32.187492156862746</v>
      </c>
      <c r="LO26" s="956">
        <v>74.143393426810562</v>
      </c>
      <c r="LP26" s="954">
        <v>15.854176470588236</v>
      </c>
      <c r="LQ26" s="955">
        <v>1.7385808552862902</v>
      </c>
      <c r="LR26" s="955">
        <v>12.248111764705882</v>
      </c>
      <c r="LS26" s="955">
        <v>15.793993478362598</v>
      </c>
      <c r="LT26" s="955">
        <v>16.238098039215686</v>
      </c>
      <c r="LU26" s="955">
        <v>1.8525437689626425</v>
      </c>
      <c r="LV26" s="955">
        <v>9.5642901960784314</v>
      </c>
      <c r="LW26" s="955">
        <v>9.3031424072359084</v>
      </c>
      <c r="LX26" s="955">
        <v>0</v>
      </c>
      <c r="LY26" s="955">
        <v>0</v>
      </c>
      <c r="LZ26" s="955">
        <v>36.441570588235294</v>
      </c>
      <c r="MA26" s="956">
        <v>113.68091558494784</v>
      </c>
      <c r="MB26" s="954">
        <v>33.911589411764716</v>
      </c>
      <c r="MC26" s="955">
        <v>5.8607364278621192</v>
      </c>
      <c r="MD26" s="955">
        <v>12.380117647058825</v>
      </c>
      <c r="ME26" s="955">
        <v>14.177558952589251</v>
      </c>
      <c r="MF26" s="955">
        <v>33.084454117647056</v>
      </c>
      <c r="MG26" s="955">
        <v>5.139829226318624</v>
      </c>
      <c r="MH26" s="955">
        <v>9.667501960784314</v>
      </c>
      <c r="MI26" s="955">
        <v>8.9411284307547305</v>
      </c>
      <c r="MJ26" s="955">
        <v>0</v>
      </c>
      <c r="MK26" s="955">
        <v>0</v>
      </c>
      <c r="ML26" s="955">
        <v>36.806205882352941</v>
      </c>
      <c r="MM26" s="956">
        <v>93.70884463355398</v>
      </c>
      <c r="MN26" s="954">
        <v>13.8447</v>
      </c>
      <c r="MO26" s="955">
        <v>0</v>
      </c>
      <c r="MP26" s="955">
        <v>16.560303921568629</v>
      </c>
      <c r="MQ26" s="955">
        <v>21.167985461134545</v>
      </c>
      <c r="MR26" s="955">
        <v>11.914199999999994</v>
      </c>
      <c r="MS26" s="955">
        <v>0</v>
      </c>
      <c r="MT26" s="955">
        <v>12.935874509803922</v>
      </c>
      <c r="MU26" s="955">
        <v>11.89720316688158</v>
      </c>
      <c r="MV26" s="955">
        <v>0</v>
      </c>
      <c r="MW26" s="955">
        <v>0</v>
      </c>
      <c r="MX26" s="955">
        <v>48.352990196078437</v>
      </c>
      <c r="MY26" s="956">
        <v>154.12361934299943</v>
      </c>
      <c r="MZ26" s="954">
        <v>12.383329411764711</v>
      </c>
      <c r="NA26" s="955">
        <v>0</v>
      </c>
      <c r="NB26" s="955">
        <v>13.612172549019606</v>
      </c>
      <c r="NC26" s="955">
        <v>19.707587056897957</v>
      </c>
      <c r="ND26" s="955">
        <v>10.484219607843128</v>
      </c>
      <c r="NE26" s="955">
        <v>0</v>
      </c>
      <c r="NF26" s="955">
        <v>10.630811764705882</v>
      </c>
      <c r="NG26" s="955">
        <v>11.523392900992585</v>
      </c>
      <c r="NH26" s="955">
        <v>0</v>
      </c>
      <c r="NI26" s="955">
        <v>0</v>
      </c>
      <c r="NJ26" s="955">
        <v>40.209468627450974</v>
      </c>
      <c r="NK26" s="956">
        <v>144.97189593576451</v>
      </c>
      <c r="NL26" s="954">
        <v>20.852805882352936</v>
      </c>
      <c r="NM26" s="955">
        <v>4.5097583187313104</v>
      </c>
      <c r="NN26" s="955">
        <v>12.908141176470588</v>
      </c>
      <c r="NO26" s="955">
        <v>14.17781250956828</v>
      </c>
      <c r="NP26" s="955">
        <v>21.07356078431372</v>
      </c>
      <c r="NQ26" s="955">
        <v>3.9456705161729118</v>
      </c>
      <c r="NR26" s="955">
        <v>10.080349019607844</v>
      </c>
      <c r="NS26" s="955">
        <v>8.6359200827266189</v>
      </c>
      <c r="NT26" s="955">
        <v>0</v>
      </c>
      <c r="NU26" s="955">
        <v>0</v>
      </c>
      <c r="NV26" s="955">
        <v>38.264747058823531</v>
      </c>
      <c r="NW26" s="956">
        <v>98.627868596747007</v>
      </c>
      <c r="NX26" s="954">
        <v>30.077947058823533</v>
      </c>
      <c r="NY26" s="955">
        <v>6.6749581869375776</v>
      </c>
      <c r="NZ26" s="955">
        <v>12.11610588235294</v>
      </c>
      <c r="OA26" s="955">
        <v>15.215849186367004</v>
      </c>
      <c r="OB26" s="955">
        <v>30.068349019607844</v>
      </c>
      <c r="OC26" s="955">
        <v>5.9768950141776118</v>
      </c>
      <c r="OD26" s="955">
        <v>9.4610784313725489</v>
      </c>
      <c r="OE26" s="955">
        <v>9.7957512475160602</v>
      </c>
      <c r="OF26" s="955">
        <v>0</v>
      </c>
      <c r="OG26" s="955">
        <v>0</v>
      </c>
      <c r="OH26" s="955">
        <v>36.076935294117646</v>
      </c>
      <c r="OI26" s="956">
        <v>95.196006251109267</v>
      </c>
      <c r="OJ26" s="954">
        <v>21.466047058823531</v>
      </c>
      <c r="OK26" s="955">
        <v>1.4256731350796286</v>
      </c>
      <c r="OL26" s="955">
        <v>14.096194117647059</v>
      </c>
      <c r="OM26" s="955">
        <v>16.425336380852283</v>
      </c>
      <c r="ON26" s="955">
        <v>21.677203921568626</v>
      </c>
      <c r="OO26" s="955">
        <v>1.4273443361251281</v>
      </c>
      <c r="OP26" s="955">
        <v>11.009254901960785</v>
      </c>
      <c r="OQ26" s="955">
        <v>9.5175595069600014</v>
      </c>
      <c r="OR26" s="955">
        <v>0</v>
      </c>
      <c r="OS26" s="955">
        <v>0</v>
      </c>
      <c r="OT26" s="955">
        <v>41.54646470588235</v>
      </c>
      <c r="OU26" s="956">
        <v>119.53318468585819</v>
      </c>
      <c r="OV26" s="954">
        <v>31.304429411764708</v>
      </c>
      <c r="OW26" s="955">
        <v>9.8655752103373082</v>
      </c>
      <c r="OX26" s="955">
        <v>11.456076470588235</v>
      </c>
      <c r="OY26" s="955">
        <v>11.409413048535274</v>
      </c>
      <c r="OZ26" s="955">
        <v>31.275635294117649</v>
      </c>
      <c r="PA26" s="955">
        <v>8.4228583187855417</v>
      </c>
      <c r="PB26" s="955">
        <v>8.9450196078431379</v>
      </c>
      <c r="PC26" s="955">
        <v>6.6827104740817882</v>
      </c>
      <c r="PD26" s="955">
        <v>44.511505882352949</v>
      </c>
      <c r="PE26" s="955">
        <v>1.5289281946602675</v>
      </c>
      <c r="PF26" s="955">
        <v>34.253758823529409</v>
      </c>
      <c r="PG26" s="956">
        <v>82.34396212043832</v>
      </c>
      <c r="PH26" s="954">
        <v>26.213188235294112</v>
      </c>
      <c r="PI26" s="955">
        <v>0.62379482663767383</v>
      </c>
      <c r="PJ26" s="955">
        <v>15.944276470588235</v>
      </c>
      <c r="PK26" s="955">
        <v>20.253827464150863</v>
      </c>
      <c r="PL26" s="955">
        <v>26.289972549019602</v>
      </c>
      <c r="PM26" s="955">
        <v>0.7988506005803615</v>
      </c>
      <c r="PN26" s="955">
        <v>12.45421960784314</v>
      </c>
      <c r="PO26" s="955">
        <v>12.14873143124011</v>
      </c>
      <c r="PP26" s="955">
        <v>0</v>
      </c>
      <c r="PQ26" s="955">
        <v>0</v>
      </c>
      <c r="PR26" s="955">
        <v>46.651358823529421</v>
      </c>
      <c r="PS26" s="956">
        <v>135.4815506076188</v>
      </c>
      <c r="PT26" s="954">
        <v>35.695873333333346</v>
      </c>
      <c r="PU26" s="955">
        <v>6.9600732855092131</v>
      </c>
      <c r="PV26" s="955">
        <v>12.248111764705882</v>
      </c>
      <c r="PW26" s="955">
        <v>11.971824321171841</v>
      </c>
      <c r="PX26" s="955">
        <v>34.517832156862745</v>
      </c>
      <c r="PY26" s="955">
        <v>6.2316062422131093</v>
      </c>
      <c r="PZ26" s="955">
        <v>9.5642901960784314</v>
      </c>
      <c r="QA26" s="955">
        <v>7.2067571727948732</v>
      </c>
      <c r="QB26" s="955">
        <v>0</v>
      </c>
      <c r="QC26" s="955">
        <v>0</v>
      </c>
      <c r="QD26" s="955">
        <v>36.441570588235294</v>
      </c>
      <c r="QE26" s="956">
        <v>85.405789540159404</v>
      </c>
      <c r="QF26" s="954">
        <v>32.451517647058822</v>
      </c>
      <c r="QG26" s="955">
        <v>6.4745392843508451</v>
      </c>
      <c r="QH26" s="955">
        <v>12.028101960784314</v>
      </c>
      <c r="QI26" s="955">
        <v>14.542305561497489</v>
      </c>
      <c r="QJ26" s="955">
        <v>32.374733333333332</v>
      </c>
      <c r="QK26" s="955">
        <v>5.7766241745946569</v>
      </c>
      <c r="QL26" s="955">
        <v>9.392270588235295</v>
      </c>
      <c r="QM26" s="955">
        <v>9.2273957888210116</v>
      </c>
      <c r="QN26" s="955">
        <v>0</v>
      </c>
      <c r="QO26" s="955">
        <v>0</v>
      </c>
      <c r="QP26" s="955">
        <v>35.83384509803922</v>
      </c>
      <c r="QQ26" s="956">
        <v>94.399315609937446</v>
      </c>
      <c r="QR26" s="954">
        <v>16.851258823529406</v>
      </c>
      <c r="QS26" s="955">
        <v>0</v>
      </c>
      <c r="QT26" s="955">
        <v>13.700176470588236</v>
      </c>
      <c r="QU26" s="955">
        <v>16.76072377189417</v>
      </c>
      <c r="QV26" s="955">
        <v>17.196788235294111</v>
      </c>
      <c r="QW26" s="955">
        <v>0</v>
      </c>
      <c r="QX26" s="955">
        <v>10.69961960784314</v>
      </c>
      <c r="QY26" s="955">
        <v>9.0381384587806721</v>
      </c>
      <c r="QZ26" s="955">
        <v>0</v>
      </c>
      <c r="RA26" s="955">
        <v>0</v>
      </c>
      <c r="RB26" s="955">
        <v>40.452558823529415</v>
      </c>
      <c r="RC26" s="956">
        <v>136.92786235124743</v>
      </c>
      <c r="RD26" s="954">
        <v>32.495471372549027</v>
      </c>
      <c r="RE26" s="955">
        <v>7.2839235617568603</v>
      </c>
      <c r="RF26" s="955">
        <v>12.204109803921567</v>
      </c>
      <c r="RG26" s="955">
        <v>13.393378463742581</v>
      </c>
      <c r="RH26" s="955">
        <v>31.944047843137252</v>
      </c>
      <c r="RI26" s="955">
        <v>6.4108940253606619</v>
      </c>
      <c r="RJ26" s="955">
        <v>9.5298862745098045</v>
      </c>
      <c r="RK26" s="955">
        <v>8.2827549213946163</v>
      </c>
      <c r="RL26" s="955">
        <v>0</v>
      </c>
      <c r="RM26" s="955">
        <v>0</v>
      </c>
      <c r="RN26" s="955">
        <v>36.320025490196073</v>
      </c>
      <c r="RO26" s="956">
        <v>90.587353635272095</v>
      </c>
      <c r="RP26" s="954">
        <v>29.36765882352941</v>
      </c>
      <c r="RQ26" s="955">
        <v>6.7650230800620994</v>
      </c>
      <c r="RR26" s="955">
        <v>12.11610588235294</v>
      </c>
      <c r="RS26" s="955">
        <v>12.944734690411709</v>
      </c>
      <c r="RT26" s="955">
        <v>29.34846274509804</v>
      </c>
      <c r="RU26" s="955">
        <v>6.0141392957914954</v>
      </c>
      <c r="RV26" s="955">
        <v>9.4610784313725489</v>
      </c>
      <c r="RW26" s="955">
        <v>7.9352710051231403</v>
      </c>
      <c r="RX26" s="955">
        <v>0</v>
      </c>
      <c r="RY26" s="955">
        <v>0</v>
      </c>
      <c r="RZ26" s="955">
        <v>36.076935294117646</v>
      </c>
      <c r="SA26" s="956">
        <v>89.655548788541566</v>
      </c>
    </row>
    <row r="27" spans="1:495">
      <c r="A27" s="966">
        <f>[3]Eingabedaten!A29</f>
        <v>7.01</v>
      </c>
      <c r="B27" s="169" t="str">
        <f>[3]Eingabedaten!C29</f>
        <v>Vorstellungsraum</v>
      </c>
      <c r="C27" s="987">
        <f t="shared" si="1"/>
        <v>21</v>
      </c>
      <c r="D27" s="954" cm="1">
        <f t="array" ref="D27">INDEX($P$7:$SA$51,$C27,$G$3-1+D$2)</f>
        <v>38.451766666666664</v>
      </c>
      <c r="E27" s="955" cm="1">
        <f t="array" ref="E27">INDEX($P$7:$SA$51,$C27,$G$3-1+E$2)</f>
        <v>12.785532108354348</v>
      </c>
      <c r="F27" s="955" cm="1">
        <f t="array" ref="F27">INDEX($P$7:$SA$51,$C27,$G$3-1+F$2)</f>
        <v>12.967500000000001</v>
      </c>
      <c r="G27" s="955" cm="1">
        <f t="array" ref="G27">INDEX($P$7:$SA$51,$C27,$G$3-1+G$2)</f>
        <v>8.016789706577752</v>
      </c>
      <c r="H27" s="955" cm="1">
        <f t="array" ref="H27">INDEX($P$7:$SA$51,$C27,$G$3-1+H$2)</f>
        <v>35.421716339869278</v>
      </c>
      <c r="I27" s="955" cm="1">
        <f t="array" ref="I27">INDEX($P$7:$SA$51,$C27,$G$3-1+I$2)</f>
        <v>15.352038757184358</v>
      </c>
      <c r="J27" s="955" cm="1">
        <f t="array" ref="J27">INDEX($P$7:$SA$51,$C27,$G$3-1+J$2)</f>
        <v>10.256647058823532</v>
      </c>
      <c r="K27" s="955" cm="1">
        <f t="array" ref="K27">INDEX($P$7:$SA$51,$C27,$G$3-1+K$2)</f>
        <v>3.1866436452362614</v>
      </c>
      <c r="L27" s="955" cm="1">
        <f t="array" ref="L27">INDEX($P$7:$SA$51,$C27,$G$3-1+L$2)</f>
        <v>0</v>
      </c>
      <c r="M27" s="955" cm="1">
        <f t="array" ref="M27">INDEX($P$7:$SA$51,$C27,$G$3-1+M$2)</f>
        <v>0</v>
      </c>
      <c r="N27" s="955" cm="1">
        <f t="array" ref="N27">INDEX($P$7:$SA$51,$C27,$G$3-1+N$2)</f>
        <v>54.442976470588242</v>
      </c>
      <c r="O27" s="956" cm="1">
        <f t="array" ref="O27">INDEX($P$7:$SA$51,$C27,$G$3-1+O$2)</f>
        <v>160.19391156959381</v>
      </c>
      <c r="P27" s="954">
        <v>20.00066666666666</v>
      </c>
      <c r="Q27" s="955">
        <v>4.7093993628931532</v>
      </c>
      <c r="R27" s="955">
        <v>14.196000000000002</v>
      </c>
      <c r="S27" s="955">
        <v>13.443166082252308</v>
      </c>
      <c r="T27" s="955">
        <v>17.608410457516339</v>
      </c>
      <c r="U27" s="955">
        <v>7.8800193285085562</v>
      </c>
      <c r="V27" s="955">
        <v>11.228329411764708</v>
      </c>
      <c r="W27" s="955">
        <v>6.1187832947588241</v>
      </c>
      <c r="X27" s="955">
        <v>0</v>
      </c>
      <c r="Y27" s="955">
        <v>0</v>
      </c>
      <c r="Z27" s="955">
        <v>59.192435294117651</v>
      </c>
      <c r="AA27" s="956">
        <v>213.55357684090578</v>
      </c>
      <c r="AB27" s="954">
        <v>28.409434666666666</v>
      </c>
      <c r="AC27" s="955">
        <v>14.350849863715075</v>
      </c>
      <c r="AD27" s="955">
        <v>12.057500000000001</v>
      </c>
      <c r="AE27" s="955">
        <v>6.7381516229429739</v>
      </c>
      <c r="AF27" s="955">
        <v>24.662317281045752</v>
      </c>
      <c r="AG27" s="955">
        <v>16.791110291459585</v>
      </c>
      <c r="AH27" s="955">
        <v>9.536882352941177</v>
      </c>
      <c r="AI27" s="955">
        <v>2.5185392504005684</v>
      </c>
      <c r="AJ27" s="955">
        <v>0</v>
      </c>
      <c r="AK27" s="955">
        <v>0</v>
      </c>
      <c r="AL27" s="955">
        <v>50.924858823529419</v>
      </c>
      <c r="AM27" s="956">
        <v>149.15038230904142</v>
      </c>
      <c r="AN27" s="954">
        <v>38.870686666666657</v>
      </c>
      <c r="AO27" s="955">
        <v>13.898049791992701</v>
      </c>
      <c r="AP27" s="955">
        <v>12.103000000000002</v>
      </c>
      <c r="AQ27" s="955">
        <v>6.8084189102320529</v>
      </c>
      <c r="AR27" s="955">
        <v>35.1519108496732</v>
      </c>
      <c r="AS27" s="955">
        <v>16.392983880931876</v>
      </c>
      <c r="AT27" s="955">
        <v>9.5728705882352951</v>
      </c>
      <c r="AU27" s="955">
        <v>2.5427710461966164</v>
      </c>
      <c r="AV27" s="955">
        <v>0</v>
      </c>
      <c r="AW27" s="955">
        <v>0</v>
      </c>
      <c r="AX27" s="955">
        <v>51.100764705882362</v>
      </c>
      <c r="AY27" s="956">
        <v>150.98604334650693</v>
      </c>
      <c r="AZ27" s="954">
        <v>39.42778666666667</v>
      </c>
      <c r="BA27" s="955">
        <v>15.17583278370777</v>
      </c>
      <c r="BB27" s="955">
        <v>12.512500000000003</v>
      </c>
      <c r="BC27" s="955">
        <v>5.8918198931268995</v>
      </c>
      <c r="BD27" s="955">
        <v>35.584118692810463</v>
      </c>
      <c r="BE27" s="955">
        <v>17.497107754964642</v>
      </c>
      <c r="BF27" s="955">
        <v>9.8967647058823545</v>
      </c>
      <c r="BG27" s="955">
        <v>2.0776047895737997</v>
      </c>
      <c r="BH27" s="955">
        <v>0</v>
      </c>
      <c r="BI27" s="955">
        <v>0</v>
      </c>
      <c r="BJ27" s="955">
        <v>52.683917647058834</v>
      </c>
      <c r="BK27" s="956">
        <v>143.07514248507718</v>
      </c>
      <c r="BL27" s="954">
        <v>32.044333333333327</v>
      </c>
      <c r="BM27" s="955">
        <v>12.612389789954344</v>
      </c>
      <c r="BN27" s="955">
        <v>12.922000000000001</v>
      </c>
      <c r="BO27" s="955">
        <v>8.7371774273857117</v>
      </c>
      <c r="BP27" s="955">
        <v>29.195006535947712</v>
      </c>
      <c r="BQ27" s="955">
        <v>15.04617337881924</v>
      </c>
      <c r="BR27" s="955">
        <v>10.220658823529412</v>
      </c>
      <c r="BS27" s="955">
        <v>3.6075321282807384</v>
      </c>
      <c r="BT27" s="955">
        <v>0</v>
      </c>
      <c r="BU27" s="955">
        <v>0</v>
      </c>
      <c r="BV27" s="955">
        <v>54.267070588235299</v>
      </c>
      <c r="BW27" s="956">
        <v>164.16024134945954</v>
      </c>
      <c r="BX27" s="954">
        <v>33.730499999999999</v>
      </c>
      <c r="BY27" s="955">
        <v>13.732784483915985</v>
      </c>
      <c r="BZ27" s="955">
        <v>12.785500000000003</v>
      </c>
      <c r="CA27" s="955">
        <v>7.6574941988241987</v>
      </c>
      <c r="CB27" s="955">
        <v>30.833614379084967</v>
      </c>
      <c r="CC27" s="955">
        <v>16.179379534729346</v>
      </c>
      <c r="CD27" s="955">
        <v>10.112694117647061</v>
      </c>
      <c r="CE27" s="955">
        <v>3.0040555144605441</v>
      </c>
      <c r="CF27" s="955">
        <v>0</v>
      </c>
      <c r="CG27" s="955">
        <v>0</v>
      </c>
      <c r="CH27" s="955">
        <v>53.739352941176477</v>
      </c>
      <c r="CI27" s="956">
        <v>155.33536687285215</v>
      </c>
      <c r="CJ27" s="954">
        <v>38.451766666666664</v>
      </c>
      <c r="CK27" s="955">
        <v>13.528554184504113</v>
      </c>
      <c r="CL27" s="955">
        <v>12.831000000000001</v>
      </c>
      <c r="CM27" s="955">
        <v>7.7081379795299059</v>
      </c>
      <c r="CN27" s="955">
        <v>35.421716339869278</v>
      </c>
      <c r="CO27" s="955">
        <v>16.057033383383303</v>
      </c>
      <c r="CP27" s="955">
        <v>10.148682352941178</v>
      </c>
      <c r="CQ27" s="955">
        <v>3.059546114268286</v>
      </c>
      <c r="CR27" s="955">
        <v>0</v>
      </c>
      <c r="CS27" s="955">
        <v>0</v>
      </c>
      <c r="CT27" s="955">
        <v>53.915258823529413</v>
      </c>
      <c r="CU27" s="956">
        <v>155.83395155522166</v>
      </c>
      <c r="CV27" s="954">
        <v>17.011666666666663</v>
      </c>
      <c r="CW27" s="955">
        <v>2.0266715940529707</v>
      </c>
      <c r="CX27" s="955">
        <v>15.515500000000003</v>
      </c>
      <c r="CY27" s="955">
        <v>21.090567648508095</v>
      </c>
      <c r="CZ27" s="955">
        <v>14.752575163398694</v>
      </c>
      <c r="DA27" s="955">
        <v>4.706799768775725</v>
      </c>
      <c r="DB27" s="955">
        <v>12.271988235294121</v>
      </c>
      <c r="DC27" s="955">
        <v>11.054426620186442</v>
      </c>
      <c r="DD27" s="955">
        <v>0</v>
      </c>
      <c r="DE27" s="955">
        <v>0</v>
      </c>
      <c r="DF27" s="955">
        <v>64.293705882352938</v>
      </c>
      <c r="DG27" s="956">
        <v>254.80572860879911</v>
      </c>
      <c r="DH27" s="954">
        <v>26.619166666666665</v>
      </c>
      <c r="DI27" s="955">
        <v>6.4424849550904186</v>
      </c>
      <c r="DJ27" s="955">
        <v>13.968500000000002</v>
      </c>
      <c r="DK27" s="955">
        <v>12.73870722483621</v>
      </c>
      <c r="DL27" s="955">
        <v>23.932045751633986</v>
      </c>
      <c r="DM27" s="955">
        <v>9.60189098310825</v>
      </c>
      <c r="DN27" s="955">
        <v>11.048388235294119</v>
      </c>
      <c r="DO27" s="955">
        <v>5.7758243607351556</v>
      </c>
      <c r="DP27" s="955">
        <v>0</v>
      </c>
      <c r="DQ27" s="955">
        <v>0</v>
      </c>
      <c r="DR27" s="955">
        <v>58.312905882352943</v>
      </c>
      <c r="DS27" s="956">
        <v>203.52522777650492</v>
      </c>
      <c r="DT27" s="954">
        <v>26.459134666666667</v>
      </c>
      <c r="DU27" s="955">
        <v>5.9077240395251192</v>
      </c>
      <c r="DV27" s="955">
        <v>14.651000000000003</v>
      </c>
      <c r="DW27" s="955">
        <v>13.631281339409398</v>
      </c>
      <c r="DX27" s="955">
        <v>23.181811398692812</v>
      </c>
      <c r="DY27" s="955">
        <v>9.0473219528265769</v>
      </c>
      <c r="DZ27" s="955">
        <v>11.588211764705886</v>
      </c>
      <c r="EA27" s="955">
        <v>6.3779486373540308</v>
      </c>
      <c r="EB27" s="955">
        <v>0</v>
      </c>
      <c r="EC27" s="955">
        <v>0</v>
      </c>
      <c r="ED27" s="955">
        <v>60.951494117647059</v>
      </c>
      <c r="EE27" s="956">
        <v>208.88565311634162</v>
      </c>
      <c r="EF27" s="954">
        <v>41.149633333333327</v>
      </c>
      <c r="EG27" s="955">
        <v>16.288350467346124</v>
      </c>
      <c r="EH27" s="955">
        <v>11.466000000000001</v>
      </c>
      <c r="EI27" s="955">
        <v>5.865021386278606</v>
      </c>
      <c r="EJ27" s="955">
        <v>38.043488888888888</v>
      </c>
      <c r="EK27" s="955">
        <v>18.267286806061069</v>
      </c>
      <c r="EL27" s="955">
        <v>9.0690352941176471</v>
      </c>
      <c r="EM27" s="955">
        <v>2.0563221667883811</v>
      </c>
      <c r="EN27" s="955">
        <v>0</v>
      </c>
      <c r="EO27" s="955">
        <v>0</v>
      </c>
      <c r="EP27" s="955">
        <v>48.638082352941183</v>
      </c>
      <c r="EQ27" s="956">
        <v>141.12776855494388</v>
      </c>
      <c r="ER27" s="954">
        <v>38.313586666666673</v>
      </c>
      <c r="ES27" s="955">
        <v>11.706789646509595</v>
      </c>
      <c r="ET27" s="955">
        <v>13.286000000000001</v>
      </c>
      <c r="EU27" s="955">
        <v>9.4602712937124043</v>
      </c>
      <c r="EV27" s="955">
        <v>34.719703006535944</v>
      </c>
      <c r="EW27" s="955">
        <v>14.430431272864544</v>
      </c>
      <c r="EX27" s="955">
        <v>10.508564705882353</v>
      </c>
      <c r="EY27" s="955">
        <v>4.0501431338556682</v>
      </c>
      <c r="EZ27" s="955">
        <v>0</v>
      </c>
      <c r="FA27" s="955">
        <v>0</v>
      </c>
      <c r="FB27" s="955">
        <v>55.674317647058828</v>
      </c>
      <c r="FC27" s="956">
        <v>169.62217261797275</v>
      </c>
      <c r="FD27" s="954">
        <v>5.269166666666667</v>
      </c>
      <c r="FE27" s="955">
        <v>0</v>
      </c>
      <c r="FF27" s="955">
        <v>16.562000000000001</v>
      </c>
      <c r="FG27" s="955">
        <v>34.352848049853122</v>
      </c>
      <c r="FH27" s="955">
        <v>3.5332222222222258</v>
      </c>
      <c r="FI27" s="955">
        <v>0.73757006636368516</v>
      </c>
      <c r="FJ27" s="955">
        <v>13.099717647058824</v>
      </c>
      <c r="FK27" s="955">
        <v>19.203877886626255</v>
      </c>
      <c r="FL27" s="955">
        <v>0</v>
      </c>
      <c r="FM27" s="955">
        <v>0</v>
      </c>
      <c r="FN27" s="955">
        <v>68.33954117647059</v>
      </c>
      <c r="FO27" s="956">
        <v>321.34532075193101</v>
      </c>
      <c r="FP27" s="954">
        <v>27.551302666666665</v>
      </c>
      <c r="FQ27" s="955">
        <v>12.694350633797265</v>
      </c>
      <c r="FR27" s="955">
        <v>12.740000000000002</v>
      </c>
      <c r="FS27" s="955">
        <v>8.2964000149466752</v>
      </c>
      <c r="FT27" s="955">
        <v>24.01089469281046</v>
      </c>
      <c r="FU27" s="955">
        <v>15.137431573675718</v>
      </c>
      <c r="FV27" s="955">
        <v>10.076705882352943</v>
      </c>
      <c r="FW27" s="955">
        <v>3.3262709533559347</v>
      </c>
      <c r="FX27" s="955">
        <v>0</v>
      </c>
      <c r="FY27" s="955">
        <v>0</v>
      </c>
      <c r="FZ27" s="955">
        <v>53.563447058823535</v>
      </c>
      <c r="GA27" s="956">
        <v>162.21514564411825</v>
      </c>
      <c r="GB27" s="954">
        <v>26.615158666666662</v>
      </c>
      <c r="GC27" s="955">
        <v>11.790094110743386</v>
      </c>
      <c r="GD27" s="955">
        <v>12.740000000000002</v>
      </c>
      <c r="GE27" s="955">
        <v>9.4719074795469371</v>
      </c>
      <c r="GF27" s="955">
        <v>23.300251869281048</v>
      </c>
      <c r="GG27" s="955">
        <v>14.279002839641157</v>
      </c>
      <c r="GH27" s="955">
        <v>10.076705882352943</v>
      </c>
      <c r="GI27" s="955">
        <v>4.0327370543241736</v>
      </c>
      <c r="GJ27" s="955">
        <v>0</v>
      </c>
      <c r="GK27" s="955">
        <v>0</v>
      </c>
      <c r="GL27" s="955">
        <v>53.563447058823535</v>
      </c>
      <c r="GM27" s="956">
        <v>170.20420395633076</v>
      </c>
      <c r="GN27" s="954">
        <v>25.991062666666668</v>
      </c>
      <c r="GO27" s="955">
        <v>5.858194797084936</v>
      </c>
      <c r="GP27" s="955">
        <v>13.877500000000001</v>
      </c>
      <c r="GQ27" s="955">
        <v>12.842263397938151</v>
      </c>
      <c r="GR27" s="955">
        <v>22.826489986928102</v>
      </c>
      <c r="GS27" s="955">
        <v>9.0794127466222641</v>
      </c>
      <c r="GT27" s="955">
        <v>10.976411764705883</v>
      </c>
      <c r="GU27" s="955">
        <v>5.8227017338110345</v>
      </c>
      <c r="GV27" s="955">
        <v>0</v>
      </c>
      <c r="GW27" s="955">
        <v>0</v>
      </c>
      <c r="GX27" s="955">
        <v>57.961094117647065</v>
      </c>
      <c r="GY27" s="956">
        <v>206.15593936105296</v>
      </c>
      <c r="GZ27" s="954">
        <v>24.270666666666664</v>
      </c>
      <c r="HA27" s="955">
        <v>4.6704343715579935</v>
      </c>
      <c r="HB27" s="955">
        <v>13.923000000000002</v>
      </c>
      <c r="HC27" s="955">
        <v>13.556379276324138</v>
      </c>
      <c r="HD27" s="955">
        <v>21.688175163398693</v>
      </c>
      <c r="HE27" s="955">
        <v>7.6644093076938011</v>
      </c>
      <c r="HF27" s="955">
        <v>11.012400000000001</v>
      </c>
      <c r="HG27" s="955">
        <v>6.1493294315994014</v>
      </c>
      <c r="HH27" s="955">
        <v>0</v>
      </c>
      <c r="HI27" s="955">
        <v>0</v>
      </c>
      <c r="HJ27" s="955">
        <v>58.137</v>
      </c>
      <c r="HK27" s="956">
        <v>214.79928900361114</v>
      </c>
      <c r="HL27" s="954">
        <v>36.428366666666662</v>
      </c>
      <c r="HM27" s="955">
        <v>20.607607872263028</v>
      </c>
      <c r="HN27" s="955">
        <v>10.146500000000001</v>
      </c>
      <c r="HO27" s="955">
        <v>3.5228832363273015</v>
      </c>
      <c r="HP27" s="955">
        <v>33.455386928104573</v>
      </c>
      <c r="HQ27" s="955">
        <v>22.369012372068411</v>
      </c>
      <c r="HR27" s="955">
        <v>8.0253764705882364</v>
      </c>
      <c r="HS27" s="955">
        <v>1.0154653164177119</v>
      </c>
      <c r="HT27" s="955">
        <v>40.304803361344533</v>
      </c>
      <c r="HU27" s="955">
        <v>2.2557531010289198</v>
      </c>
      <c r="HV27" s="955">
        <v>43.536811764705888</v>
      </c>
      <c r="HW27" s="956">
        <v>118.13634937053459</v>
      </c>
      <c r="HX27" s="954">
        <v>38.114533333333334</v>
      </c>
      <c r="HY27" s="955">
        <v>21.061751564376266</v>
      </c>
      <c r="HZ27" s="955">
        <v>9.9190000000000005</v>
      </c>
      <c r="IA27" s="955">
        <v>3.4805103209842572</v>
      </c>
      <c r="IB27" s="955">
        <v>35.093994771241832</v>
      </c>
      <c r="IC27" s="955">
        <v>22.734045151494332</v>
      </c>
      <c r="ID27" s="955">
        <v>7.8454352941176477</v>
      </c>
      <c r="IE27" s="955">
        <v>1.0025868469327481</v>
      </c>
      <c r="IF27" s="955">
        <v>41.669666106442577</v>
      </c>
      <c r="IG27" s="955">
        <v>2.971916936715195</v>
      </c>
      <c r="IH27" s="955">
        <v>42.657282352941181</v>
      </c>
      <c r="II27" s="956">
        <v>117.32196336253369</v>
      </c>
      <c r="IJ27" s="954">
        <v>38.789000000000001</v>
      </c>
      <c r="IK27" s="955">
        <v>13.898049791992701</v>
      </c>
      <c r="IL27" s="955">
        <v>12.467000000000002</v>
      </c>
      <c r="IM27" s="955">
        <v>7.6527868617141541</v>
      </c>
      <c r="IN27" s="955">
        <v>35.749437908496731</v>
      </c>
      <c r="IO27" s="955">
        <v>16.302728523381511</v>
      </c>
      <c r="IP27" s="955">
        <v>9.8607764705882364</v>
      </c>
      <c r="IQ27" s="955">
        <v>3.0031027736719635</v>
      </c>
      <c r="IR27" s="955">
        <v>0</v>
      </c>
      <c r="IS27" s="955">
        <v>0</v>
      </c>
      <c r="IT27" s="955">
        <v>52.508011764705884</v>
      </c>
      <c r="IU27" s="956">
        <v>154.8835384756176</v>
      </c>
      <c r="IV27" s="954">
        <v>38.789000000000001</v>
      </c>
      <c r="IW27" s="955">
        <v>20.357694479561655</v>
      </c>
      <c r="IX27" s="955">
        <v>10.920000000000002</v>
      </c>
      <c r="IY27" s="955">
        <v>5.7704762568850123</v>
      </c>
      <c r="IZ27" s="955">
        <v>35.749437908496731</v>
      </c>
      <c r="JA27" s="955">
        <v>21.832615752484923</v>
      </c>
      <c r="JB27" s="955">
        <v>8.637176470588237</v>
      </c>
      <c r="JC27" s="955">
        <v>2.1364274928049434</v>
      </c>
      <c r="JD27" s="955">
        <v>42.488583753501409</v>
      </c>
      <c r="JE27" s="955">
        <v>2.1125203338916676</v>
      </c>
      <c r="JF27" s="955">
        <v>46.527211764705882</v>
      </c>
      <c r="JG27" s="956">
        <v>129.40102244486542</v>
      </c>
      <c r="JH27" s="954">
        <v>27.046166666666664</v>
      </c>
      <c r="JI27" s="955">
        <v>4.9579691352036566</v>
      </c>
      <c r="JJ27" s="955">
        <v>13.923000000000002</v>
      </c>
      <c r="JK27" s="955">
        <v>14.418603412347718</v>
      </c>
      <c r="JL27" s="955">
        <v>24.340022222222224</v>
      </c>
      <c r="JM27" s="955">
        <v>7.9411924041815807</v>
      </c>
      <c r="JN27" s="955">
        <v>11.012400000000001</v>
      </c>
      <c r="JO27" s="955">
        <v>6.7383646588091173</v>
      </c>
      <c r="JP27" s="955">
        <v>0</v>
      </c>
      <c r="JQ27" s="955">
        <v>0</v>
      </c>
      <c r="JR27" s="955">
        <v>58.137</v>
      </c>
      <c r="JS27" s="956">
        <v>216.66562297256274</v>
      </c>
      <c r="JT27" s="954">
        <v>35.753900000000002</v>
      </c>
      <c r="JU27" s="955">
        <v>15.341098091784479</v>
      </c>
      <c r="JV27" s="955">
        <v>12.012</v>
      </c>
      <c r="JW27" s="955">
        <v>6.4429405952548526</v>
      </c>
      <c r="JX27" s="955">
        <v>32.799943790849674</v>
      </c>
      <c r="JY27" s="955">
        <v>17.500116266882991</v>
      </c>
      <c r="JZ27" s="955">
        <v>9.5008941176470589</v>
      </c>
      <c r="KA27" s="955">
        <v>2.3461085773118882</v>
      </c>
      <c r="KB27" s="955">
        <v>0</v>
      </c>
      <c r="KC27" s="955">
        <v>0</v>
      </c>
      <c r="KD27" s="955">
        <v>50.748952941176469</v>
      </c>
      <c r="KE27" s="956">
        <v>146.01568832863416</v>
      </c>
      <c r="KF27" s="954">
        <v>40.475166666666659</v>
      </c>
      <c r="KG27" s="955">
        <v>13.114719104116904</v>
      </c>
      <c r="KH27" s="955">
        <v>12.6035</v>
      </c>
      <c r="KI27" s="955">
        <v>8.102654048700213</v>
      </c>
      <c r="KJ27" s="955">
        <v>37.388045751633982</v>
      </c>
      <c r="KK27" s="955">
        <v>15.567648777999111</v>
      </c>
      <c r="KL27" s="955">
        <v>9.9687411764705889</v>
      </c>
      <c r="KM27" s="955">
        <v>3.2388598244294533</v>
      </c>
      <c r="KN27" s="955">
        <v>0</v>
      </c>
      <c r="KO27" s="955">
        <v>0</v>
      </c>
      <c r="KP27" s="955">
        <v>53.035729411764706</v>
      </c>
      <c r="KQ27" s="956">
        <v>159.62225579039949</v>
      </c>
      <c r="KR27" s="954">
        <v>26.619166666666665</v>
      </c>
      <c r="KS27" s="955">
        <v>9.6080545959744352</v>
      </c>
      <c r="KT27" s="955">
        <v>12.831000000000001</v>
      </c>
      <c r="KU27" s="955">
        <v>11.171584665791586</v>
      </c>
      <c r="KV27" s="955">
        <v>23.932045751633986</v>
      </c>
      <c r="KW27" s="955">
        <v>12.057839545784228</v>
      </c>
      <c r="KX27" s="955">
        <v>10.148682352941178</v>
      </c>
      <c r="KY27" s="955">
        <v>4.9722014548240345</v>
      </c>
      <c r="KZ27" s="955">
        <v>0</v>
      </c>
      <c r="LA27" s="955">
        <v>0</v>
      </c>
      <c r="LB27" s="955">
        <v>53.915258823529413</v>
      </c>
      <c r="LC27" s="956">
        <v>186.05342469558545</v>
      </c>
      <c r="LD27" s="954">
        <v>39.463466666666662</v>
      </c>
      <c r="LE27" s="955">
        <v>16.577228851382657</v>
      </c>
      <c r="LF27" s="955">
        <v>11.511500000000002</v>
      </c>
      <c r="LG27" s="955">
        <v>5.1190647357124277</v>
      </c>
      <c r="LH27" s="955">
        <v>36.40488104575163</v>
      </c>
      <c r="LI27" s="955">
        <v>18.512981946059277</v>
      </c>
      <c r="LJ27" s="955">
        <v>9.105023529411767</v>
      </c>
      <c r="LK27" s="955">
        <v>1.6900300316944719</v>
      </c>
      <c r="LL27" s="955">
        <v>0</v>
      </c>
      <c r="LM27" s="955">
        <v>0</v>
      </c>
      <c r="LN27" s="955">
        <v>48.813988235294126</v>
      </c>
      <c r="LO27" s="956">
        <v>136.75549224186554</v>
      </c>
      <c r="LP27" s="954">
        <v>19.573666666666664</v>
      </c>
      <c r="LQ27" s="955">
        <v>7.5939676300639327</v>
      </c>
      <c r="LR27" s="955">
        <v>13.104000000000003</v>
      </c>
      <c r="LS27" s="955">
        <v>12.446172546905652</v>
      </c>
      <c r="LT27" s="955">
        <v>17.200433986928104</v>
      </c>
      <c r="LU27" s="955">
        <v>10.336970728490646</v>
      </c>
      <c r="LV27" s="955">
        <v>10.364611764705884</v>
      </c>
      <c r="LW27" s="955">
        <v>5.7579696379229661</v>
      </c>
      <c r="LX27" s="955">
        <v>0</v>
      </c>
      <c r="LY27" s="955">
        <v>0</v>
      </c>
      <c r="LZ27" s="955">
        <v>54.970694117647071</v>
      </c>
      <c r="MA27" s="956">
        <v>198.21918717821185</v>
      </c>
      <c r="MB27" s="954">
        <v>39.463466666666662</v>
      </c>
      <c r="MC27" s="955">
        <v>11.788750490352516</v>
      </c>
      <c r="MD27" s="955">
        <v>13.240500000000003</v>
      </c>
      <c r="ME27" s="955">
        <v>8.1911707738913897</v>
      </c>
      <c r="MF27" s="955">
        <v>36.40488104575163</v>
      </c>
      <c r="MG27" s="955">
        <v>14.403354665599437</v>
      </c>
      <c r="MH27" s="955">
        <v>10.472576470588237</v>
      </c>
      <c r="MI27" s="955">
        <v>3.2515309509491419</v>
      </c>
      <c r="MJ27" s="955">
        <v>0</v>
      </c>
      <c r="MK27" s="955">
        <v>0</v>
      </c>
      <c r="ML27" s="955">
        <v>55.498411764705892</v>
      </c>
      <c r="MM27" s="956">
        <v>164.89789348792172</v>
      </c>
      <c r="MN27" s="954">
        <v>20.427666666666667</v>
      </c>
      <c r="MO27" s="955">
        <v>1.5595738497534257</v>
      </c>
      <c r="MP27" s="955">
        <v>17.563000000000002</v>
      </c>
      <c r="MQ27" s="955">
        <v>28.368192667973176</v>
      </c>
      <c r="MR27" s="955">
        <v>18.016386928104581</v>
      </c>
      <c r="MS27" s="955">
        <v>3.9002762514746228</v>
      </c>
      <c r="MT27" s="955">
        <v>13.891458823529414</v>
      </c>
      <c r="MU27" s="955">
        <v>16.122969834177134</v>
      </c>
      <c r="MV27" s="955">
        <v>0</v>
      </c>
      <c r="MW27" s="955">
        <v>0</v>
      </c>
      <c r="MX27" s="955">
        <v>72.209470588235291</v>
      </c>
      <c r="MY27" s="956">
        <v>283.98313268263433</v>
      </c>
      <c r="MZ27" s="954">
        <v>18.292666666666666</v>
      </c>
      <c r="NA27" s="955">
        <v>2.4405066744401842</v>
      </c>
      <c r="NB27" s="955">
        <v>14.514500000000002</v>
      </c>
      <c r="NC27" s="955">
        <v>20.012937791240585</v>
      </c>
      <c r="ND27" s="955">
        <v>15.976504575163403</v>
      </c>
      <c r="NE27" s="955">
        <v>5.0023944508951619</v>
      </c>
      <c r="NF27" s="955">
        <v>11.480247058823529</v>
      </c>
      <c r="NG27" s="955">
        <v>10.178699537610795</v>
      </c>
      <c r="NH27" s="955">
        <v>0</v>
      </c>
      <c r="NI27" s="955">
        <v>0</v>
      </c>
      <c r="NJ27" s="955">
        <v>60.42377647058823</v>
      </c>
      <c r="NK27" s="956">
        <v>250.20066576213307</v>
      </c>
      <c r="NL27" s="954">
        <v>31.70709999999999</v>
      </c>
      <c r="NM27" s="955">
        <v>9.9385852121278582</v>
      </c>
      <c r="NN27" s="955">
        <v>13.786500000000004</v>
      </c>
      <c r="NO27" s="955">
        <v>9.7488845954324699</v>
      </c>
      <c r="NP27" s="955">
        <v>28.867284967320252</v>
      </c>
      <c r="NQ27" s="955">
        <v>12.522153218515538</v>
      </c>
      <c r="NR27" s="955">
        <v>10.904435294117649</v>
      </c>
      <c r="NS27" s="955">
        <v>4.0900606529431585</v>
      </c>
      <c r="NT27" s="955">
        <v>0</v>
      </c>
      <c r="NU27" s="955">
        <v>0</v>
      </c>
      <c r="NV27" s="955">
        <v>57.609282352941186</v>
      </c>
      <c r="NW27" s="956">
        <v>178.79449921713586</v>
      </c>
      <c r="NX27" s="954">
        <v>32.381566666666664</v>
      </c>
      <c r="NY27" s="955">
        <v>13.312416013596351</v>
      </c>
      <c r="NZ27" s="955">
        <v>12.967500000000001</v>
      </c>
      <c r="OA27" s="955">
        <v>8.403360665356022</v>
      </c>
      <c r="OB27" s="955">
        <v>29.522728104575169</v>
      </c>
      <c r="OC27" s="955">
        <v>15.749162330405955</v>
      </c>
      <c r="OD27" s="955">
        <v>10.256647058823532</v>
      </c>
      <c r="OE27" s="955">
        <v>3.4280941682088355</v>
      </c>
      <c r="OF27" s="955">
        <v>0</v>
      </c>
      <c r="OG27" s="955">
        <v>0</v>
      </c>
      <c r="OH27" s="955">
        <v>54.442976470588242</v>
      </c>
      <c r="OI27" s="956">
        <v>160.01826365595755</v>
      </c>
      <c r="OJ27" s="954">
        <v>26.832666666666668</v>
      </c>
      <c r="OK27" s="955">
        <v>5.7451459722301417</v>
      </c>
      <c r="OL27" s="955">
        <v>15.015000000000002</v>
      </c>
      <c r="OM27" s="955">
        <v>17.312339192165609</v>
      </c>
      <c r="ON27" s="955">
        <v>24.136033986928108</v>
      </c>
      <c r="OO27" s="955">
        <v>8.7592653227870052</v>
      </c>
      <c r="OP27" s="955">
        <v>11.876117647058825</v>
      </c>
      <c r="OQ27" s="955">
        <v>8.8688513455411311</v>
      </c>
      <c r="OR27" s="955">
        <v>0</v>
      </c>
      <c r="OS27" s="955">
        <v>0</v>
      </c>
      <c r="OT27" s="955">
        <v>62.358741176470588</v>
      </c>
      <c r="OU27" s="956">
        <v>223.1955359882833</v>
      </c>
      <c r="OV27" s="954">
        <v>38.114533333333334</v>
      </c>
      <c r="OW27" s="955">
        <v>15.757138261231054</v>
      </c>
      <c r="OX27" s="955">
        <v>12.285000000000002</v>
      </c>
      <c r="OY27" s="955">
        <v>8.0840934165103917</v>
      </c>
      <c r="OZ27" s="955">
        <v>35.093994771241832</v>
      </c>
      <c r="PA27" s="955">
        <v>18.014571804920053</v>
      </c>
      <c r="PB27" s="955">
        <v>9.7168235294117657</v>
      </c>
      <c r="PC27" s="955">
        <v>3.3684824060660916</v>
      </c>
      <c r="PD27" s="955">
        <v>0</v>
      </c>
      <c r="PE27" s="955">
        <v>0</v>
      </c>
      <c r="PF27" s="955">
        <v>51.804388235294127</v>
      </c>
      <c r="PG27" s="956">
        <v>149.54664192049447</v>
      </c>
      <c r="PH27" s="954">
        <v>26.192166666666665</v>
      </c>
      <c r="PI27" s="955">
        <v>4.0864416532529724</v>
      </c>
      <c r="PJ27" s="955">
        <v>16.926000000000002</v>
      </c>
      <c r="PK27" s="955">
        <v>23.08772434083636</v>
      </c>
      <c r="PL27" s="955">
        <v>23.524069281045755</v>
      </c>
      <c r="PM27" s="955">
        <v>6.9471383106369471</v>
      </c>
      <c r="PN27" s="955">
        <v>13.387623529411769</v>
      </c>
      <c r="PO27" s="955">
        <v>12.704653605863953</v>
      </c>
      <c r="PP27" s="955">
        <v>0</v>
      </c>
      <c r="PQ27" s="955">
        <v>0</v>
      </c>
      <c r="PR27" s="955">
        <v>69.746788235294119</v>
      </c>
      <c r="PS27" s="956">
        <v>252.25138991673035</v>
      </c>
      <c r="PT27" s="954">
        <v>40.319146666666661</v>
      </c>
      <c r="PU27" s="955">
        <v>14.270232640263021</v>
      </c>
      <c r="PV27" s="955">
        <v>13.104000000000003</v>
      </c>
      <c r="PW27" s="955">
        <v>7.135422049065471</v>
      </c>
      <c r="PX27" s="955">
        <v>36.275651241830069</v>
      </c>
      <c r="PY27" s="955">
        <v>16.761025172276131</v>
      </c>
      <c r="PZ27" s="955">
        <v>10.364611764705884</v>
      </c>
      <c r="QA27" s="955">
        <v>2.7590899115276453</v>
      </c>
      <c r="QB27" s="955">
        <v>0</v>
      </c>
      <c r="QC27" s="955">
        <v>0</v>
      </c>
      <c r="QD27" s="955">
        <v>54.970694117647071</v>
      </c>
      <c r="QE27" s="956">
        <v>150.49608781260631</v>
      </c>
      <c r="QF27" s="954">
        <v>29.346466666666661</v>
      </c>
      <c r="QG27" s="955">
        <v>12.44712448187763</v>
      </c>
      <c r="QH27" s="955">
        <v>12.876500000000002</v>
      </c>
      <c r="QI27" s="955">
        <v>8.8532059221841557</v>
      </c>
      <c r="QJ27" s="955">
        <v>26.573233986928102</v>
      </c>
      <c r="QK27" s="955">
        <v>14.861651314494058</v>
      </c>
      <c r="QL27" s="955">
        <v>10.184670588235296</v>
      </c>
      <c r="QM27" s="955">
        <v>3.6462387943301899</v>
      </c>
      <c r="QN27" s="955">
        <v>0</v>
      </c>
      <c r="QO27" s="955">
        <v>0</v>
      </c>
      <c r="QP27" s="955">
        <v>54.091164705882356</v>
      </c>
      <c r="QQ27" s="956">
        <v>165.46565428276642</v>
      </c>
      <c r="QR27" s="954">
        <v>22.776166666666661</v>
      </c>
      <c r="QS27" s="955">
        <v>3.1391892776913277</v>
      </c>
      <c r="QT27" s="955">
        <v>14.605500000000003</v>
      </c>
      <c r="QU27" s="955">
        <v>19.120438433412311</v>
      </c>
      <c r="QV27" s="955">
        <v>20.26025751633987</v>
      </c>
      <c r="QW27" s="955">
        <v>5.9663634252563398</v>
      </c>
      <c r="QX27" s="955">
        <v>11.552223529411766</v>
      </c>
      <c r="QY27" s="955">
        <v>9.7765002843409459</v>
      </c>
      <c r="QZ27" s="955">
        <v>0</v>
      </c>
      <c r="RA27" s="955">
        <v>0</v>
      </c>
      <c r="RB27" s="955">
        <v>60.775588235294123</v>
      </c>
      <c r="RC27" s="956">
        <v>242.64998380968103</v>
      </c>
      <c r="RD27" s="954">
        <v>36.428366666666662</v>
      </c>
      <c r="RE27" s="955">
        <v>13.147150705519643</v>
      </c>
      <c r="RF27" s="955">
        <v>13.058500000000002</v>
      </c>
      <c r="RG27" s="955">
        <v>8.2965245019252105</v>
      </c>
      <c r="RH27" s="955">
        <v>33.455386928104573</v>
      </c>
      <c r="RI27" s="955">
        <v>15.596731059876452</v>
      </c>
      <c r="RJ27" s="955">
        <v>10.328623529411766</v>
      </c>
      <c r="RK27" s="955">
        <v>3.3547279959791614</v>
      </c>
      <c r="RL27" s="955">
        <v>0</v>
      </c>
      <c r="RM27" s="955">
        <v>0</v>
      </c>
      <c r="RN27" s="955">
        <v>54.794788235294121</v>
      </c>
      <c r="RO27" s="956">
        <v>160.25966851590465</v>
      </c>
      <c r="RP27" s="954">
        <v>38.451766666666664</v>
      </c>
      <c r="RQ27" s="955">
        <v>12.785532108354348</v>
      </c>
      <c r="RR27" s="955">
        <v>12.967500000000001</v>
      </c>
      <c r="RS27" s="955">
        <v>8.016789706577752</v>
      </c>
      <c r="RT27" s="955">
        <v>35.421716339869278</v>
      </c>
      <c r="RU27" s="955">
        <v>15.352038757184358</v>
      </c>
      <c r="RV27" s="955">
        <v>10.256647058823532</v>
      </c>
      <c r="RW27" s="955">
        <v>3.1866436452362614</v>
      </c>
      <c r="RX27" s="955">
        <v>0</v>
      </c>
      <c r="RY27" s="955">
        <v>0</v>
      </c>
      <c r="RZ27" s="955">
        <v>54.442976470588242</v>
      </c>
      <c r="SA27" s="956">
        <v>160.19391156959381</v>
      </c>
    </row>
    <row r="28" spans="1:495">
      <c r="A28" s="966">
        <f>[3]Eingabedaten!A30</f>
        <v>7.02</v>
      </c>
      <c r="B28" s="169" t="str">
        <f>[3]Eingabedaten!C30</f>
        <v>Mehrzweckhalle</v>
      </c>
      <c r="C28" s="987">
        <f t="shared" si="1"/>
        <v>22</v>
      </c>
      <c r="D28" s="954" cm="1">
        <f t="array" ref="D28">INDEX($P$7:$SA$51,$C28,$G$3-1+D$2)</f>
        <v>54.986656470588237</v>
      </c>
      <c r="E28" s="955" cm="1">
        <f t="array" ref="E28">INDEX($P$7:$SA$51,$C28,$G$3-1+E$2)</f>
        <v>22.885080033282183</v>
      </c>
      <c r="F28" s="955" cm="1">
        <f t="array" ref="F28">INDEX($P$7:$SA$51,$C28,$G$3-1+F$2)</f>
        <v>20.922515686274515</v>
      </c>
      <c r="G28" s="955" cm="1">
        <f t="array" ref="G28">INDEX($P$7:$SA$51,$C28,$G$3-1+G$2)</f>
        <v>11.119383032634344</v>
      </c>
      <c r="H28" s="955" cm="1">
        <f t="array" ref="H28">INDEX($P$7:$SA$51,$C28,$G$3-1+H$2)</f>
        <v>46.963962352941174</v>
      </c>
      <c r="I28" s="955" cm="1">
        <f t="array" ref="I28">INDEX($P$7:$SA$51,$C28,$G$3-1+I$2)</f>
        <v>20.184343785977124</v>
      </c>
      <c r="J28" s="955" cm="1">
        <f t="array" ref="J28">INDEX($P$7:$SA$51,$C28,$G$3-1+J$2)</f>
        <v>16.636031372549024</v>
      </c>
      <c r="K28" s="955" cm="1">
        <f t="array" ref="K28">INDEX($P$7:$SA$51,$C28,$G$3-1+K$2)</f>
        <v>6.0441365560673175</v>
      </c>
      <c r="L28" s="955" cm="1">
        <f t="array" ref="L28">INDEX($P$7:$SA$51,$C28,$G$3-1+L$2)</f>
        <v>72.191341176470601</v>
      </c>
      <c r="M28" s="955" cm="1">
        <f t="array" ref="M28">INDEX($P$7:$SA$51,$C28,$G$3-1+M$2)</f>
        <v>0.26174782042474276</v>
      </c>
      <c r="N28" s="955" cm="1">
        <f t="array" ref="N28">INDEX($P$7:$SA$51,$C28,$G$3-1+N$2)</f>
        <v>61.269760784313746</v>
      </c>
      <c r="O28" s="956" cm="1">
        <f t="array" ref="O28">INDEX($P$7:$SA$51,$C28,$G$3-1+O$2)</f>
        <v>125.77974561637893</v>
      </c>
      <c r="P28" s="954">
        <v>41.197262745098037</v>
      </c>
      <c r="Q28" s="955">
        <v>6.4776528988855144</v>
      </c>
      <c r="R28" s="955">
        <v>22.827709803921572</v>
      </c>
      <c r="S28" s="955">
        <v>12.498044267012551</v>
      </c>
      <c r="T28" s="955">
        <v>35.128258823529407</v>
      </c>
      <c r="U28" s="955">
        <v>7.0026874336338052</v>
      </c>
      <c r="V28" s="955">
        <v>18.178419607843143</v>
      </c>
      <c r="W28" s="955">
        <v>6.0889109720301331</v>
      </c>
      <c r="X28" s="955">
        <v>0</v>
      </c>
      <c r="Y28" s="955">
        <v>0</v>
      </c>
      <c r="Z28" s="955">
        <v>66.589925490196094</v>
      </c>
      <c r="AA28" s="956">
        <v>168.10807634004118</v>
      </c>
      <c r="AB28" s="954">
        <v>55.279952549019612</v>
      </c>
      <c r="AC28" s="955">
        <v>23.533239045125374</v>
      </c>
      <c r="AD28" s="955">
        <v>19.511260784313727</v>
      </c>
      <c r="AE28" s="955">
        <v>10.104525206494728</v>
      </c>
      <c r="AF28" s="955">
        <v>47.223915294117646</v>
      </c>
      <c r="AG28" s="955">
        <v>21.174390083397881</v>
      </c>
      <c r="AH28" s="955">
        <v>15.493521568627454</v>
      </c>
      <c r="AI28" s="955">
        <v>5.483279827631959</v>
      </c>
      <c r="AJ28" s="955">
        <v>73.106007843137263</v>
      </c>
      <c r="AK28" s="955">
        <v>1.2929514034989686</v>
      </c>
      <c r="AL28" s="955">
        <v>57.328898039215701</v>
      </c>
      <c r="AM28" s="956">
        <v>119.61446455099305</v>
      </c>
      <c r="AN28" s="954">
        <v>54.104877254901965</v>
      </c>
      <c r="AO28" s="955">
        <v>20.889621741869291</v>
      </c>
      <c r="AP28" s="955">
        <v>19.581823529411771</v>
      </c>
      <c r="AQ28" s="955">
        <v>12.004139768582466</v>
      </c>
      <c r="AR28" s="955">
        <v>49.700202352941183</v>
      </c>
      <c r="AS28" s="955">
        <v>18.970701449346986</v>
      </c>
      <c r="AT28" s="955">
        <v>15.550647058823534</v>
      </c>
      <c r="AU28" s="955">
        <v>6.9325164108705284</v>
      </c>
      <c r="AV28" s="955">
        <v>0</v>
      </c>
      <c r="AW28" s="955">
        <v>0</v>
      </c>
      <c r="AX28" s="955">
        <v>57.52594117647061</v>
      </c>
      <c r="AY28" s="956">
        <v>127.72305244462463</v>
      </c>
      <c r="AZ28" s="954">
        <v>59.034867058823536</v>
      </c>
      <c r="BA28" s="955">
        <v>26.720996298991665</v>
      </c>
      <c r="BB28" s="955">
        <v>20.216888235294121</v>
      </c>
      <c r="BC28" s="955">
        <v>8.4861063987849406</v>
      </c>
      <c r="BD28" s="955">
        <v>50.128002352941174</v>
      </c>
      <c r="BE28" s="955">
        <v>24.022214644012436</v>
      </c>
      <c r="BF28" s="955">
        <v>16.064776470588239</v>
      </c>
      <c r="BG28" s="955">
        <v>4.4198921511953229</v>
      </c>
      <c r="BH28" s="955">
        <v>80.651129411764714</v>
      </c>
      <c r="BI28" s="955">
        <v>4.1913667548978397</v>
      </c>
      <c r="BJ28" s="955">
        <v>59.299329411764724</v>
      </c>
      <c r="BK28" s="956">
        <v>110.72853473709121</v>
      </c>
      <c r="BL28" s="954">
        <v>56.182283137254906</v>
      </c>
      <c r="BM28" s="955">
        <v>22.663458823730853</v>
      </c>
      <c r="BN28" s="955">
        <v>20.851952941176474</v>
      </c>
      <c r="BO28" s="955">
        <v>11.638812849589888</v>
      </c>
      <c r="BP28" s="955">
        <v>47.898710588235303</v>
      </c>
      <c r="BQ28" s="955">
        <v>19.95079762654445</v>
      </c>
      <c r="BR28" s="955">
        <v>16.578905882352945</v>
      </c>
      <c r="BS28" s="955">
        <v>6.3215974973047704</v>
      </c>
      <c r="BT28" s="955">
        <v>74.692454901960801</v>
      </c>
      <c r="BU28" s="955">
        <v>0.31321840866003747</v>
      </c>
      <c r="BV28" s="955">
        <v>61.072717647058838</v>
      </c>
      <c r="BW28" s="956">
        <v>129.20106933799335</v>
      </c>
      <c r="BX28" s="954">
        <v>57.159159215686273</v>
      </c>
      <c r="BY28" s="955">
        <v>23.728597785952928</v>
      </c>
      <c r="BZ28" s="955">
        <v>20.640264705882359</v>
      </c>
      <c r="CA28" s="955">
        <v>12.444532815136268</v>
      </c>
      <c r="CB28" s="955">
        <v>48.737755294117648</v>
      </c>
      <c r="CC28" s="955">
        <v>20.830925492107262</v>
      </c>
      <c r="CD28" s="955">
        <v>16.407529411764713</v>
      </c>
      <c r="CE28" s="955">
        <v>7.1372889009869871</v>
      </c>
      <c r="CF28" s="955">
        <v>77.47587450980393</v>
      </c>
      <c r="CG28" s="955">
        <v>1.1805837963412971</v>
      </c>
      <c r="CH28" s="955">
        <v>60.48158823529414</v>
      </c>
      <c r="CI28" s="956">
        <v>128.43643348177457</v>
      </c>
      <c r="CJ28" s="954">
        <v>56.429307450980396</v>
      </c>
      <c r="CK28" s="955">
        <v>21.832355396746159</v>
      </c>
      <c r="CL28" s="955">
        <v>20.710827450980393</v>
      </c>
      <c r="CM28" s="955">
        <v>9.3305913650970922</v>
      </c>
      <c r="CN28" s="955">
        <v>48.09533882352941</v>
      </c>
      <c r="CO28" s="955">
        <v>19.769839373739277</v>
      </c>
      <c r="CP28" s="955">
        <v>16.464654901960788</v>
      </c>
      <c r="CQ28" s="955">
        <v>4.7588696588991768</v>
      </c>
      <c r="CR28" s="955">
        <v>0</v>
      </c>
      <c r="CS28" s="955">
        <v>0</v>
      </c>
      <c r="CT28" s="955">
        <v>60.678631372549027</v>
      </c>
      <c r="CU28" s="956">
        <v>120.46653774034931</v>
      </c>
      <c r="CV28" s="954">
        <v>36.618000000000002</v>
      </c>
      <c r="CW28" s="955">
        <v>3.9605773839894671</v>
      </c>
      <c r="CX28" s="955">
        <v>24.874029411764713</v>
      </c>
      <c r="CY28" s="955">
        <v>17.163150015946318</v>
      </c>
      <c r="CZ28" s="955">
        <v>30.596294117647059</v>
      </c>
      <c r="DA28" s="955">
        <v>4.4808275401151398</v>
      </c>
      <c r="DB28" s="955">
        <v>19.835058823529415</v>
      </c>
      <c r="DC28" s="955">
        <v>8.6829178124461173</v>
      </c>
      <c r="DD28" s="955">
        <v>0</v>
      </c>
      <c r="DE28" s="955">
        <v>0</v>
      </c>
      <c r="DF28" s="955">
        <v>72.30417647058826</v>
      </c>
      <c r="DG28" s="956">
        <v>195.39288370828291</v>
      </c>
      <c r="DH28" s="954">
        <v>53.503344313725499</v>
      </c>
      <c r="DI28" s="955">
        <v>10.23722781967348</v>
      </c>
      <c r="DJ28" s="955">
        <v>22.474896078431374</v>
      </c>
      <c r="DK28" s="955">
        <v>11.294681602989417</v>
      </c>
      <c r="DL28" s="955">
        <v>45.742995294117648</v>
      </c>
      <c r="DM28" s="955">
        <v>10.396956007241739</v>
      </c>
      <c r="DN28" s="955">
        <v>17.89279215686275</v>
      </c>
      <c r="DO28" s="955">
        <v>5.4677733739245538</v>
      </c>
      <c r="DP28" s="955">
        <v>0</v>
      </c>
      <c r="DQ28" s="955">
        <v>0</v>
      </c>
      <c r="DR28" s="955">
        <v>65.60470980392158</v>
      </c>
      <c r="DS28" s="956">
        <v>153.66720474924387</v>
      </c>
      <c r="DT28" s="954">
        <v>53.198827058823532</v>
      </c>
      <c r="DU28" s="955">
        <v>8.7823053973859686</v>
      </c>
      <c r="DV28" s="955">
        <v>23.533337254901969</v>
      </c>
      <c r="DW28" s="955">
        <v>18.340094154460051</v>
      </c>
      <c r="DX28" s="955">
        <v>45.810647058823534</v>
      </c>
      <c r="DY28" s="955">
        <v>9.2989650332178329</v>
      </c>
      <c r="DZ28" s="955">
        <v>18.749674509803924</v>
      </c>
      <c r="EA28" s="955">
        <v>10.757100459050458</v>
      </c>
      <c r="EB28" s="955">
        <v>0</v>
      </c>
      <c r="EC28" s="955">
        <v>0</v>
      </c>
      <c r="ED28" s="955">
        <v>68.560356862745124</v>
      </c>
      <c r="EE28" s="956">
        <v>172.52139653328993</v>
      </c>
      <c r="EF28" s="954">
        <v>58.587090196078435</v>
      </c>
      <c r="EG28" s="955">
        <v>28.871635231317846</v>
      </c>
      <c r="EH28" s="955">
        <v>18.593945098039217</v>
      </c>
      <c r="EI28" s="955">
        <v>8.176279964194844</v>
      </c>
      <c r="EJ28" s="955">
        <v>49.798070588235291</v>
      </c>
      <c r="EK28" s="955">
        <v>25.655937694094636</v>
      </c>
      <c r="EL28" s="955">
        <v>14.750890196078435</v>
      </c>
      <c r="EM28" s="955">
        <v>4.2334540387272659</v>
      </c>
      <c r="EN28" s="955">
        <v>79.912313725490208</v>
      </c>
      <c r="EO28" s="955">
        <v>6.5124438311014403</v>
      </c>
      <c r="EP28" s="955">
        <v>54.76733725490196</v>
      </c>
      <c r="EQ28" s="956">
        <v>108.07669660066138</v>
      </c>
      <c r="ER28" s="954">
        <v>56.404532549019606</v>
      </c>
      <c r="ES28" s="955">
        <v>17.80626460047187</v>
      </c>
      <c r="ET28" s="955">
        <v>21.416454901960783</v>
      </c>
      <c r="EU28" s="955">
        <v>16.630708743443808</v>
      </c>
      <c r="EV28" s="955">
        <v>48.11800705882353</v>
      </c>
      <c r="EW28" s="955">
        <v>16.38186390198549</v>
      </c>
      <c r="EX28" s="955">
        <v>17.035909803921573</v>
      </c>
      <c r="EY28" s="955">
        <v>10.040705874866395</v>
      </c>
      <c r="EZ28" s="955">
        <v>0</v>
      </c>
      <c r="FA28" s="955">
        <v>0</v>
      </c>
      <c r="FB28" s="955">
        <v>62.64906274509805</v>
      </c>
      <c r="FC28" s="956">
        <v>148.98679922966528</v>
      </c>
      <c r="FD28" s="954">
        <v>18.797352941176481</v>
      </c>
      <c r="FE28" s="955">
        <v>0</v>
      </c>
      <c r="FF28" s="955">
        <v>26.496972549019613</v>
      </c>
      <c r="FG28" s="955">
        <v>23.544619560957297</v>
      </c>
      <c r="FH28" s="955">
        <v>12.462705882352942</v>
      </c>
      <c r="FI28" s="955">
        <v>2.413115355259738E-2</v>
      </c>
      <c r="FJ28" s="955">
        <v>21.148945098039217</v>
      </c>
      <c r="FK28" s="955">
        <v>12.562656908586195</v>
      </c>
      <c r="FL28" s="955">
        <v>0</v>
      </c>
      <c r="FM28" s="955">
        <v>0</v>
      </c>
      <c r="FN28" s="955">
        <v>76.836168627450988</v>
      </c>
      <c r="FO28" s="956">
        <v>244.44885447838823</v>
      </c>
      <c r="FP28" s="954">
        <v>54.563654509803925</v>
      </c>
      <c r="FQ28" s="955">
        <v>22.586916487330051</v>
      </c>
      <c r="FR28" s="955">
        <v>20.569701960784318</v>
      </c>
      <c r="FS28" s="955">
        <v>12.774228430810307</v>
      </c>
      <c r="FT28" s="955">
        <v>46.611362352941178</v>
      </c>
      <c r="FU28" s="955">
        <v>19.905130561818293</v>
      </c>
      <c r="FV28" s="955">
        <v>16.350403921568631</v>
      </c>
      <c r="FW28" s="955">
        <v>7.2973101582517552</v>
      </c>
      <c r="FX28" s="955">
        <v>71.091380392156864</v>
      </c>
      <c r="FY28" s="955">
        <v>0.1793948792482721</v>
      </c>
      <c r="FZ28" s="955">
        <v>60.284545098039231</v>
      </c>
      <c r="GA28" s="956">
        <v>131.34362530061378</v>
      </c>
      <c r="GB28" s="954">
        <v>52.237837254901962</v>
      </c>
      <c r="GC28" s="955">
        <v>19.720716748430931</v>
      </c>
      <c r="GD28" s="955">
        <v>20.569701960784318</v>
      </c>
      <c r="GE28" s="955">
        <v>13.345672441696962</v>
      </c>
      <c r="GF28" s="955">
        <v>44.808788235294124</v>
      </c>
      <c r="GG28" s="955">
        <v>17.758483394539617</v>
      </c>
      <c r="GH28" s="955">
        <v>16.350403921568631</v>
      </c>
      <c r="GI28" s="955">
        <v>7.4945341556842093</v>
      </c>
      <c r="GJ28" s="955">
        <v>0</v>
      </c>
      <c r="GK28" s="955">
        <v>0</v>
      </c>
      <c r="GL28" s="955">
        <v>60.284545098039231</v>
      </c>
      <c r="GM28" s="956">
        <v>137.68476683626639</v>
      </c>
      <c r="GN28" s="954">
        <v>51.406553333333335</v>
      </c>
      <c r="GO28" s="955">
        <v>10.86928891025736</v>
      </c>
      <c r="GP28" s="955">
        <v>22.333770588235296</v>
      </c>
      <c r="GQ28" s="955">
        <v>13.044450737055225</v>
      </c>
      <c r="GR28" s="955">
        <v>47.211811764705892</v>
      </c>
      <c r="GS28" s="955">
        <v>10.780661509708699</v>
      </c>
      <c r="GT28" s="955">
        <v>17.778541176470593</v>
      </c>
      <c r="GU28" s="955">
        <v>6.6798100826056164</v>
      </c>
      <c r="GV28" s="955">
        <v>0</v>
      </c>
      <c r="GW28" s="955">
        <v>0</v>
      </c>
      <c r="GX28" s="955">
        <v>65.210623529411777</v>
      </c>
      <c r="GY28" s="956">
        <v>156.88283293895879</v>
      </c>
      <c r="GZ28" s="954">
        <v>49.274182352941182</v>
      </c>
      <c r="HA28" s="955">
        <v>8.4167651617884989</v>
      </c>
      <c r="HB28" s="955">
        <v>22.404333333333341</v>
      </c>
      <c r="HC28" s="955">
        <v>16.569576608311266</v>
      </c>
      <c r="HD28" s="955">
        <v>42.608929411764706</v>
      </c>
      <c r="HE28" s="955">
        <v>8.4491885876369839</v>
      </c>
      <c r="HF28" s="955">
        <v>17.835666666666672</v>
      </c>
      <c r="HG28" s="955">
        <v>9.1442413311221937</v>
      </c>
      <c r="HH28" s="955">
        <v>0</v>
      </c>
      <c r="HI28" s="955">
        <v>0</v>
      </c>
      <c r="HJ28" s="955">
        <v>65.407666666666685</v>
      </c>
      <c r="HK28" s="956">
        <v>172.1929617618371</v>
      </c>
      <c r="HL28" s="954">
        <v>55.142303529411762</v>
      </c>
      <c r="HM28" s="955">
        <v>34.882062652934941</v>
      </c>
      <c r="HN28" s="955">
        <v>16.547625490196079</v>
      </c>
      <c r="HO28" s="955">
        <v>4.3256658213964023</v>
      </c>
      <c r="HP28" s="955">
        <v>47.233541176470588</v>
      </c>
      <c r="HQ28" s="955">
        <v>30.504491158937775</v>
      </c>
      <c r="HR28" s="955">
        <v>13.094250980392161</v>
      </c>
      <c r="HS28" s="955">
        <v>1.9213166268754944</v>
      </c>
      <c r="HT28" s="955">
        <v>72.413694117647069</v>
      </c>
      <c r="HU28" s="955">
        <v>12.3836723796698</v>
      </c>
      <c r="HV28" s="955">
        <v>49.053086274509809</v>
      </c>
      <c r="HW28" s="956">
        <v>86.075987155164185</v>
      </c>
      <c r="HX28" s="954">
        <v>57.355246666666673</v>
      </c>
      <c r="HY28" s="955">
        <v>35.911286601865477</v>
      </c>
      <c r="HZ28" s="955">
        <v>16.194811764705882</v>
      </c>
      <c r="IA28" s="955">
        <v>3.9743622438516972</v>
      </c>
      <c r="IB28" s="955">
        <v>48.706268235294111</v>
      </c>
      <c r="IC28" s="955">
        <v>31.289553402026947</v>
      </c>
      <c r="ID28" s="955">
        <v>12.808623529411769</v>
      </c>
      <c r="IE28" s="955">
        <v>1.718589282296352</v>
      </c>
      <c r="IF28" s="955">
        <v>76.070713725490194</v>
      </c>
      <c r="IG28" s="955">
        <v>13.989793634015758</v>
      </c>
      <c r="IH28" s="955">
        <v>48.067870588235301</v>
      </c>
      <c r="II28" s="956">
        <v>85.148219676290239</v>
      </c>
      <c r="IJ28" s="954">
        <v>57.691536470588225</v>
      </c>
      <c r="IK28" s="955">
        <v>22.931467214258017</v>
      </c>
      <c r="IL28" s="955">
        <v>20.14632549019608</v>
      </c>
      <c r="IM28" s="955">
        <v>12.024841220998669</v>
      </c>
      <c r="IN28" s="955">
        <v>49.138207058823525</v>
      </c>
      <c r="IO28" s="955">
        <v>20.375848508170517</v>
      </c>
      <c r="IP28" s="955">
        <v>16.00765098039216</v>
      </c>
      <c r="IQ28" s="955">
        <v>6.810223022175002</v>
      </c>
      <c r="IR28" s="955">
        <v>78.434682352941181</v>
      </c>
      <c r="IS28" s="955">
        <v>0.96912054109660806</v>
      </c>
      <c r="IT28" s="955">
        <v>59.102286274509815</v>
      </c>
      <c r="IU28" s="956">
        <v>127.83178191706087</v>
      </c>
      <c r="IV28" s="954">
        <v>56.441694901960787</v>
      </c>
      <c r="IW28" s="955">
        <v>34.269294444351864</v>
      </c>
      <c r="IX28" s="955">
        <v>17.747192156862749</v>
      </c>
      <c r="IY28" s="955">
        <v>7.1680707699338928</v>
      </c>
      <c r="IZ28" s="955">
        <v>48.084004705882357</v>
      </c>
      <c r="JA28" s="955">
        <v>30.039338563628345</v>
      </c>
      <c r="JB28" s="955">
        <v>14.065384313725495</v>
      </c>
      <c r="JC28" s="955">
        <v>3.5507885691841166</v>
      </c>
      <c r="JD28" s="955">
        <v>75.063043137254908</v>
      </c>
      <c r="JE28" s="955">
        <v>12.659955448919867</v>
      </c>
      <c r="JF28" s="955">
        <v>52.402819607843156</v>
      </c>
      <c r="JG28" s="956">
        <v>100.17907361138406</v>
      </c>
      <c r="JH28" s="954">
        <v>54.660262745098031</v>
      </c>
      <c r="JI28" s="955">
        <v>9.9982612853891428</v>
      </c>
      <c r="JJ28" s="955">
        <v>22.404333333333341</v>
      </c>
      <c r="JK28" s="955">
        <v>10.540041359039259</v>
      </c>
      <c r="JL28" s="955">
        <v>47.446964705882344</v>
      </c>
      <c r="JM28" s="955">
        <v>10.003954867583802</v>
      </c>
      <c r="JN28" s="955">
        <v>17.835666666666672</v>
      </c>
      <c r="JO28" s="955">
        <v>4.8441041811553331</v>
      </c>
      <c r="JP28" s="955">
        <v>0</v>
      </c>
      <c r="JQ28" s="955">
        <v>0</v>
      </c>
      <c r="JR28" s="955">
        <v>65.407666666666685</v>
      </c>
      <c r="JS28" s="956">
        <v>152.31847297612777</v>
      </c>
      <c r="JT28" s="954">
        <v>52.603346274509811</v>
      </c>
      <c r="JU28" s="955">
        <v>25.630304619941167</v>
      </c>
      <c r="JV28" s="955">
        <v>19.44069803921569</v>
      </c>
      <c r="JW28" s="955">
        <v>10.337406161440464</v>
      </c>
      <c r="JX28" s="955">
        <v>45.150595294117657</v>
      </c>
      <c r="JY28" s="955">
        <v>22.889809609970946</v>
      </c>
      <c r="JZ28" s="955">
        <v>15.436396078431375</v>
      </c>
      <c r="KA28" s="955">
        <v>5.7278172268495213</v>
      </c>
      <c r="KB28" s="955">
        <v>67.696133333333336</v>
      </c>
      <c r="KC28" s="955">
        <v>4.2185909697272805</v>
      </c>
      <c r="KD28" s="955">
        <v>57.131854901960793</v>
      </c>
      <c r="KE28" s="956">
        <v>118.55636705078994</v>
      </c>
      <c r="KF28" s="954">
        <v>57.527946274509802</v>
      </c>
      <c r="KG28" s="955">
        <v>23.986228701450596</v>
      </c>
      <c r="KH28" s="955">
        <v>20.358013725490199</v>
      </c>
      <c r="KI28" s="955">
        <v>11.461538470925854</v>
      </c>
      <c r="KJ28" s="955">
        <v>48.970901176470583</v>
      </c>
      <c r="KK28" s="955">
        <v>21.022491496117468</v>
      </c>
      <c r="KL28" s="955">
        <v>16.179027450980396</v>
      </c>
      <c r="KM28" s="955">
        <v>6.3305970638190416</v>
      </c>
      <c r="KN28" s="955">
        <v>77.705309803921551</v>
      </c>
      <c r="KO28" s="955">
        <v>1.3845433850906985</v>
      </c>
      <c r="KP28" s="955">
        <v>59.69341568627452</v>
      </c>
      <c r="KQ28" s="956">
        <v>125.34152011893988</v>
      </c>
      <c r="KR28" s="954">
        <v>52.923529019607848</v>
      </c>
      <c r="KS28" s="955">
        <v>15.503321206823845</v>
      </c>
      <c r="KT28" s="955">
        <v>20.710827450980393</v>
      </c>
      <c r="KU28" s="955">
        <v>16.784673320412406</v>
      </c>
      <c r="KV28" s="955">
        <v>45.238021176470589</v>
      </c>
      <c r="KW28" s="955">
        <v>14.506290841945473</v>
      </c>
      <c r="KX28" s="955">
        <v>16.464654901960788</v>
      </c>
      <c r="KY28" s="955">
        <v>10.166172739449047</v>
      </c>
      <c r="KZ28" s="955">
        <v>0</v>
      </c>
      <c r="LA28" s="955">
        <v>0</v>
      </c>
      <c r="LB28" s="955">
        <v>60.678631372549027</v>
      </c>
      <c r="LC28" s="956">
        <v>154.1342378867669</v>
      </c>
      <c r="LD28" s="954">
        <v>54.433948627450981</v>
      </c>
      <c r="LE28" s="955">
        <v>29.475302309866599</v>
      </c>
      <c r="LF28" s="955">
        <v>18.664507843137258</v>
      </c>
      <c r="LG28" s="955">
        <v>7.129935320054142</v>
      </c>
      <c r="LH28" s="955">
        <v>46.518715294117648</v>
      </c>
      <c r="LI28" s="955">
        <v>26.169820698352627</v>
      </c>
      <c r="LJ28" s="955">
        <v>14.808015686274514</v>
      </c>
      <c r="LK28" s="955">
        <v>3.5875899358349201</v>
      </c>
      <c r="LL28" s="955">
        <v>70.906086274509804</v>
      </c>
      <c r="LM28" s="955">
        <v>6.5947967722779168</v>
      </c>
      <c r="LN28" s="955">
        <v>54.964380392156869</v>
      </c>
      <c r="LO28" s="956">
        <v>103.21284676737244</v>
      </c>
      <c r="LP28" s="954">
        <v>42.729552941176465</v>
      </c>
      <c r="LQ28" s="955">
        <v>11.413177386671224</v>
      </c>
      <c r="LR28" s="955">
        <v>21.134203921568631</v>
      </c>
      <c r="LS28" s="955">
        <v>14.500761133834711</v>
      </c>
      <c r="LT28" s="955">
        <v>36.0426</v>
      </c>
      <c r="LU28" s="955">
        <v>11.36344736115162</v>
      </c>
      <c r="LV28" s="955">
        <v>16.807407843137259</v>
      </c>
      <c r="LW28" s="955">
        <v>7.8027014627167111</v>
      </c>
      <c r="LX28" s="955">
        <v>0</v>
      </c>
      <c r="LY28" s="955">
        <v>0</v>
      </c>
      <c r="LZ28" s="955">
        <v>61.860890196078444</v>
      </c>
      <c r="MA28" s="956">
        <v>159.69149309592879</v>
      </c>
      <c r="MB28" s="954">
        <v>57.469287058823546</v>
      </c>
      <c r="MC28" s="955">
        <v>21.166928146424002</v>
      </c>
      <c r="MD28" s="955">
        <v>21.34589215686275</v>
      </c>
      <c r="ME28" s="955">
        <v>12.321307474610036</v>
      </c>
      <c r="MF28" s="955">
        <v>48.918910588235299</v>
      </c>
      <c r="MG28" s="955">
        <v>18.791343896082861</v>
      </c>
      <c r="MH28" s="955">
        <v>16.978784313725495</v>
      </c>
      <c r="MI28" s="955">
        <v>6.933149110779345</v>
      </c>
      <c r="MJ28" s="955">
        <v>0</v>
      </c>
      <c r="MK28" s="955">
        <v>0</v>
      </c>
      <c r="ML28" s="955">
        <v>62.452019607843155</v>
      </c>
      <c r="MM28" s="956">
        <v>131.39532609251032</v>
      </c>
      <c r="MN28" s="954">
        <v>43.869203921568634</v>
      </c>
      <c r="MO28" s="955">
        <v>3.4209436235006625</v>
      </c>
      <c r="MP28" s="955">
        <v>28.04935294117648</v>
      </c>
      <c r="MQ28" s="955">
        <v>23.320356141505957</v>
      </c>
      <c r="MR28" s="955">
        <v>37.036788235294111</v>
      </c>
      <c r="MS28" s="955">
        <v>4.0273128691980009</v>
      </c>
      <c r="MT28" s="955">
        <v>22.405705882352947</v>
      </c>
      <c r="MU28" s="955">
        <v>12.385477205392665</v>
      </c>
      <c r="MV28" s="955">
        <v>0</v>
      </c>
      <c r="MW28" s="955">
        <v>0</v>
      </c>
      <c r="MX28" s="955">
        <v>81.17111764705885</v>
      </c>
      <c r="MY28" s="956">
        <v>220.66227285715308</v>
      </c>
      <c r="MZ28" s="954">
        <v>40.503894117647071</v>
      </c>
      <c r="NA28" s="955">
        <v>3.6780550374179888</v>
      </c>
      <c r="NB28" s="955">
        <v>23.321649019607847</v>
      </c>
      <c r="NC28" s="955">
        <v>19.440002111212742</v>
      </c>
      <c r="ND28" s="955">
        <v>33.912388235294131</v>
      </c>
      <c r="NE28" s="955">
        <v>4.3244989471487143</v>
      </c>
      <c r="NF28" s="955">
        <v>18.578298039215689</v>
      </c>
      <c r="NG28" s="955">
        <v>10.494269583026473</v>
      </c>
      <c r="NH28" s="955">
        <v>0</v>
      </c>
      <c r="NI28" s="955">
        <v>0</v>
      </c>
      <c r="NJ28" s="955">
        <v>67.969227450980412</v>
      </c>
      <c r="NK28" s="956">
        <v>204.92100125992761</v>
      </c>
      <c r="NL28" s="954">
        <v>55.174684313725479</v>
      </c>
      <c r="NM28" s="955">
        <v>18.0478173005286</v>
      </c>
      <c r="NN28" s="955">
        <v>22.192645098039218</v>
      </c>
      <c r="NO28" s="955">
        <v>12.584609128982672</v>
      </c>
      <c r="NP28" s="955">
        <v>48.264788235294112</v>
      </c>
      <c r="NQ28" s="955">
        <v>16.360107462307276</v>
      </c>
      <c r="NR28" s="955">
        <v>17.664290196078436</v>
      </c>
      <c r="NS28" s="955">
        <v>6.8790685407295342</v>
      </c>
      <c r="NT28" s="955">
        <v>0</v>
      </c>
      <c r="NU28" s="955">
        <v>0</v>
      </c>
      <c r="NV28" s="955">
        <v>64.816537254901974</v>
      </c>
      <c r="NW28" s="956">
        <v>138.67468980424033</v>
      </c>
      <c r="NX28" s="954">
        <v>52.727441568627462</v>
      </c>
      <c r="NY28" s="955">
        <v>22.814526351694273</v>
      </c>
      <c r="NZ28" s="955">
        <v>20.922515686274515</v>
      </c>
      <c r="OA28" s="955">
        <v>13.458355704206651</v>
      </c>
      <c r="OB28" s="955">
        <v>45.276494117647061</v>
      </c>
      <c r="OC28" s="955">
        <v>20.135623381337496</v>
      </c>
      <c r="OD28" s="955">
        <v>16.636031372549024</v>
      </c>
      <c r="OE28" s="955">
        <v>7.7913723235584174</v>
      </c>
      <c r="OF28" s="955">
        <v>68.170815686274508</v>
      </c>
      <c r="OG28" s="955">
        <v>0.50043529049887858</v>
      </c>
      <c r="OH28" s="955">
        <v>61.269760784313746</v>
      </c>
      <c r="OI28" s="956">
        <v>133.39257785375543</v>
      </c>
      <c r="OJ28" s="954">
        <v>52.305385098039217</v>
      </c>
      <c r="OK28" s="955">
        <v>10.328296319253333</v>
      </c>
      <c r="OL28" s="955">
        <v>24.097839215686278</v>
      </c>
      <c r="OM28" s="955">
        <v>16.5766904244262</v>
      </c>
      <c r="ON28" s="955">
        <v>44.725851764705872</v>
      </c>
      <c r="OO28" s="955">
        <v>10.385379837597499</v>
      </c>
      <c r="OP28" s="955">
        <v>19.206678431372552</v>
      </c>
      <c r="OQ28" s="955">
        <v>8.8820938035029489</v>
      </c>
      <c r="OR28" s="955">
        <v>0</v>
      </c>
      <c r="OS28" s="955">
        <v>0</v>
      </c>
      <c r="OT28" s="955">
        <v>70.136701960784336</v>
      </c>
      <c r="OU28" s="956">
        <v>169.78440515348822</v>
      </c>
      <c r="OV28" s="954">
        <v>54.680972941176471</v>
      </c>
      <c r="OW28" s="955">
        <v>27.969282404853978</v>
      </c>
      <c r="OX28" s="955">
        <v>19.864074509803928</v>
      </c>
      <c r="OY28" s="955">
        <v>9.9393037271735167</v>
      </c>
      <c r="OZ28" s="955">
        <v>46.715343529411768</v>
      </c>
      <c r="PA28" s="955">
        <v>24.924284082992298</v>
      </c>
      <c r="PB28" s="955">
        <v>15.779149019607846</v>
      </c>
      <c r="PC28" s="955">
        <v>5.2321152109390905</v>
      </c>
      <c r="PD28" s="955">
        <v>71.45724705882354</v>
      </c>
      <c r="PE28" s="955">
        <v>4.4684402444084448</v>
      </c>
      <c r="PF28" s="955">
        <v>58.314113725490209</v>
      </c>
      <c r="PG28" s="956">
        <v>115.5943566304507</v>
      </c>
      <c r="PH28" s="954">
        <v>51.487654901960788</v>
      </c>
      <c r="PI28" s="955">
        <v>7.5192395547306408</v>
      </c>
      <c r="PJ28" s="955">
        <v>27.061474509803929</v>
      </c>
      <c r="PK28" s="955">
        <v>21.743773931797087</v>
      </c>
      <c r="PL28" s="955">
        <v>44.121576470588238</v>
      </c>
      <c r="PM28" s="955">
        <v>7.5251758954357122</v>
      </c>
      <c r="PN28" s="955">
        <v>21.605949019607849</v>
      </c>
      <c r="PO28" s="955">
        <v>12.141393642529895</v>
      </c>
      <c r="PP28" s="955">
        <v>0</v>
      </c>
      <c r="PQ28" s="955">
        <v>0</v>
      </c>
      <c r="PR28" s="955">
        <v>78.412513725490214</v>
      </c>
      <c r="PS28" s="956">
        <v>193.59861078446062</v>
      </c>
      <c r="PT28" s="954">
        <v>58.787842745098033</v>
      </c>
      <c r="PU28" s="955">
        <v>23.316377055712156</v>
      </c>
      <c r="PV28" s="955">
        <v>21.134203921568631</v>
      </c>
      <c r="PW28" s="955">
        <v>9.9876253387976348</v>
      </c>
      <c r="PX28" s="955">
        <v>49.93137411764706</v>
      </c>
      <c r="PY28" s="955">
        <v>21.221234541459932</v>
      </c>
      <c r="PZ28" s="955">
        <v>16.807407843137259</v>
      </c>
      <c r="QA28" s="955">
        <v>5.3294270564579582</v>
      </c>
      <c r="QB28" s="955">
        <v>80.099968627450977</v>
      </c>
      <c r="QC28" s="955">
        <v>0.25337646696946653</v>
      </c>
      <c r="QD28" s="955">
        <v>61.860890196078444</v>
      </c>
      <c r="QE28" s="956">
        <v>119.3138278463271</v>
      </c>
      <c r="QF28" s="954">
        <v>56.299601568627459</v>
      </c>
      <c r="QG28" s="955">
        <v>22.418049012172599</v>
      </c>
      <c r="QH28" s="955">
        <v>20.781390196078434</v>
      </c>
      <c r="QI28" s="955">
        <v>12.952809201203777</v>
      </c>
      <c r="QJ28" s="955">
        <v>48.00269176470588</v>
      </c>
      <c r="QK28" s="955">
        <v>19.757345198716489</v>
      </c>
      <c r="QL28" s="955">
        <v>16.521780392156867</v>
      </c>
      <c r="QM28" s="955">
        <v>7.3589375522674452</v>
      </c>
      <c r="QN28" s="955">
        <v>75.058321568627449</v>
      </c>
      <c r="QO28" s="955">
        <v>0.28233605571886145</v>
      </c>
      <c r="QP28" s="955">
        <v>60.875674509803929</v>
      </c>
      <c r="QQ28" s="956">
        <v>132.65183593031745</v>
      </c>
      <c r="QR28" s="954">
        <v>43.779935294117649</v>
      </c>
      <c r="QS28" s="955">
        <v>4.6556280810215389</v>
      </c>
      <c r="QT28" s="955">
        <v>23.462774509803928</v>
      </c>
      <c r="QU28" s="955">
        <v>16.332946294564007</v>
      </c>
      <c r="QV28" s="955">
        <v>38.144011764705887</v>
      </c>
      <c r="QW28" s="955">
        <v>5.0995381446614712</v>
      </c>
      <c r="QX28" s="955">
        <v>18.692549019607846</v>
      </c>
      <c r="QY28" s="955">
        <v>8.1826557780671632</v>
      </c>
      <c r="QZ28" s="955">
        <v>0</v>
      </c>
      <c r="RA28" s="955">
        <v>0</v>
      </c>
      <c r="RB28" s="955">
        <v>68.363313725490215</v>
      </c>
      <c r="RC28" s="956">
        <v>193.38935252171152</v>
      </c>
      <c r="RD28" s="954">
        <v>56.845532549019609</v>
      </c>
      <c r="RE28" s="955">
        <v>23.664410657783073</v>
      </c>
      <c r="RF28" s="955">
        <v>21.06364117647059</v>
      </c>
      <c r="RG28" s="955">
        <v>11.63982618083088</v>
      </c>
      <c r="RH28" s="955">
        <v>48.433007058823527</v>
      </c>
      <c r="RI28" s="955">
        <v>20.724523894685998</v>
      </c>
      <c r="RJ28" s="955">
        <v>16.750282352941181</v>
      </c>
      <c r="RK28" s="955">
        <v>6.4003056786835639</v>
      </c>
      <c r="RL28" s="955">
        <v>76.234760784313721</v>
      </c>
      <c r="RM28" s="955">
        <v>0.9549808950659866</v>
      </c>
      <c r="RN28" s="955">
        <v>61.663847058823535</v>
      </c>
      <c r="RO28" s="956">
        <v>127.17701886774088</v>
      </c>
      <c r="RP28" s="954">
        <v>54.986656470588237</v>
      </c>
      <c r="RQ28" s="955">
        <v>22.885080033282183</v>
      </c>
      <c r="RR28" s="955">
        <v>20.922515686274515</v>
      </c>
      <c r="RS28" s="955">
        <v>11.119383032634344</v>
      </c>
      <c r="RT28" s="955">
        <v>46.963962352941174</v>
      </c>
      <c r="RU28" s="955">
        <v>20.184343785977124</v>
      </c>
      <c r="RV28" s="955">
        <v>16.636031372549024</v>
      </c>
      <c r="RW28" s="955">
        <v>6.0441365560673175</v>
      </c>
      <c r="RX28" s="955">
        <v>72.191341176470601</v>
      </c>
      <c r="RY28" s="955">
        <v>0.26174782042474276</v>
      </c>
      <c r="RZ28" s="955">
        <v>61.269760784313746</v>
      </c>
      <c r="SA28" s="956">
        <v>125.77974561637893</v>
      </c>
    </row>
    <row r="29" spans="1:495">
      <c r="A29" s="966">
        <f>[3]Eingabedaten!A31</f>
        <v>7.03</v>
      </c>
      <c r="B29" s="169" t="str">
        <f>[3]Eingabedaten!C31</f>
        <v>Ausstellungshalle</v>
      </c>
      <c r="C29" s="987">
        <f t="shared" si="1"/>
        <v>23</v>
      </c>
      <c r="D29" s="954" cm="1">
        <f t="array" ref="D29">INDEX($P$7:$SA$51,$C29,$G$3-1+D$2)</f>
        <v>57.986656470588237</v>
      </c>
      <c r="E29" s="955" cm="1">
        <f t="array" ref="E29">INDEX($P$7:$SA$51,$C29,$G$3-1+E$2)</f>
        <v>38.560539438369531</v>
      </c>
      <c r="F29" s="955" cm="1">
        <f t="array" ref="F29">INDEX($P$7:$SA$51,$C29,$G$3-1+F$2)</f>
        <v>20.922515686274515</v>
      </c>
      <c r="G29" s="955" cm="1">
        <f t="array" ref="G29">INDEX($P$7:$SA$51,$C29,$G$3-1+G$2)</f>
        <v>5.1494107675259686</v>
      </c>
      <c r="H29" s="955" cm="1">
        <f t="array" ref="H29">INDEX($P$7:$SA$51,$C29,$G$3-1+H$2)</f>
        <v>47.963962352941174</v>
      </c>
      <c r="I29" s="955" cm="1">
        <f t="array" ref="I29">INDEX($P$7:$SA$51,$C29,$G$3-1+I$2)</f>
        <v>28.98008476437894</v>
      </c>
      <c r="J29" s="955" cm="1">
        <f t="array" ref="J29">INDEX($P$7:$SA$51,$C29,$G$3-1+J$2)</f>
        <v>16.636031372549024</v>
      </c>
      <c r="K29" s="955" cm="1">
        <f t="array" ref="K29">INDEX($P$7:$SA$51,$C29,$G$3-1+K$2)</f>
        <v>3.4907321701253546</v>
      </c>
      <c r="L29" s="955" cm="1">
        <f t="array" ref="L29">INDEX($P$7:$SA$51,$C29,$G$3-1+L$2)</f>
        <v>81.191341176470601</v>
      </c>
      <c r="M29" s="955" cm="1">
        <f t="array" ref="M29">INDEX($P$7:$SA$51,$C29,$G$3-1+M$2)</f>
        <v>6.749026798518031</v>
      </c>
      <c r="N29" s="955" cm="1">
        <f t="array" ref="N29">INDEX($P$7:$SA$51,$C29,$G$3-1+N$2)</f>
        <v>61.269760784313746</v>
      </c>
      <c r="O29" s="956" cm="1">
        <f t="array" ref="O29">INDEX($P$7:$SA$51,$C29,$G$3-1+O$2)</f>
        <v>102.75881415268503</v>
      </c>
      <c r="P29" s="954">
        <v>44.197262745098037</v>
      </c>
      <c r="Q29" s="955">
        <v>18.509242222556477</v>
      </c>
      <c r="R29" s="955">
        <v>22.827709803921572</v>
      </c>
      <c r="S29" s="955">
        <v>5.9244550124508057</v>
      </c>
      <c r="T29" s="955">
        <v>36.128258823529407</v>
      </c>
      <c r="U29" s="955">
        <v>13.673101149235245</v>
      </c>
      <c r="V29" s="955">
        <v>18.178419607843143</v>
      </c>
      <c r="W29" s="955">
        <v>3.5682448710310837</v>
      </c>
      <c r="X29" s="955">
        <v>0</v>
      </c>
      <c r="Y29" s="955">
        <v>0</v>
      </c>
      <c r="Z29" s="955">
        <v>66.589925490196094</v>
      </c>
      <c r="AA29" s="956">
        <v>136.32520450535307</v>
      </c>
      <c r="AB29" s="954">
        <v>58.279952549019612</v>
      </c>
      <c r="AC29" s="955">
        <v>39.968065671255118</v>
      </c>
      <c r="AD29" s="955">
        <v>19.511260784313727</v>
      </c>
      <c r="AE29" s="955">
        <v>4.5018834470164588</v>
      </c>
      <c r="AF29" s="955">
        <v>48.223915294117646</v>
      </c>
      <c r="AG29" s="955">
        <v>30.197323873352214</v>
      </c>
      <c r="AH29" s="955">
        <v>15.493521568627454</v>
      </c>
      <c r="AI29" s="955">
        <v>3.088253402117596</v>
      </c>
      <c r="AJ29" s="955">
        <v>82.106007843137263</v>
      </c>
      <c r="AK29" s="955">
        <v>8.1817155496552907</v>
      </c>
      <c r="AL29" s="955">
        <v>57.328898039215701</v>
      </c>
      <c r="AM29" s="956">
        <v>96.779573810139325</v>
      </c>
      <c r="AN29" s="954">
        <v>57.104877254901965</v>
      </c>
      <c r="AO29" s="955">
        <v>36.807520086268646</v>
      </c>
      <c r="AP29" s="955">
        <v>19.581823529411771</v>
      </c>
      <c r="AQ29" s="955">
        <v>5.5238683322608404</v>
      </c>
      <c r="AR29" s="955">
        <v>50.700202352941183</v>
      </c>
      <c r="AS29" s="955">
        <v>27.881178280138013</v>
      </c>
      <c r="AT29" s="955">
        <v>15.550647058823534</v>
      </c>
      <c r="AU29" s="955">
        <v>4.0142652573079234</v>
      </c>
      <c r="AV29" s="955">
        <v>82.211749019607865</v>
      </c>
      <c r="AW29" s="955">
        <v>5.2040414644992454</v>
      </c>
      <c r="AX29" s="955">
        <v>57.52594117647061</v>
      </c>
      <c r="AY29" s="956">
        <v>103.75607045847245</v>
      </c>
      <c r="AZ29" s="954">
        <v>62.034867058823536</v>
      </c>
      <c r="BA29" s="955">
        <v>43.97955854362997</v>
      </c>
      <c r="BB29" s="955">
        <v>20.216888235294121</v>
      </c>
      <c r="BC29" s="955">
        <v>3.5794370990154274</v>
      </c>
      <c r="BD29" s="955">
        <v>51.128002352941174</v>
      </c>
      <c r="BE29" s="955">
        <v>33.045148433966773</v>
      </c>
      <c r="BF29" s="955">
        <v>16.064776470588239</v>
      </c>
      <c r="BG29" s="955">
        <v>2.3963228360410089</v>
      </c>
      <c r="BH29" s="955">
        <v>89.651129411764714</v>
      </c>
      <c r="BI29" s="955">
        <v>12.280094107387763</v>
      </c>
      <c r="BJ29" s="955">
        <v>59.299329411764724</v>
      </c>
      <c r="BK29" s="956">
        <v>88.916044267624983</v>
      </c>
      <c r="BL29" s="954">
        <v>59.182283137254906</v>
      </c>
      <c r="BM29" s="955">
        <v>37.941633473314745</v>
      </c>
      <c r="BN29" s="955">
        <v>20.851952941176474</v>
      </c>
      <c r="BO29" s="955">
        <v>5.5248231343734604</v>
      </c>
      <c r="BP29" s="955">
        <v>48.898710588235303</v>
      </c>
      <c r="BQ29" s="955">
        <v>28.492978911539165</v>
      </c>
      <c r="BR29" s="955">
        <v>16.578905882352945</v>
      </c>
      <c r="BS29" s="955">
        <v>3.7112425046545736</v>
      </c>
      <c r="BT29" s="955">
        <v>83.692454901960801</v>
      </c>
      <c r="BU29" s="955">
        <v>6.821085622047443</v>
      </c>
      <c r="BV29" s="955">
        <v>61.072717647058838</v>
      </c>
      <c r="BW29" s="956">
        <v>105.95018351557198</v>
      </c>
      <c r="BX29" s="954">
        <v>60.159159215686273</v>
      </c>
      <c r="BY29" s="955">
        <v>39.407606682321997</v>
      </c>
      <c r="BZ29" s="955">
        <v>20.640264705882359</v>
      </c>
      <c r="CA29" s="955">
        <v>5.88924717492662</v>
      </c>
      <c r="CB29" s="955">
        <v>49.737755294117648</v>
      </c>
      <c r="CC29" s="955">
        <v>29.706935697084418</v>
      </c>
      <c r="CD29" s="955">
        <v>16.407529411764713</v>
      </c>
      <c r="CE29" s="955">
        <v>4.2001742955883099</v>
      </c>
      <c r="CF29" s="955">
        <v>86.47587450980393</v>
      </c>
      <c r="CG29" s="955">
        <v>8.2218111874452457</v>
      </c>
      <c r="CH29" s="955">
        <v>60.48158823529414</v>
      </c>
      <c r="CI29" s="956">
        <v>105.34521608291688</v>
      </c>
      <c r="CJ29" s="954">
        <v>59.429307450980396</v>
      </c>
      <c r="CK29" s="955">
        <v>38.07627959041772</v>
      </c>
      <c r="CL29" s="955">
        <v>20.710827450980393</v>
      </c>
      <c r="CM29" s="955">
        <v>4.1637960813871535</v>
      </c>
      <c r="CN29" s="955">
        <v>49.09533882352941</v>
      </c>
      <c r="CO29" s="955">
        <v>28.737975708889689</v>
      </c>
      <c r="CP29" s="955">
        <v>16.464654901960788</v>
      </c>
      <c r="CQ29" s="955">
        <v>2.6772440819736985</v>
      </c>
      <c r="CR29" s="955">
        <v>84.243615686274509</v>
      </c>
      <c r="CS29" s="955">
        <v>5.5624128179545131</v>
      </c>
      <c r="CT29" s="955">
        <v>60.678631372549027</v>
      </c>
      <c r="CU29" s="956">
        <v>97.359818851584265</v>
      </c>
      <c r="CV29" s="954">
        <v>39.618000000000002</v>
      </c>
      <c r="CW29" s="955">
        <v>13.708687357839478</v>
      </c>
      <c r="CX29" s="955">
        <v>24.874029411764713</v>
      </c>
      <c r="CY29" s="955">
        <v>9.4395231201379008</v>
      </c>
      <c r="CZ29" s="955">
        <v>31.596294117647059</v>
      </c>
      <c r="DA29" s="955">
        <v>9.896230836540683</v>
      </c>
      <c r="DB29" s="955">
        <v>19.835058823529415</v>
      </c>
      <c r="DC29" s="955">
        <v>5.6193107987927364</v>
      </c>
      <c r="DD29" s="955">
        <v>0</v>
      </c>
      <c r="DE29" s="955">
        <v>0</v>
      </c>
      <c r="DF29" s="955">
        <v>72.30417647058826</v>
      </c>
      <c r="DG29" s="956">
        <v>162.53082706926205</v>
      </c>
      <c r="DH29" s="954">
        <v>56.503344313725499</v>
      </c>
      <c r="DI29" s="955">
        <v>23.087065986102171</v>
      </c>
      <c r="DJ29" s="955">
        <v>22.474896078431374</v>
      </c>
      <c r="DK29" s="955">
        <v>5.3228173884201384</v>
      </c>
      <c r="DL29" s="955">
        <v>46.742995294117648</v>
      </c>
      <c r="DM29" s="955">
        <v>17.196472940660573</v>
      </c>
      <c r="DN29" s="955">
        <v>17.89279215686275</v>
      </c>
      <c r="DO29" s="955">
        <v>3.1857440173046059</v>
      </c>
      <c r="DP29" s="955">
        <v>0</v>
      </c>
      <c r="DQ29" s="955">
        <v>0</v>
      </c>
      <c r="DR29" s="955">
        <v>65.60470980392158</v>
      </c>
      <c r="DS29" s="956">
        <v>124.95747637676828</v>
      </c>
      <c r="DT29" s="954">
        <v>56.198827058823532</v>
      </c>
      <c r="DU29" s="955">
        <v>21.086674958622876</v>
      </c>
      <c r="DV29" s="955">
        <v>23.533337254901969</v>
      </c>
      <c r="DW29" s="955">
        <v>9.930196606191787</v>
      </c>
      <c r="DX29" s="955">
        <v>46.810647058823534</v>
      </c>
      <c r="DY29" s="955">
        <v>15.74994106061509</v>
      </c>
      <c r="DZ29" s="955">
        <v>18.749674509803924</v>
      </c>
      <c r="EA29" s="955">
        <v>6.9700945367484488</v>
      </c>
      <c r="EB29" s="955">
        <v>0</v>
      </c>
      <c r="EC29" s="955">
        <v>0</v>
      </c>
      <c r="ED29" s="955">
        <v>68.560356862745124</v>
      </c>
      <c r="EE29" s="956">
        <v>142.73016369721228</v>
      </c>
      <c r="EF29" s="954">
        <v>61.587090196078435</v>
      </c>
      <c r="EG29" s="955">
        <v>46.115100192425295</v>
      </c>
      <c r="EH29" s="955">
        <v>18.593945098039217</v>
      </c>
      <c r="EI29" s="955">
        <v>3.4494502515928245</v>
      </c>
      <c r="EJ29" s="955">
        <v>50.798070588235291</v>
      </c>
      <c r="EK29" s="955">
        <v>34.678871484048969</v>
      </c>
      <c r="EL29" s="955">
        <v>14.750890196078435</v>
      </c>
      <c r="EM29" s="955">
        <v>2.2945144342114752</v>
      </c>
      <c r="EN29" s="955">
        <v>88.912313725490208</v>
      </c>
      <c r="EO29" s="955">
        <v>15.288377027330286</v>
      </c>
      <c r="EP29" s="955">
        <v>54.76733725490196</v>
      </c>
      <c r="EQ29" s="956">
        <v>86.7597966857969</v>
      </c>
      <c r="ER29" s="954">
        <v>59.404532549019606</v>
      </c>
      <c r="ES29" s="955">
        <v>32.205873017530372</v>
      </c>
      <c r="ET29" s="955">
        <v>21.416454901960783</v>
      </c>
      <c r="EU29" s="955">
        <v>8.4781425983823588</v>
      </c>
      <c r="EV29" s="955">
        <v>49.11800705882353</v>
      </c>
      <c r="EW29" s="955">
        <v>24.305356270856109</v>
      </c>
      <c r="EX29" s="955">
        <v>17.035909803921573</v>
      </c>
      <c r="EY29" s="955">
        <v>6.2394708918366746</v>
      </c>
      <c r="EZ29" s="955">
        <v>84.604760784313726</v>
      </c>
      <c r="FA29" s="955">
        <v>2.0658835657944308</v>
      </c>
      <c r="FB29" s="955">
        <v>62.64906274509805</v>
      </c>
      <c r="FC29" s="956">
        <v>123.24137199903768</v>
      </c>
      <c r="FD29" s="954">
        <v>21.797352941176481</v>
      </c>
      <c r="FE29" s="955">
        <v>4.198884783387423</v>
      </c>
      <c r="FF29" s="955">
        <v>26.496972549019613</v>
      </c>
      <c r="FG29" s="955">
        <v>14.4271113099791</v>
      </c>
      <c r="FH29" s="955">
        <v>13.462705882352942</v>
      </c>
      <c r="FI29" s="955">
        <v>2.6624332964733117</v>
      </c>
      <c r="FJ29" s="955">
        <v>21.148945098039217</v>
      </c>
      <c r="FK29" s="955">
        <v>8.8749394606546836</v>
      </c>
      <c r="FL29" s="955">
        <v>0</v>
      </c>
      <c r="FM29" s="955">
        <v>0</v>
      </c>
      <c r="FN29" s="955">
        <v>76.836168627450988</v>
      </c>
      <c r="FO29" s="956">
        <v>208.45703204817514</v>
      </c>
      <c r="FP29" s="954">
        <v>57.563654509803925</v>
      </c>
      <c r="FQ29" s="955">
        <v>37.793308020651246</v>
      </c>
      <c r="FR29" s="955">
        <v>20.569701960784318</v>
      </c>
      <c r="FS29" s="955">
        <v>6.1262263415665954</v>
      </c>
      <c r="FT29" s="955">
        <v>47.611362352941178</v>
      </c>
      <c r="FU29" s="955">
        <v>28.400467388750958</v>
      </c>
      <c r="FV29" s="955">
        <v>16.350403921568631</v>
      </c>
      <c r="FW29" s="955">
        <v>4.3314006814554107</v>
      </c>
      <c r="FX29" s="955">
        <v>80.091380392156864</v>
      </c>
      <c r="FY29" s="955">
        <v>6.432699602610974</v>
      </c>
      <c r="FZ29" s="955">
        <v>60.284545098039231</v>
      </c>
      <c r="GA29" s="956">
        <v>108.04574782395765</v>
      </c>
      <c r="GB29" s="954">
        <v>55.237837254901962</v>
      </c>
      <c r="GC29" s="955">
        <v>34.421735290954551</v>
      </c>
      <c r="GD29" s="955">
        <v>20.569701960784318</v>
      </c>
      <c r="GE29" s="955">
        <v>6.5767357893330862</v>
      </c>
      <c r="GF29" s="955">
        <v>45.808788235294124</v>
      </c>
      <c r="GG29" s="955">
        <v>25.865821415650757</v>
      </c>
      <c r="GH29" s="955">
        <v>16.350403921568631</v>
      </c>
      <c r="GI29" s="955">
        <v>4.5231445906780126</v>
      </c>
      <c r="GJ29" s="955">
        <v>75.380901960784328</v>
      </c>
      <c r="GK29" s="955">
        <v>3.9769313100356323</v>
      </c>
      <c r="GL29" s="955">
        <v>60.284545098039231</v>
      </c>
      <c r="GM29" s="956">
        <v>113.34992140548719</v>
      </c>
      <c r="GN29" s="954">
        <v>54.406553333333335</v>
      </c>
      <c r="GO29" s="955">
        <v>23.642174928726988</v>
      </c>
      <c r="GP29" s="955">
        <v>22.333770588235296</v>
      </c>
      <c r="GQ29" s="955">
        <v>6.3580137353853265</v>
      </c>
      <c r="GR29" s="955">
        <v>48.211811764705892</v>
      </c>
      <c r="GS29" s="955">
        <v>17.516058950573409</v>
      </c>
      <c r="GT29" s="955">
        <v>17.778541176470593</v>
      </c>
      <c r="GU29" s="955">
        <v>3.9885787055465856</v>
      </c>
      <c r="GV29" s="955">
        <v>0</v>
      </c>
      <c r="GW29" s="955">
        <v>0</v>
      </c>
      <c r="GX29" s="955">
        <v>65.210623529411777</v>
      </c>
      <c r="GY29" s="956">
        <v>128.84285365933266</v>
      </c>
      <c r="GZ29" s="954">
        <v>52.274182352941182</v>
      </c>
      <c r="HA29" s="955">
        <v>20.113329862572922</v>
      </c>
      <c r="HB29" s="955">
        <v>22.404333333333341</v>
      </c>
      <c r="HC29" s="955">
        <v>8.3878573052866212</v>
      </c>
      <c r="HD29" s="955">
        <v>43.608929411764706</v>
      </c>
      <c r="HE29" s="955">
        <v>14.900164615034239</v>
      </c>
      <c r="HF29" s="955">
        <v>17.835666666666672</v>
      </c>
      <c r="HG29" s="955">
        <v>5.6295021270067265</v>
      </c>
      <c r="HH29" s="955">
        <v>0</v>
      </c>
      <c r="HI29" s="955">
        <v>0</v>
      </c>
      <c r="HJ29" s="955">
        <v>65.407666666666685</v>
      </c>
      <c r="HK29" s="956">
        <v>142.60257321246652</v>
      </c>
      <c r="HL29" s="954">
        <v>58.142303529411762</v>
      </c>
      <c r="HM29" s="955">
        <v>53.891480522360681</v>
      </c>
      <c r="HN29" s="955">
        <v>16.547625490196079</v>
      </c>
      <c r="HO29" s="955">
        <v>1.5312186196727862</v>
      </c>
      <c r="HP29" s="955">
        <v>48.233541176470588</v>
      </c>
      <c r="HQ29" s="955">
        <v>40.829651552978419</v>
      </c>
      <c r="HR29" s="955">
        <v>13.094250980392161</v>
      </c>
      <c r="HS29" s="955">
        <v>0.93081567343821037</v>
      </c>
      <c r="HT29" s="955">
        <v>81.413694117647069</v>
      </c>
      <c r="HU29" s="955">
        <v>22.209366915044495</v>
      </c>
      <c r="HV29" s="955">
        <v>49.053086274509809</v>
      </c>
      <c r="HW29" s="956">
        <v>66.412964343858974</v>
      </c>
      <c r="HX29" s="954">
        <v>60.355246666666673</v>
      </c>
      <c r="HY29" s="955">
        <v>54.791633529526194</v>
      </c>
      <c r="HZ29" s="955">
        <v>16.194811764705882</v>
      </c>
      <c r="IA29" s="955">
        <v>1.4048453508386805</v>
      </c>
      <c r="IB29" s="955">
        <v>49.706268235294111</v>
      </c>
      <c r="IC29" s="955">
        <v>41.425834243347204</v>
      </c>
      <c r="ID29" s="955">
        <v>12.808623529411769</v>
      </c>
      <c r="IE29" s="955">
        <v>0.83221159585757709</v>
      </c>
      <c r="IF29" s="955">
        <v>85.070713725490194</v>
      </c>
      <c r="IG29" s="955">
        <v>24.428686669841699</v>
      </c>
      <c r="IH29" s="955">
        <v>48.067870588235301</v>
      </c>
      <c r="II29" s="956">
        <v>65.397321072970101</v>
      </c>
      <c r="IJ29" s="954">
        <v>60.691536470588225</v>
      </c>
      <c r="IK29" s="955">
        <v>38.69463414093908</v>
      </c>
      <c r="IL29" s="955">
        <v>20.14632549019608</v>
      </c>
      <c r="IM29" s="955">
        <v>5.6577601383135452</v>
      </c>
      <c r="IN29" s="955">
        <v>50.138207058823525</v>
      </c>
      <c r="IO29" s="955">
        <v>29.215829301382971</v>
      </c>
      <c r="IP29" s="955">
        <v>16.00765098039216</v>
      </c>
      <c r="IQ29" s="955">
        <v>3.9883353121487093</v>
      </c>
      <c r="IR29" s="955">
        <v>87.434682352941181</v>
      </c>
      <c r="IS29" s="955">
        <v>7.5240634634710366</v>
      </c>
      <c r="IT29" s="955">
        <v>59.102286274509815</v>
      </c>
      <c r="IU29" s="956">
        <v>104.49113318990028</v>
      </c>
      <c r="IV29" s="954">
        <v>59.441694901960787</v>
      </c>
      <c r="IW29" s="955">
        <v>52.682668427823685</v>
      </c>
      <c r="IX29" s="955">
        <v>17.747192156862749</v>
      </c>
      <c r="IY29" s="955">
        <v>3.0423130216810708</v>
      </c>
      <c r="IZ29" s="955">
        <v>49.084004705882357</v>
      </c>
      <c r="JA29" s="955">
        <v>39.902138634511324</v>
      </c>
      <c r="JB29" s="955">
        <v>14.065384313725495</v>
      </c>
      <c r="JC29" s="955">
        <v>1.9308548354710728</v>
      </c>
      <c r="JD29" s="955">
        <v>84.063043137254908</v>
      </c>
      <c r="JE29" s="955">
        <v>22.386644946636761</v>
      </c>
      <c r="JF29" s="955">
        <v>52.402819607843156</v>
      </c>
      <c r="JG29" s="956">
        <v>79.903679341082309</v>
      </c>
      <c r="JH29" s="954">
        <v>57.660262745098031</v>
      </c>
      <c r="JI29" s="955">
        <v>22.583288121449804</v>
      </c>
      <c r="JJ29" s="955">
        <v>22.404333333333341</v>
      </c>
      <c r="JK29" s="955">
        <v>4.9737481254387212</v>
      </c>
      <c r="JL29" s="955">
        <v>48.446964705882344</v>
      </c>
      <c r="JM29" s="955">
        <v>16.592139966862025</v>
      </c>
      <c r="JN29" s="955">
        <v>17.835666666666672</v>
      </c>
      <c r="JO29" s="955">
        <v>2.8207321769688467</v>
      </c>
      <c r="JP29" s="955">
        <v>0</v>
      </c>
      <c r="JQ29" s="955">
        <v>0</v>
      </c>
      <c r="JR29" s="955">
        <v>65.407666666666685</v>
      </c>
      <c r="JS29" s="956">
        <v>124.55322954944648</v>
      </c>
      <c r="JT29" s="954">
        <v>55.603346274509811</v>
      </c>
      <c r="JU29" s="955">
        <v>42.223519054860425</v>
      </c>
      <c r="JV29" s="955">
        <v>19.44069803921569</v>
      </c>
      <c r="JW29" s="955">
        <v>4.5998602892385065</v>
      </c>
      <c r="JX29" s="955">
        <v>46.150595294117657</v>
      </c>
      <c r="JY29" s="955">
        <v>31.912743399925276</v>
      </c>
      <c r="JZ29" s="955">
        <v>15.436396078431375</v>
      </c>
      <c r="KA29" s="955">
        <v>3.226971091431877</v>
      </c>
      <c r="KB29" s="955">
        <v>76.696133333333336</v>
      </c>
      <c r="KC29" s="955">
        <v>11.625958037753064</v>
      </c>
      <c r="KD29" s="955">
        <v>57.131854901960793</v>
      </c>
      <c r="KE29" s="956">
        <v>96.138456106721421</v>
      </c>
      <c r="KF29" s="954">
        <v>60.527946274509802</v>
      </c>
      <c r="KG29" s="955">
        <v>39.711853575741806</v>
      </c>
      <c r="KH29" s="955">
        <v>20.358013725490199</v>
      </c>
      <c r="KI29" s="955">
        <v>5.3937653818869373</v>
      </c>
      <c r="KJ29" s="955">
        <v>49.970901176470583</v>
      </c>
      <c r="KK29" s="955">
        <v>29.834194579640158</v>
      </c>
      <c r="KL29" s="955">
        <v>16.179027450980396</v>
      </c>
      <c r="KM29" s="955">
        <v>3.6977457054439618</v>
      </c>
      <c r="KN29" s="955">
        <v>86.705309803921551</v>
      </c>
      <c r="KO29" s="955">
        <v>8.078270814808663</v>
      </c>
      <c r="KP29" s="955">
        <v>59.69341568627452</v>
      </c>
      <c r="KQ29" s="956">
        <v>102.63188953220123</v>
      </c>
      <c r="KR29" s="954">
        <v>55.923529019607848</v>
      </c>
      <c r="KS29" s="955">
        <v>28.482906579790651</v>
      </c>
      <c r="KT29" s="955">
        <v>20.710827450980393</v>
      </c>
      <c r="KU29" s="955">
        <v>9.0080453077364968</v>
      </c>
      <c r="KV29" s="955">
        <v>46.238021176470589</v>
      </c>
      <c r="KW29" s="955">
        <v>21.280685825680845</v>
      </c>
      <c r="KX29" s="955">
        <v>16.464654901960788</v>
      </c>
      <c r="KY29" s="955">
        <v>6.5685061643464291</v>
      </c>
      <c r="KZ29" s="955">
        <v>75.765654901960801</v>
      </c>
      <c r="LA29" s="955">
        <v>0.72123410719777681</v>
      </c>
      <c r="LB29" s="955">
        <v>60.678631372549027</v>
      </c>
      <c r="LC29" s="956">
        <v>127.52368626963457</v>
      </c>
      <c r="LD29" s="954">
        <v>57.433948627450981</v>
      </c>
      <c r="LE29" s="955">
        <v>46.949765317826419</v>
      </c>
      <c r="LF29" s="955">
        <v>18.664507843137258</v>
      </c>
      <c r="LG29" s="955">
        <v>2.8686180803643238</v>
      </c>
      <c r="LH29" s="955">
        <v>47.518715294117648</v>
      </c>
      <c r="LI29" s="955">
        <v>35.310990203709679</v>
      </c>
      <c r="LJ29" s="955">
        <v>14.808015686274514</v>
      </c>
      <c r="LK29" s="955">
        <v>1.8842770651052003</v>
      </c>
      <c r="LL29" s="955">
        <v>79.906086274509804</v>
      </c>
      <c r="LM29" s="955">
        <v>15.204075566395563</v>
      </c>
      <c r="LN29" s="955">
        <v>54.964380392156869</v>
      </c>
      <c r="LO29" s="956">
        <v>82.156437201561147</v>
      </c>
      <c r="LP29" s="954">
        <v>45.729552941176465</v>
      </c>
      <c r="LQ29" s="955">
        <v>23.799258316005314</v>
      </c>
      <c r="LR29" s="955">
        <v>21.134203921568631</v>
      </c>
      <c r="LS29" s="955">
        <v>7.3449515339797102</v>
      </c>
      <c r="LT29" s="955">
        <v>37.0426</v>
      </c>
      <c r="LU29" s="955">
        <v>17.814423388548878</v>
      </c>
      <c r="LV29" s="955">
        <v>16.807407843137259</v>
      </c>
      <c r="LW29" s="955">
        <v>4.7902825966878995</v>
      </c>
      <c r="LX29" s="955">
        <v>0</v>
      </c>
      <c r="LY29" s="955">
        <v>0</v>
      </c>
      <c r="LZ29" s="955">
        <v>61.860890196078444</v>
      </c>
      <c r="MA29" s="956">
        <v>131.18989954064298</v>
      </c>
      <c r="MB29" s="954">
        <v>60.469287058823546</v>
      </c>
      <c r="MC29" s="955">
        <v>36.283433704519737</v>
      </c>
      <c r="MD29" s="955">
        <v>21.34589215686275</v>
      </c>
      <c r="ME29" s="955">
        <v>5.8237371970643972</v>
      </c>
      <c r="MF29" s="955">
        <v>49.918910588235299</v>
      </c>
      <c r="MG29" s="955">
        <v>27.213913341935481</v>
      </c>
      <c r="MH29" s="955">
        <v>16.978784313725495</v>
      </c>
      <c r="MI29" s="955">
        <v>4.0711999031776447</v>
      </c>
      <c r="MJ29" s="955">
        <v>86.522376470588242</v>
      </c>
      <c r="MK29" s="955">
        <v>5.3095857018497599</v>
      </c>
      <c r="ML29" s="955">
        <v>62.452019607843155</v>
      </c>
      <c r="MM29" s="956">
        <v>107.61309261757739</v>
      </c>
      <c r="MN29" s="954">
        <v>46.869203921568634</v>
      </c>
      <c r="MO29" s="955">
        <v>12.424098141014177</v>
      </c>
      <c r="MP29" s="955">
        <v>28.04935294117648</v>
      </c>
      <c r="MQ29" s="955">
        <v>14.504701184387567</v>
      </c>
      <c r="MR29" s="955">
        <v>38.036788235294111</v>
      </c>
      <c r="MS29" s="955">
        <v>8.8432813399313641</v>
      </c>
      <c r="MT29" s="955">
        <v>22.405705882352947</v>
      </c>
      <c r="MU29" s="955">
        <v>8.7355920736006247</v>
      </c>
      <c r="MV29" s="955">
        <v>0</v>
      </c>
      <c r="MW29" s="955">
        <v>0</v>
      </c>
      <c r="MX29" s="955">
        <v>81.17111764705885</v>
      </c>
      <c r="MY29" s="956">
        <v>187.61613485349551</v>
      </c>
      <c r="MZ29" s="954">
        <v>43.503894117647071</v>
      </c>
      <c r="NA29" s="955">
        <v>12.412731363376944</v>
      </c>
      <c r="NB29" s="955">
        <v>23.321649019607847</v>
      </c>
      <c r="NC29" s="955">
        <v>10.620704329430131</v>
      </c>
      <c r="ND29" s="955">
        <v>34.912388235294131</v>
      </c>
      <c r="NE29" s="955">
        <v>8.9882647689983806</v>
      </c>
      <c r="NF29" s="955">
        <v>18.578298039215689</v>
      </c>
      <c r="NG29" s="955">
        <v>6.7992174312599838</v>
      </c>
      <c r="NH29" s="955">
        <v>0</v>
      </c>
      <c r="NI29" s="955">
        <v>0</v>
      </c>
      <c r="NJ29" s="955">
        <v>67.969227450980412</v>
      </c>
      <c r="NK29" s="956">
        <v>170.87470165170487</v>
      </c>
      <c r="NL29" s="954">
        <v>58.174684313725479</v>
      </c>
      <c r="NM29" s="955">
        <v>32.140650548446409</v>
      </c>
      <c r="NN29" s="955">
        <v>22.192645098039218</v>
      </c>
      <c r="NO29" s="955">
        <v>6.0601744768554804</v>
      </c>
      <c r="NP29" s="955">
        <v>49.264788235294112</v>
      </c>
      <c r="NQ29" s="955">
        <v>23.97500494285477</v>
      </c>
      <c r="NR29" s="955">
        <v>17.664290196078436</v>
      </c>
      <c r="NS29" s="955">
        <v>4.0861943828019971</v>
      </c>
      <c r="NT29" s="955">
        <v>74.799694117647064</v>
      </c>
      <c r="NU29" s="955">
        <v>1.8139241366496546</v>
      </c>
      <c r="NV29" s="955">
        <v>64.816537254901974</v>
      </c>
      <c r="NW29" s="956">
        <v>113.85137247993111</v>
      </c>
      <c r="NX29" s="954">
        <v>55.727441568627462</v>
      </c>
      <c r="NY29" s="955">
        <v>38.123178774290238</v>
      </c>
      <c r="NZ29" s="955">
        <v>20.922515686274515</v>
      </c>
      <c r="OA29" s="955">
        <v>6.5573779866638358</v>
      </c>
      <c r="OB29" s="955">
        <v>46.276494117647061</v>
      </c>
      <c r="OC29" s="955">
        <v>28.726149682665806</v>
      </c>
      <c r="OD29" s="955">
        <v>16.636031372549024</v>
      </c>
      <c r="OE29" s="955">
        <v>4.6789187166439428</v>
      </c>
      <c r="OF29" s="955">
        <v>77.170815686274523</v>
      </c>
      <c r="OG29" s="955">
        <v>6.9718392486415972</v>
      </c>
      <c r="OH29" s="955">
        <v>61.269760784313746</v>
      </c>
      <c r="OI29" s="956">
        <v>109.94180630732765</v>
      </c>
      <c r="OJ29" s="954">
        <v>55.305385098039217</v>
      </c>
      <c r="OK29" s="955">
        <v>22.58960453843142</v>
      </c>
      <c r="OL29" s="955">
        <v>24.097839215686278</v>
      </c>
      <c r="OM29" s="955">
        <v>9.2620910786958799</v>
      </c>
      <c r="ON29" s="955">
        <v>45.725851764705872</v>
      </c>
      <c r="OO29" s="955">
        <v>16.836355864994758</v>
      </c>
      <c r="OP29" s="955">
        <v>19.206678431372552</v>
      </c>
      <c r="OQ29" s="955">
        <v>5.8307939638213666</v>
      </c>
      <c r="OR29" s="955">
        <v>0</v>
      </c>
      <c r="OS29" s="955">
        <v>0</v>
      </c>
      <c r="OT29" s="955">
        <v>70.136701960784336</v>
      </c>
      <c r="OU29" s="956">
        <v>141.64345059175187</v>
      </c>
      <c r="OV29" s="954">
        <v>57.680972941176471</v>
      </c>
      <c r="OW29" s="955">
        <v>45.263059928755666</v>
      </c>
      <c r="OX29" s="955">
        <v>19.864074509803928</v>
      </c>
      <c r="OY29" s="955">
        <v>4.7050260652053959</v>
      </c>
      <c r="OZ29" s="955">
        <v>47.715343529411768</v>
      </c>
      <c r="PA29" s="955">
        <v>34.028246783248761</v>
      </c>
      <c r="PB29" s="955">
        <v>15.779149019607846</v>
      </c>
      <c r="PC29" s="955">
        <v>3.0669165890673131</v>
      </c>
      <c r="PD29" s="955">
        <v>80.45724705882354</v>
      </c>
      <c r="PE29" s="955">
        <v>13.392388127212632</v>
      </c>
      <c r="PF29" s="955">
        <v>58.314113725490209</v>
      </c>
      <c r="PG29" s="956">
        <v>94.341716377513364</v>
      </c>
      <c r="PH29" s="954">
        <v>54.487654901960788</v>
      </c>
      <c r="PI29" s="955">
        <v>18.745953653085571</v>
      </c>
      <c r="PJ29" s="955">
        <v>27.061474509803929</v>
      </c>
      <c r="PK29" s="955">
        <v>13.328764936746097</v>
      </c>
      <c r="PL29" s="955">
        <v>45.121576470588238</v>
      </c>
      <c r="PM29" s="955">
        <v>13.824105683049682</v>
      </c>
      <c r="PN29" s="955">
        <v>21.605949019607849</v>
      </c>
      <c r="PO29" s="955">
        <v>8.4691482308450166</v>
      </c>
      <c r="PP29" s="955">
        <v>0</v>
      </c>
      <c r="PQ29" s="955">
        <v>0</v>
      </c>
      <c r="PR29" s="955">
        <v>78.412513725490214</v>
      </c>
      <c r="PS29" s="956">
        <v>163.79477294658778</v>
      </c>
      <c r="PT29" s="954">
        <v>61.787842745098033</v>
      </c>
      <c r="PU29" s="955">
        <v>40.039848787517798</v>
      </c>
      <c r="PV29" s="955">
        <v>21.134203921568631</v>
      </c>
      <c r="PW29" s="955">
        <v>4.4827956909976887</v>
      </c>
      <c r="PX29" s="955">
        <v>50.93137411764706</v>
      </c>
      <c r="PY29" s="955">
        <v>30.244168331414262</v>
      </c>
      <c r="PZ29" s="955">
        <v>16.807407843137259</v>
      </c>
      <c r="QA29" s="955">
        <v>3.0149428323489214</v>
      </c>
      <c r="QB29" s="955">
        <v>89.099968627450977</v>
      </c>
      <c r="QC29" s="955">
        <v>6.8357376876375593</v>
      </c>
      <c r="QD29" s="955">
        <v>61.860890196078444</v>
      </c>
      <c r="QE29" s="956">
        <v>96.689799140449708</v>
      </c>
      <c r="QF29" s="954">
        <v>59.299601568627459</v>
      </c>
      <c r="QG29" s="955">
        <v>37.527765998157278</v>
      </c>
      <c r="QH29" s="955">
        <v>20.781390196078434</v>
      </c>
      <c r="QI29" s="955">
        <v>6.3040509589064788</v>
      </c>
      <c r="QJ29" s="955">
        <v>49.00269176470588</v>
      </c>
      <c r="QK29" s="955">
        <v>28.170193548437364</v>
      </c>
      <c r="QL29" s="955">
        <v>16.521780392156867</v>
      </c>
      <c r="QM29" s="955">
        <v>4.4090075470520018</v>
      </c>
      <c r="QN29" s="955">
        <v>84.058321568627449</v>
      </c>
      <c r="QO29" s="955">
        <v>6.2221040343262555</v>
      </c>
      <c r="QP29" s="955">
        <v>60.875674509803929</v>
      </c>
      <c r="QQ29" s="956">
        <v>109.31245131826054</v>
      </c>
      <c r="QR29" s="954">
        <v>46.779935294117649</v>
      </c>
      <c r="QS29" s="955">
        <v>14.605112655014015</v>
      </c>
      <c r="QT29" s="955">
        <v>23.462774509803928</v>
      </c>
      <c r="QU29" s="955">
        <v>8.6337656530393545</v>
      </c>
      <c r="QV29" s="955">
        <v>39.144011764705887</v>
      </c>
      <c r="QW29" s="955">
        <v>10.721970309990054</v>
      </c>
      <c r="QX29" s="955">
        <v>18.692549019607846</v>
      </c>
      <c r="QY29" s="955">
        <v>5.1578245311597728</v>
      </c>
      <c r="QZ29" s="955">
        <v>0</v>
      </c>
      <c r="RA29" s="955">
        <v>0</v>
      </c>
      <c r="RB29" s="955">
        <v>68.363313725490215</v>
      </c>
      <c r="RC29" s="956">
        <v>160.06963089098875</v>
      </c>
      <c r="RD29" s="954">
        <v>59.845532549019609</v>
      </c>
      <c r="RE29" s="955">
        <v>39.306428916295722</v>
      </c>
      <c r="RF29" s="955">
        <v>21.06364117647059</v>
      </c>
      <c r="RG29" s="955">
        <v>5.4780611373586634</v>
      </c>
      <c r="RH29" s="955">
        <v>49.433007058823527</v>
      </c>
      <c r="RI29" s="955">
        <v>29.548887093709588</v>
      </c>
      <c r="RJ29" s="955">
        <v>16.750282352941181</v>
      </c>
      <c r="RK29" s="955">
        <v>3.7384082028118981</v>
      </c>
      <c r="RL29" s="955">
        <v>85.234760784313721</v>
      </c>
      <c r="RM29" s="955">
        <v>7.7124215504245672</v>
      </c>
      <c r="RN29" s="955">
        <v>61.663847058823535</v>
      </c>
      <c r="RO29" s="956">
        <v>104.30185154991599</v>
      </c>
      <c r="RP29" s="954">
        <v>57.986656470588237</v>
      </c>
      <c r="RQ29" s="955">
        <v>38.560539438369531</v>
      </c>
      <c r="RR29" s="955">
        <v>20.922515686274515</v>
      </c>
      <c r="RS29" s="955">
        <v>5.1494107675259686</v>
      </c>
      <c r="RT29" s="955">
        <v>47.963962352941174</v>
      </c>
      <c r="RU29" s="955">
        <v>28.98008476437894</v>
      </c>
      <c r="RV29" s="955">
        <v>16.636031372549024</v>
      </c>
      <c r="RW29" s="955">
        <v>3.4907321701253546</v>
      </c>
      <c r="RX29" s="955">
        <v>81.191341176470601</v>
      </c>
      <c r="RY29" s="955">
        <v>6.749026798518031</v>
      </c>
      <c r="RZ29" s="955">
        <v>61.269760784313746</v>
      </c>
      <c r="SA29" s="956">
        <v>102.75881415268503</v>
      </c>
    </row>
    <row r="30" spans="1:495">
      <c r="A30" s="962">
        <f>[3]Eingabedaten!A32</f>
        <v>8.01</v>
      </c>
      <c r="B30" s="930" t="str">
        <f>[3]Eingabedaten!C32</f>
        <v xml:space="preserve">Bettenzimmer </v>
      </c>
      <c r="C30" s="988">
        <f t="shared" si="1"/>
        <v>24</v>
      </c>
      <c r="D30" s="954" cm="1">
        <f t="array" ref="D30">INDEX($P$7:$SA$51,$C30,$G$3-1+D$2)</f>
        <v>31.910762143790855</v>
      </c>
      <c r="E30" s="955" cm="1">
        <f t="array" ref="E30">INDEX($P$7:$SA$51,$C30,$G$3-1+E$2)</f>
        <v>13.693829307923286</v>
      </c>
      <c r="F30" s="955" cm="1">
        <f t="array" ref="F30">INDEX($P$7:$SA$51,$C30,$G$3-1+F$2)</f>
        <v>16.879408496732026</v>
      </c>
      <c r="G30" s="955" cm="1">
        <f t="array" ref="G30">INDEX($P$7:$SA$51,$C30,$G$3-1+G$2)</f>
        <v>10.843158550297417</v>
      </c>
      <c r="H30" s="955" cm="1">
        <f t="array" ref="H30">INDEX($P$7:$SA$51,$C30,$G$3-1+H$2)</f>
        <v>24.607144366013074</v>
      </c>
      <c r="I30" s="955" cm="1">
        <f t="array" ref="I30">INDEX($P$7:$SA$51,$C30,$G$3-1+I$2)</f>
        <v>11.344029682374098</v>
      </c>
      <c r="J30" s="955" cm="1">
        <f t="array" ref="J30">INDEX($P$7:$SA$51,$C30,$G$3-1+J$2)</f>
        <v>12.964575163398694</v>
      </c>
      <c r="K30" s="955" cm="1">
        <f t="array" ref="K30">INDEX($P$7:$SA$51,$C30,$G$3-1+K$2)</f>
        <v>5.980942292102406</v>
      </c>
      <c r="L30" s="955" cm="1">
        <f t="array" ref="L30">INDEX($P$7:$SA$51,$C30,$G$3-1+L$2)</f>
        <v>47.991369934640524</v>
      </c>
      <c r="M30" s="955" cm="1">
        <f t="array" ref="M30">INDEX($P$7:$SA$51,$C30,$G$3-1+M$2)</f>
        <v>0.27596119297729971</v>
      </c>
      <c r="N30" s="955" cm="1">
        <f t="array" ref="N30">INDEX($P$7:$SA$51,$C30,$G$3-1+N$2)</f>
        <v>48.222571895424842</v>
      </c>
      <c r="O30" s="956" cm="1">
        <f t="array" ref="O30">INDEX($P$7:$SA$51,$C30,$G$3-1+O$2)</f>
        <v>88.999439770117746</v>
      </c>
      <c r="P30" s="969">
        <v>22.833888888888893</v>
      </c>
      <c r="Q30" s="970">
        <v>2.0160290482930963</v>
      </c>
      <c r="R30" s="970">
        <v>18.395996732026145</v>
      </c>
      <c r="S30" s="970">
        <v>9.6222657382384664</v>
      </c>
      <c r="T30" s="970">
        <v>21.089379084967319</v>
      </c>
      <c r="U30" s="970">
        <v>1.9420029950837994</v>
      </c>
      <c r="V30" s="970">
        <v>14.151163398692814</v>
      </c>
      <c r="W30" s="970">
        <v>4.2620629957183969</v>
      </c>
      <c r="X30" s="970">
        <v>0</v>
      </c>
      <c r="Y30" s="970">
        <v>0</v>
      </c>
      <c r="Z30" s="970">
        <v>52.311395424836611</v>
      </c>
      <c r="AA30" s="971">
        <v>113.05927180599555</v>
      </c>
      <c r="AB30" s="969">
        <v>34.081190640522884</v>
      </c>
      <c r="AC30" s="970">
        <v>13.57768474646446</v>
      </c>
      <c r="AD30" s="970">
        <v>15.75600980392157</v>
      </c>
      <c r="AE30" s="970">
        <v>10.250730431023101</v>
      </c>
      <c r="AF30" s="970">
        <v>26.180406849673204</v>
      </c>
      <c r="AG30" s="970">
        <v>11.376693497707429</v>
      </c>
      <c r="AH30" s="970">
        <v>12.085620915032681</v>
      </c>
      <c r="AI30" s="970">
        <v>5.6812391665436337</v>
      </c>
      <c r="AJ30" s="970">
        <v>51.50883398692811</v>
      </c>
      <c r="AK30" s="970">
        <v>0.58754398764396931</v>
      </c>
      <c r="AL30" s="970">
        <v>45.193813725490202</v>
      </c>
      <c r="AM30" s="971">
        <v>85.599184269109699</v>
      </c>
      <c r="AN30" s="969">
        <v>29.063940130718958</v>
      </c>
      <c r="AO30" s="970">
        <v>10.764225657146815</v>
      </c>
      <c r="AP30" s="970">
        <v>15.812179738562094</v>
      </c>
      <c r="AQ30" s="970">
        <v>12.855953722341505</v>
      </c>
      <c r="AR30" s="970">
        <v>26.969792418300653</v>
      </c>
      <c r="AS30" s="970">
        <v>9.3236174399819429</v>
      </c>
      <c r="AT30" s="970">
        <v>12.129568627450983</v>
      </c>
      <c r="AU30" s="970">
        <v>7.8477772623238113</v>
      </c>
      <c r="AV30" s="970">
        <v>0</v>
      </c>
      <c r="AW30" s="970">
        <v>0</v>
      </c>
      <c r="AX30" s="970">
        <v>45.345251633986933</v>
      </c>
      <c r="AY30" s="971">
        <v>94.219363135435088</v>
      </c>
      <c r="AZ30" s="969">
        <v>36.230155137254904</v>
      </c>
      <c r="BA30" s="970">
        <v>16.767387572660539</v>
      </c>
      <c r="BB30" s="970">
        <v>16.317709150326799</v>
      </c>
      <c r="BC30" s="970">
        <v>8.5476196813389134</v>
      </c>
      <c r="BD30" s="970">
        <v>27.779659450980393</v>
      </c>
      <c r="BE30" s="970">
        <v>13.712923819668212</v>
      </c>
      <c r="BF30" s="970">
        <v>12.525098039215688</v>
      </c>
      <c r="BG30" s="970">
        <v>4.4715939223781183</v>
      </c>
      <c r="BH30" s="970">
        <v>55.745968627450978</v>
      </c>
      <c r="BI30" s="970">
        <v>3.312651162111464</v>
      </c>
      <c r="BJ30" s="970">
        <v>46.708192810457518</v>
      </c>
      <c r="BK30" s="971">
        <v>78.30722174470931</v>
      </c>
      <c r="BL30" s="969">
        <v>32.406388915032686</v>
      </c>
      <c r="BM30" s="970">
        <v>13.540624786731126</v>
      </c>
      <c r="BN30" s="970">
        <v>16.823238562091504</v>
      </c>
      <c r="BO30" s="970">
        <v>11.05355620165072</v>
      </c>
      <c r="BP30" s="970">
        <v>24.997893751633992</v>
      </c>
      <c r="BQ30" s="970">
        <v>11.220189143628998</v>
      </c>
      <c r="BR30" s="970">
        <v>12.920627450980394</v>
      </c>
      <c r="BS30" s="970">
        <v>6.030148742890912</v>
      </c>
      <c r="BT30" s="970">
        <v>49.366371241830073</v>
      </c>
      <c r="BU30" s="970">
        <v>0.33723570278122078</v>
      </c>
      <c r="BV30" s="970">
        <v>48.071133986928103</v>
      </c>
      <c r="BW30" s="971">
        <v>91.009363461285474</v>
      </c>
      <c r="BX30" s="969">
        <v>30.871689620915038</v>
      </c>
      <c r="BY30" s="970">
        <v>14.086830306229166</v>
      </c>
      <c r="BZ30" s="970">
        <v>16.654728758169938</v>
      </c>
      <c r="CA30" s="970">
        <v>12.85386465846976</v>
      </c>
      <c r="CB30" s="970">
        <v>25.005003973856212</v>
      </c>
      <c r="CC30" s="970">
        <v>11.70434705280547</v>
      </c>
      <c r="CD30" s="970">
        <v>12.788784313725493</v>
      </c>
      <c r="CE30" s="970">
        <v>7.7120700147449508</v>
      </c>
      <c r="CF30" s="970">
        <v>47.924277124183014</v>
      </c>
      <c r="CG30" s="970">
        <v>0.72260996787926068</v>
      </c>
      <c r="CH30" s="970">
        <v>47.616820261437915</v>
      </c>
      <c r="CI30" s="971">
        <v>93.410402289224663</v>
      </c>
      <c r="CJ30" s="969">
        <v>29.942955346405235</v>
      </c>
      <c r="CK30" s="970">
        <v>12.079677165711519</v>
      </c>
      <c r="CL30" s="970">
        <v>16.71089869281046</v>
      </c>
      <c r="CM30" s="970">
        <v>8.5103996211732582</v>
      </c>
      <c r="CN30" s="970">
        <v>24.121073673202616</v>
      </c>
      <c r="CO30" s="970">
        <v>10.238069421276053</v>
      </c>
      <c r="CP30" s="970">
        <v>12.832732026143793</v>
      </c>
      <c r="CQ30" s="970">
        <v>4.2141080202014747</v>
      </c>
      <c r="CR30" s="970">
        <v>0</v>
      </c>
      <c r="CS30" s="970">
        <v>0</v>
      </c>
      <c r="CT30" s="970">
        <v>47.76825816993464</v>
      </c>
      <c r="CU30" s="971">
        <v>83.885629526265333</v>
      </c>
      <c r="CV30" s="969">
        <v>23.229640522875822</v>
      </c>
      <c r="CW30" s="970">
        <v>0.99945014758721307</v>
      </c>
      <c r="CX30" s="970">
        <v>20.024924836601308</v>
      </c>
      <c r="CY30" s="970">
        <v>12.132701937731857</v>
      </c>
      <c r="CZ30" s="970">
        <v>17.476633986928107</v>
      </c>
      <c r="DA30" s="970">
        <v>1.0694257417504667</v>
      </c>
      <c r="DB30" s="970">
        <v>15.425647058823532</v>
      </c>
      <c r="DC30" s="970">
        <v>5.5803573745583614</v>
      </c>
      <c r="DD30" s="970">
        <v>0</v>
      </c>
      <c r="DE30" s="970">
        <v>0</v>
      </c>
      <c r="DF30" s="970">
        <v>56.703094771241837</v>
      </c>
      <c r="DG30" s="971">
        <v>125.20723885760886</v>
      </c>
      <c r="DH30" s="969">
        <v>29.712833150326802</v>
      </c>
      <c r="DI30" s="970">
        <v>4.3539811935329569</v>
      </c>
      <c r="DJ30" s="970">
        <v>18.115147058823531</v>
      </c>
      <c r="DK30" s="970">
        <v>8.7304577422467133</v>
      </c>
      <c r="DL30" s="970">
        <v>23.467195764705885</v>
      </c>
      <c r="DM30" s="970">
        <v>3.8784843302129017</v>
      </c>
      <c r="DN30" s="970">
        <v>13.931424836601309</v>
      </c>
      <c r="DO30" s="970">
        <v>3.8694933649760004</v>
      </c>
      <c r="DP30" s="970">
        <v>0</v>
      </c>
      <c r="DQ30" s="970">
        <v>0</v>
      </c>
      <c r="DR30" s="970">
        <v>51.554205882352939</v>
      </c>
      <c r="DS30" s="971">
        <v>102.05063781113293</v>
      </c>
      <c r="DT30" s="969">
        <v>31.983817934640527</v>
      </c>
      <c r="DU30" s="970">
        <v>3.2882408176270732</v>
      </c>
      <c r="DV30" s="970">
        <v>18.957696078431375</v>
      </c>
      <c r="DW30" s="970">
        <v>16.932958531275066</v>
      </c>
      <c r="DX30" s="970">
        <v>24.558318849673206</v>
      </c>
      <c r="DY30" s="970">
        <v>3.0808650466050569</v>
      </c>
      <c r="DZ30" s="970">
        <v>14.59064052287582</v>
      </c>
      <c r="EA30" s="970">
        <v>10.255637276056801</v>
      </c>
      <c r="EB30" s="970">
        <v>0</v>
      </c>
      <c r="EC30" s="970">
        <v>0</v>
      </c>
      <c r="ED30" s="970">
        <v>53.825774509803928</v>
      </c>
      <c r="EE30" s="971">
        <v>121.39027058251143</v>
      </c>
      <c r="EF30" s="969">
        <v>33.643946718954254</v>
      </c>
      <c r="EG30" s="970">
        <v>18.326451615876227</v>
      </c>
      <c r="EH30" s="970">
        <v>15.025800653594771</v>
      </c>
      <c r="EI30" s="970">
        <v>8.1782016706091518</v>
      </c>
      <c r="EJ30" s="970">
        <v>25.936959006535947</v>
      </c>
      <c r="EK30" s="970">
        <v>14.91334773398194</v>
      </c>
      <c r="EL30" s="970">
        <v>11.514300653594773</v>
      </c>
      <c r="EM30" s="970">
        <v>4.2505554372334924</v>
      </c>
      <c r="EN30" s="970">
        <v>52.13475555555555</v>
      </c>
      <c r="EO30" s="970">
        <v>5.0817811141114655</v>
      </c>
      <c r="EP30" s="970">
        <v>43.225120915032676</v>
      </c>
      <c r="EQ30" s="971">
        <v>75.686833673320493</v>
      </c>
      <c r="ER30" s="969">
        <v>30.845698248366016</v>
      </c>
      <c r="ES30" s="970">
        <v>8.5025010317344059</v>
      </c>
      <c r="ET30" s="970">
        <v>17.272598039215687</v>
      </c>
      <c r="EU30" s="970">
        <v>17.294922794042801</v>
      </c>
      <c r="EV30" s="970">
        <v>24.411793882352942</v>
      </c>
      <c r="EW30" s="970">
        <v>7.4468815771191954</v>
      </c>
      <c r="EX30" s="970">
        <v>13.2722091503268</v>
      </c>
      <c r="EY30" s="970">
        <v>10.909945502637271</v>
      </c>
      <c r="EZ30" s="970">
        <v>0</v>
      </c>
      <c r="FA30" s="970">
        <v>0</v>
      </c>
      <c r="FB30" s="970">
        <v>49.282637254901957</v>
      </c>
      <c r="FC30" s="971">
        <v>111.45737884832025</v>
      </c>
      <c r="FD30" s="969">
        <v>22.104836601307195</v>
      </c>
      <c r="FE30" s="970">
        <v>0</v>
      </c>
      <c r="FF30" s="970">
        <v>21.316833333333332</v>
      </c>
      <c r="FG30" s="970">
        <v>16.095556012293915</v>
      </c>
      <c r="FH30" s="970">
        <v>16.368464052287582</v>
      </c>
      <c r="FI30" s="970">
        <v>0</v>
      </c>
      <c r="FJ30" s="970">
        <v>16.436444444444447</v>
      </c>
      <c r="FK30" s="970">
        <v>8.3642961215481666</v>
      </c>
      <c r="FL30" s="970">
        <v>0</v>
      </c>
      <c r="FM30" s="970">
        <v>0</v>
      </c>
      <c r="FN30" s="970">
        <v>60.186166666666672</v>
      </c>
      <c r="FO30" s="971">
        <v>148.61642892274074</v>
      </c>
      <c r="FP30" s="969">
        <v>31.58536559477125</v>
      </c>
      <c r="FQ30" s="970">
        <v>13.394187831640931</v>
      </c>
      <c r="FR30" s="970">
        <v>16.598558823529412</v>
      </c>
      <c r="FS30" s="970">
        <v>12.93687180320681</v>
      </c>
      <c r="FT30" s="970">
        <v>26.709477124183007</v>
      </c>
      <c r="FU30" s="970">
        <v>11.122795687511355</v>
      </c>
      <c r="FV30" s="970">
        <v>12.744836601307192</v>
      </c>
      <c r="FW30" s="970">
        <v>7.7061752145634781</v>
      </c>
      <c r="FX30" s="970">
        <v>47.026295424836604</v>
      </c>
      <c r="FY30" s="970">
        <v>0.17792197729102455</v>
      </c>
      <c r="FZ30" s="970">
        <v>47.465382352941184</v>
      </c>
      <c r="GA30" s="971">
        <v>94.525618522339101</v>
      </c>
      <c r="GB30" s="969">
        <v>29.853690143790857</v>
      </c>
      <c r="GC30" s="970">
        <v>10.592325282480147</v>
      </c>
      <c r="GD30" s="970">
        <v>16.598558823529412</v>
      </c>
      <c r="GE30" s="970">
        <v>12.828864159824343</v>
      </c>
      <c r="GF30" s="970">
        <v>23.055164130718957</v>
      </c>
      <c r="GG30" s="970">
        <v>9.0419810280211514</v>
      </c>
      <c r="GH30" s="970">
        <v>12.744836601307192</v>
      </c>
      <c r="GI30" s="970">
        <v>7.3407421481112989</v>
      </c>
      <c r="GJ30" s="970">
        <v>0</v>
      </c>
      <c r="GK30" s="970">
        <v>0</v>
      </c>
      <c r="GL30" s="970">
        <v>47.465382352941184</v>
      </c>
      <c r="GM30" s="971">
        <v>98.070720402218811</v>
      </c>
      <c r="GN30" s="969">
        <v>29.612276862745102</v>
      </c>
      <c r="GO30" s="970">
        <v>5.4270219372976598</v>
      </c>
      <c r="GP30" s="970">
        <v>18.002807189542484</v>
      </c>
      <c r="GQ30" s="970">
        <v>10.755674923322132</v>
      </c>
      <c r="GR30" s="970">
        <v>22.832221960784317</v>
      </c>
      <c r="GS30" s="970">
        <v>4.6160064241344676</v>
      </c>
      <c r="GT30" s="970">
        <v>13.843529411764708</v>
      </c>
      <c r="GU30" s="970">
        <v>5.2783359046471308</v>
      </c>
      <c r="GV30" s="970">
        <v>0</v>
      </c>
      <c r="GW30" s="970">
        <v>0</v>
      </c>
      <c r="GX30" s="970">
        <v>51.251330065359483</v>
      </c>
      <c r="GY30" s="971">
        <v>105.89922208546297</v>
      </c>
      <c r="GZ30" s="969">
        <v>29.803464052287584</v>
      </c>
      <c r="HA30" s="970">
        <v>3.8341811901290335</v>
      </c>
      <c r="HB30" s="970">
        <v>18.058977124183009</v>
      </c>
      <c r="HC30" s="970">
        <v>14.809753516175977</v>
      </c>
      <c r="HD30" s="970">
        <v>22.913398692810457</v>
      </c>
      <c r="HE30" s="970">
        <v>3.3951175293893701</v>
      </c>
      <c r="HF30" s="970">
        <v>13.887477124183009</v>
      </c>
      <c r="HG30" s="970">
        <v>8.2501097122163998</v>
      </c>
      <c r="HH30" s="970">
        <v>0</v>
      </c>
      <c r="HI30" s="970">
        <v>0</v>
      </c>
      <c r="HJ30" s="970">
        <v>51.402767973856214</v>
      </c>
      <c r="HK30" s="971">
        <v>119.53440730461212</v>
      </c>
      <c r="HL30" s="969">
        <v>31.299515189542486</v>
      </c>
      <c r="HM30" s="970">
        <v>21.03535232240236</v>
      </c>
      <c r="HN30" s="970">
        <v>13.39687254901961</v>
      </c>
      <c r="HO30" s="970">
        <v>3.9970940135660489</v>
      </c>
      <c r="HP30" s="970">
        <v>25.607678222222223</v>
      </c>
      <c r="HQ30" s="970">
        <v>17.262895256013003</v>
      </c>
      <c r="HR30" s="970">
        <v>10.239816993464055</v>
      </c>
      <c r="HS30" s="970">
        <v>1.5748140563091617</v>
      </c>
      <c r="HT30" s="970">
        <v>46.534567320261445</v>
      </c>
      <c r="HU30" s="970">
        <v>9.2248725624449754</v>
      </c>
      <c r="HV30" s="970">
        <v>38.83342156862745</v>
      </c>
      <c r="HW30" s="971">
        <v>59.21296535199604</v>
      </c>
      <c r="HX30" s="969">
        <v>34.156510117647059</v>
      </c>
      <c r="HY30" s="970">
        <v>21.923222120456618</v>
      </c>
      <c r="HZ30" s="970">
        <v>13.116022875816997</v>
      </c>
      <c r="IA30" s="970">
        <v>3.4914015480200007</v>
      </c>
      <c r="IB30" s="970">
        <v>26.188293647058824</v>
      </c>
      <c r="IC30" s="970">
        <v>17.947056654465015</v>
      </c>
      <c r="ID30" s="970">
        <v>10.02007843137255</v>
      </c>
      <c r="IE30" s="970">
        <v>1.3047838139690244</v>
      </c>
      <c r="IF30" s="970">
        <v>50.782729411764706</v>
      </c>
      <c r="IG30" s="970">
        <v>10.606593475386148</v>
      </c>
      <c r="IH30" s="970">
        <v>38.076232026143785</v>
      </c>
      <c r="II30" s="971">
        <v>58.040617371031935</v>
      </c>
      <c r="IJ30" s="969">
        <v>33.782540026143799</v>
      </c>
      <c r="IK30" s="970">
        <v>13.082550213884071</v>
      </c>
      <c r="IL30" s="970">
        <v>16.261539215686277</v>
      </c>
      <c r="IM30" s="970">
        <v>12.281934614506223</v>
      </c>
      <c r="IN30" s="970">
        <v>26.02677166013072</v>
      </c>
      <c r="IO30" s="970">
        <v>10.994208498648605</v>
      </c>
      <c r="IP30" s="970">
        <v>12.481150326797387</v>
      </c>
      <c r="IQ30" s="970">
        <v>7.2357978217252494</v>
      </c>
      <c r="IR30" s="970">
        <v>52.166005228758173</v>
      </c>
      <c r="IS30" s="970">
        <v>0.42223384050671359</v>
      </c>
      <c r="IT30" s="970">
        <v>46.556754901960787</v>
      </c>
      <c r="IU30" s="971">
        <v>92.505067043980546</v>
      </c>
      <c r="IV30" s="969">
        <v>32.528409202614384</v>
      </c>
      <c r="IW30" s="970">
        <v>20.939116999640934</v>
      </c>
      <c r="IX30" s="970">
        <v>14.351761437908497</v>
      </c>
      <c r="IY30" s="970">
        <v>6.612112549064757</v>
      </c>
      <c r="IZ30" s="970">
        <v>26.157571450980392</v>
      </c>
      <c r="JA30" s="970">
        <v>17.107626354013</v>
      </c>
      <c r="JB30" s="970">
        <v>10.986928104575165</v>
      </c>
      <c r="JC30" s="970">
        <v>3.1256069462611515</v>
      </c>
      <c r="JD30" s="970">
        <v>48.873722875816988</v>
      </c>
      <c r="JE30" s="970">
        <v>9.408249053739091</v>
      </c>
      <c r="JF30" s="970">
        <v>41.407866013071896</v>
      </c>
      <c r="JG30" s="971">
        <v>69.783785906597686</v>
      </c>
      <c r="JH30" s="969">
        <v>30.907450980392159</v>
      </c>
      <c r="JI30" s="970">
        <v>5.0264499504741336</v>
      </c>
      <c r="JJ30" s="970">
        <v>18.058977124183009</v>
      </c>
      <c r="JK30" s="970">
        <v>7.3706583509307251</v>
      </c>
      <c r="JL30" s="970">
        <v>23.866666666666664</v>
      </c>
      <c r="JM30" s="970">
        <v>4.2684692837423119</v>
      </c>
      <c r="JN30" s="970">
        <v>13.887477124183009</v>
      </c>
      <c r="JO30" s="970">
        <v>2.9180022975012765</v>
      </c>
      <c r="JP30" s="970">
        <v>0</v>
      </c>
      <c r="JQ30" s="970">
        <v>0</v>
      </c>
      <c r="JR30" s="970">
        <v>51.402767973856214</v>
      </c>
      <c r="JS30" s="971">
        <v>96.358667009616298</v>
      </c>
      <c r="JT30" s="969">
        <v>28.904246431372556</v>
      </c>
      <c r="JU30" s="970">
        <v>15.490208741005638</v>
      </c>
      <c r="JV30" s="970">
        <v>15.699839869281046</v>
      </c>
      <c r="JW30" s="970">
        <v>10.840036427386824</v>
      </c>
      <c r="JX30" s="970">
        <v>23.358479006535948</v>
      </c>
      <c r="JY30" s="970">
        <v>12.818841304609393</v>
      </c>
      <c r="JZ30" s="970">
        <v>12.04167320261438</v>
      </c>
      <c r="KA30" s="970">
        <v>6.2532720557432757</v>
      </c>
      <c r="KB30" s="970">
        <v>42.279050980392149</v>
      </c>
      <c r="KC30" s="970">
        <v>2.9627313095624461</v>
      </c>
      <c r="KD30" s="970">
        <v>45.04237581699347</v>
      </c>
      <c r="KE30" s="971">
        <v>85.605735702844484</v>
      </c>
      <c r="KF30" s="969">
        <v>35.148518222222222</v>
      </c>
      <c r="KG30" s="970">
        <v>14.782553270040932</v>
      </c>
      <c r="KH30" s="970">
        <v>16.430049019607843</v>
      </c>
      <c r="KI30" s="970">
        <v>11.298797466582512</v>
      </c>
      <c r="KJ30" s="970">
        <v>26.98869652287582</v>
      </c>
      <c r="KK30" s="970">
        <v>12.150625235511351</v>
      </c>
      <c r="KL30" s="970">
        <v>12.612993464052288</v>
      </c>
      <c r="KM30" s="970">
        <v>6.3786795683283097</v>
      </c>
      <c r="KN30" s="970">
        <v>53.867291503267985</v>
      </c>
      <c r="KO30" s="970">
        <v>1.1946495922291136</v>
      </c>
      <c r="KP30" s="970">
        <v>47.011068627450975</v>
      </c>
      <c r="KQ30" s="971">
        <v>88.634517773157498</v>
      </c>
      <c r="KR30" s="969">
        <v>32.42897108496733</v>
      </c>
      <c r="KS30" s="970">
        <v>7.3455808955251136</v>
      </c>
      <c r="KT30" s="970">
        <v>16.71089869281046</v>
      </c>
      <c r="KU30" s="970">
        <v>16.485988715102106</v>
      </c>
      <c r="KV30" s="970">
        <v>24.812007424836601</v>
      </c>
      <c r="KW30" s="970">
        <v>6.3782052745968993</v>
      </c>
      <c r="KX30" s="970">
        <v>12.832732026143793</v>
      </c>
      <c r="KY30" s="970">
        <v>10.521724579541214</v>
      </c>
      <c r="KZ30" s="970">
        <v>0</v>
      </c>
      <c r="LA30" s="970">
        <v>0</v>
      </c>
      <c r="LB30" s="970">
        <v>47.76825816993464</v>
      </c>
      <c r="LC30" s="971">
        <v>110.07823873991077</v>
      </c>
      <c r="LD30" s="969">
        <v>32.852296627450983</v>
      </c>
      <c r="LE30" s="970">
        <v>18.642109311609563</v>
      </c>
      <c r="LF30" s="970">
        <v>15.081970588235297</v>
      </c>
      <c r="LG30" s="970">
        <v>7.15093372531837</v>
      </c>
      <c r="LH30" s="970">
        <v>25.270486431372554</v>
      </c>
      <c r="LI30" s="970">
        <v>15.149565017864298</v>
      </c>
      <c r="LJ30" s="970">
        <v>11.558248366013075</v>
      </c>
      <c r="LK30" s="970">
        <v>3.5706051729678583</v>
      </c>
      <c r="LL30" s="970">
        <v>49.169678431372553</v>
      </c>
      <c r="LM30" s="970">
        <v>5.179820329797745</v>
      </c>
      <c r="LN30" s="970">
        <v>43.376558823529415</v>
      </c>
      <c r="LO30" s="971">
        <v>72.135310519895881</v>
      </c>
      <c r="LP30" s="969">
        <v>25.269705882352945</v>
      </c>
      <c r="LQ30" s="970">
        <v>4.899782891932956</v>
      </c>
      <c r="LR30" s="970">
        <v>17.047918300653599</v>
      </c>
      <c r="LS30" s="970">
        <v>12.555843087513795</v>
      </c>
      <c r="LT30" s="970">
        <v>20.340359477124185</v>
      </c>
      <c r="LU30" s="970">
        <v>4.3369613478207425</v>
      </c>
      <c r="LV30" s="970">
        <v>13.096418300653596</v>
      </c>
      <c r="LW30" s="970">
        <v>6.6450775139562026</v>
      </c>
      <c r="LX30" s="970">
        <v>0</v>
      </c>
      <c r="LY30" s="970">
        <v>0</v>
      </c>
      <c r="LZ30" s="970">
        <v>48.67688562091503</v>
      </c>
      <c r="MA30" s="971">
        <v>111.18397891160711</v>
      </c>
      <c r="MB30" s="969">
        <v>32.322405647058837</v>
      </c>
      <c r="MC30" s="970">
        <v>12.314912323531127</v>
      </c>
      <c r="MD30" s="970">
        <v>17.216428104575165</v>
      </c>
      <c r="ME30" s="970">
        <v>12.37689666766909</v>
      </c>
      <c r="MF30" s="970">
        <v>25.383935267973861</v>
      </c>
      <c r="MG30" s="970">
        <v>10.272282238648604</v>
      </c>
      <c r="MH30" s="970">
        <v>13.2282614379085</v>
      </c>
      <c r="MI30" s="970">
        <v>7.2069703831726573</v>
      </c>
      <c r="MJ30" s="970">
        <v>0</v>
      </c>
      <c r="MK30" s="970">
        <v>0</v>
      </c>
      <c r="ML30" s="970">
        <v>49.131199346405232</v>
      </c>
      <c r="MM30" s="971">
        <v>93.948487650687483</v>
      </c>
      <c r="MN30" s="969">
        <v>28.692843137254908</v>
      </c>
      <c r="MO30" s="970">
        <v>0.75334683224603394</v>
      </c>
      <c r="MP30" s="970">
        <v>22.552571895424837</v>
      </c>
      <c r="MQ30" s="970">
        <v>15.814794957692072</v>
      </c>
      <c r="MR30" s="970">
        <v>21.605392156862745</v>
      </c>
      <c r="MS30" s="970">
        <v>0.85336405590733</v>
      </c>
      <c r="MT30" s="970">
        <v>17.403294117647061</v>
      </c>
      <c r="MU30" s="970">
        <v>7.5923419149218416</v>
      </c>
      <c r="MV30" s="970">
        <v>0</v>
      </c>
      <c r="MW30" s="970">
        <v>0</v>
      </c>
      <c r="MX30" s="970">
        <v>63.517800653594776</v>
      </c>
      <c r="MY30" s="971">
        <v>140.38198620806736</v>
      </c>
      <c r="MZ30" s="969">
        <v>26.495392156862753</v>
      </c>
      <c r="NA30" s="970">
        <v>0.66060906498328875</v>
      </c>
      <c r="NB30" s="970">
        <v>18.789186274509802</v>
      </c>
      <c r="NC30" s="970">
        <v>15.54337180190638</v>
      </c>
      <c r="ND30" s="970">
        <v>19.97401960784314</v>
      </c>
      <c r="NE30" s="970">
        <v>0.85668629045634814</v>
      </c>
      <c r="NF30" s="970">
        <v>14.458797385620915</v>
      </c>
      <c r="NG30" s="970">
        <v>8.2025055831252836</v>
      </c>
      <c r="NH30" s="970">
        <v>0</v>
      </c>
      <c r="NI30" s="970">
        <v>0</v>
      </c>
      <c r="NJ30" s="970">
        <v>53.371460784313726</v>
      </c>
      <c r="NK30" s="971">
        <v>137.72895214415664</v>
      </c>
      <c r="NL30" s="969">
        <v>31.131912261437911</v>
      </c>
      <c r="NM30" s="970">
        <v>9.850356086025247</v>
      </c>
      <c r="NN30" s="970">
        <v>17.89046732026144</v>
      </c>
      <c r="NO30" s="970">
        <v>11.805739766264599</v>
      </c>
      <c r="NP30" s="970">
        <v>23.885536836601304</v>
      </c>
      <c r="NQ30" s="970">
        <v>8.349255155001547</v>
      </c>
      <c r="NR30" s="970">
        <v>13.755633986928107</v>
      </c>
      <c r="NS30" s="970">
        <v>6.5410132649199149</v>
      </c>
      <c r="NT30" s="970">
        <v>0</v>
      </c>
      <c r="NU30" s="970">
        <v>0</v>
      </c>
      <c r="NV30" s="970">
        <v>50.948454248366012</v>
      </c>
      <c r="NW30" s="971">
        <v>96.970013784514222</v>
      </c>
      <c r="NX30" s="969">
        <v>30.378690143790855</v>
      </c>
      <c r="NY30" s="970">
        <v>13.248021497209558</v>
      </c>
      <c r="NZ30" s="970">
        <v>16.879408496732026</v>
      </c>
      <c r="OA30" s="970">
        <v>13.688420172803413</v>
      </c>
      <c r="OB30" s="970">
        <v>23.430164130718957</v>
      </c>
      <c r="OC30" s="970">
        <v>11.072719191040767</v>
      </c>
      <c r="OD30" s="970">
        <v>12.964575163398694</v>
      </c>
      <c r="OE30" s="970">
        <v>8.2751853131871869</v>
      </c>
      <c r="OF30" s="970">
        <v>44.302028758169939</v>
      </c>
      <c r="OG30" s="970">
        <v>0.3307151638008301</v>
      </c>
      <c r="OH30" s="970">
        <v>48.222571895424842</v>
      </c>
      <c r="OI30" s="971">
        <v>97.066510749401587</v>
      </c>
      <c r="OJ30" s="969">
        <v>31.830032679738565</v>
      </c>
      <c r="OK30" s="970">
        <v>4.6350545431172687</v>
      </c>
      <c r="OL30" s="970">
        <v>19.407055555555555</v>
      </c>
      <c r="OM30" s="970">
        <v>12.826420561232407</v>
      </c>
      <c r="ON30" s="970">
        <v>24.608006535947716</v>
      </c>
      <c r="OO30" s="970">
        <v>4.0428748505266245</v>
      </c>
      <c r="OP30" s="970">
        <v>14.942222222222226</v>
      </c>
      <c r="OQ30" s="970">
        <v>6.592638917131552</v>
      </c>
      <c r="OR30" s="970">
        <v>0</v>
      </c>
      <c r="OS30" s="970">
        <v>0</v>
      </c>
      <c r="OT30" s="970">
        <v>55.037277777777781</v>
      </c>
      <c r="OU30" s="971">
        <v>112.09335055779349</v>
      </c>
      <c r="OV30" s="969">
        <v>31.345461437908504</v>
      </c>
      <c r="OW30" s="970">
        <v>17.469278700597794</v>
      </c>
      <c r="OX30" s="970">
        <v>16.036859477124185</v>
      </c>
      <c r="OY30" s="970">
        <v>8.9982558811990554</v>
      </c>
      <c r="OZ30" s="970">
        <v>24.414948601307188</v>
      </c>
      <c r="PA30" s="970">
        <v>14.283011391354488</v>
      </c>
      <c r="PB30" s="970">
        <v>12.305359477124185</v>
      </c>
      <c r="PC30" s="970">
        <v>4.6478576779932501</v>
      </c>
      <c r="PD30" s="970">
        <v>46.43346405228759</v>
      </c>
      <c r="PE30" s="970">
        <v>3.336636848699698</v>
      </c>
      <c r="PF30" s="970">
        <v>45.95100326797386</v>
      </c>
      <c r="PG30" s="971">
        <v>80.158614212137948</v>
      </c>
      <c r="PH30" s="969">
        <v>30.49728758169935</v>
      </c>
      <c r="PI30" s="970">
        <v>3.2305354650466791</v>
      </c>
      <c r="PJ30" s="970">
        <v>21.766192810457518</v>
      </c>
      <c r="PK30" s="970">
        <v>16.544974265203113</v>
      </c>
      <c r="PL30" s="970">
        <v>23.594281045751636</v>
      </c>
      <c r="PM30" s="970">
        <v>2.9311089857815276</v>
      </c>
      <c r="PN30" s="970">
        <v>16.788026143790852</v>
      </c>
      <c r="PO30" s="970">
        <v>8.7813969772413056</v>
      </c>
      <c r="PP30" s="970">
        <v>0</v>
      </c>
      <c r="PQ30" s="970">
        <v>0</v>
      </c>
      <c r="PR30" s="970">
        <v>61.397669934640533</v>
      </c>
      <c r="PS30" s="971">
        <v>125.64504773124983</v>
      </c>
      <c r="PT30" s="969">
        <v>32.129202300653603</v>
      </c>
      <c r="PU30" s="970">
        <v>13.458256929225247</v>
      </c>
      <c r="PV30" s="970">
        <v>17.047918300653599</v>
      </c>
      <c r="PW30" s="970">
        <v>9.7723744528916843</v>
      </c>
      <c r="PX30" s="970">
        <v>26.255246692810459</v>
      </c>
      <c r="PY30" s="970">
        <v>11.273317939393705</v>
      </c>
      <c r="PZ30" s="970">
        <v>13.096418300653596</v>
      </c>
      <c r="QA30" s="970">
        <v>5.2520423623997745</v>
      </c>
      <c r="QB30" s="970">
        <v>49.303871895424841</v>
      </c>
      <c r="QC30" s="970">
        <v>3.6597516742006654E-2</v>
      </c>
      <c r="QD30" s="970">
        <v>48.67688562091503</v>
      </c>
      <c r="QE30" s="971">
        <v>85.001472641935607</v>
      </c>
      <c r="QF30" s="969">
        <v>32.861714980392165</v>
      </c>
      <c r="QG30" s="970">
        <v>13.360007306589953</v>
      </c>
      <c r="QH30" s="970">
        <v>16.767068627450982</v>
      </c>
      <c r="QI30" s="970">
        <v>12.822272859365331</v>
      </c>
      <c r="QJ30" s="970">
        <v>25.318535372549025</v>
      </c>
      <c r="QK30" s="970">
        <v>11.076649815511351</v>
      </c>
      <c r="QL30" s="970">
        <v>12.876679738562093</v>
      </c>
      <c r="QM30" s="970">
        <v>7.549227522191484</v>
      </c>
      <c r="QN30" s="970">
        <v>49.933466666666675</v>
      </c>
      <c r="QO30" s="970">
        <v>0.30047099689886875</v>
      </c>
      <c r="QP30" s="970">
        <v>47.919696078431372</v>
      </c>
      <c r="QQ30" s="971">
        <v>94.655476725751384</v>
      </c>
      <c r="QR30" s="969">
        <v>22.690000000000005</v>
      </c>
      <c r="QS30" s="970">
        <v>1.0863224176107422</v>
      </c>
      <c r="QT30" s="970">
        <v>18.90152614379085</v>
      </c>
      <c r="QU30" s="970">
        <v>11.794990072631938</v>
      </c>
      <c r="QV30" s="970">
        <v>20.089052287581701</v>
      </c>
      <c r="QW30" s="970">
        <v>1.1973796233975254</v>
      </c>
      <c r="QX30" s="970">
        <v>14.546692810457518</v>
      </c>
      <c r="QY30" s="970">
        <v>5.3944626680262884</v>
      </c>
      <c r="QZ30" s="970">
        <v>0</v>
      </c>
      <c r="RA30" s="970">
        <v>0</v>
      </c>
      <c r="RB30" s="970">
        <v>53.674336601307196</v>
      </c>
      <c r="RC30" s="971">
        <v>127.97766877027749</v>
      </c>
      <c r="RD30" s="969">
        <v>32.144266196078433</v>
      </c>
      <c r="RE30" s="970">
        <v>14.371325585695837</v>
      </c>
      <c r="RF30" s="970">
        <v>16.991748366013073</v>
      </c>
      <c r="RG30" s="970">
        <v>11.365112550212256</v>
      </c>
      <c r="RH30" s="970">
        <v>26.937517071895428</v>
      </c>
      <c r="RI30" s="970">
        <v>11.860552411942725</v>
      </c>
      <c r="RJ30" s="970">
        <v>13.052470588235295</v>
      </c>
      <c r="RK30" s="970">
        <v>6.3708719791713673</v>
      </c>
      <c r="RL30" s="970">
        <v>49.158650980392153</v>
      </c>
      <c r="RM30" s="970">
        <v>0.75973160195460054</v>
      </c>
      <c r="RN30" s="970">
        <v>48.525447712418298</v>
      </c>
      <c r="RO30" s="971">
        <v>90.25901869270669</v>
      </c>
      <c r="RP30" s="969">
        <v>31.910762143790855</v>
      </c>
      <c r="RQ30" s="970">
        <v>13.693829307923286</v>
      </c>
      <c r="RR30" s="970">
        <v>16.879408496732026</v>
      </c>
      <c r="RS30" s="970">
        <v>10.843158550297417</v>
      </c>
      <c r="RT30" s="970">
        <v>24.607144366013074</v>
      </c>
      <c r="RU30" s="970">
        <v>11.344029682374098</v>
      </c>
      <c r="RV30" s="970">
        <v>12.964575163398694</v>
      </c>
      <c r="RW30" s="970">
        <v>5.980942292102406</v>
      </c>
      <c r="RX30" s="970">
        <v>47.991369934640524</v>
      </c>
      <c r="RY30" s="970">
        <v>0.27596119297729971</v>
      </c>
      <c r="RZ30" s="970">
        <v>48.222571895424842</v>
      </c>
      <c r="SA30" s="971">
        <v>88.999439770117746</v>
      </c>
    </row>
    <row r="31" spans="1:495">
      <c r="A31" s="966">
        <f>[3]Eingabedaten!A33</f>
        <v>8.02</v>
      </c>
      <c r="B31" s="169" t="str">
        <f>[3]Eingabedaten!C33</f>
        <v xml:space="preserve">Stationszimmer </v>
      </c>
      <c r="C31" s="987">
        <f t="shared" si="1"/>
        <v>25</v>
      </c>
      <c r="D31" s="954" cm="1">
        <f t="array" ref="D31">INDEX($P$7:$SA$51,$C31,$G$3-1+D$2)</f>
        <v>64.635112156862746</v>
      </c>
      <c r="E31" s="955" cm="1">
        <f t="array" ref="E31">INDEX($P$7:$SA$51,$C31,$G$3-1+E$2)</f>
        <v>73.031712842168758</v>
      </c>
      <c r="F31" s="955" cm="1">
        <f t="array" ref="F31">INDEX($P$7:$SA$51,$C31,$G$3-1+F$2)</f>
        <v>16.381850980392155</v>
      </c>
      <c r="G31" s="955" cm="1">
        <f t="array" ref="G31">INDEX($P$7:$SA$51,$C31,$G$3-1+G$2)</f>
        <v>1.1928599041939563</v>
      </c>
      <c r="H31" s="955" cm="1">
        <f t="array" ref="H31">INDEX($P$7:$SA$51,$C31,$G$3-1+H$2)</f>
        <v>52.623214117647059</v>
      </c>
      <c r="I31" s="955" cm="1">
        <f t="array" ref="I31">INDEX($P$7:$SA$51,$C31,$G$3-1+I$2)</f>
        <v>49.281036093192292</v>
      </c>
      <c r="J31" s="955" cm="1">
        <f t="array" ref="J31">INDEX($P$7:$SA$51,$C31,$G$3-1+J$2)</f>
        <v>13.186000000000002</v>
      </c>
      <c r="K31" s="955" cm="1">
        <f t="array" ref="K31">INDEX($P$7:$SA$51,$C31,$G$3-1+K$2)</f>
        <v>1.1676841081240208</v>
      </c>
      <c r="L31" s="955" cm="1">
        <f t="array" ref="L31">INDEX($P$7:$SA$51,$C31,$G$3-1+L$2)</f>
        <v>90.611717647058825</v>
      </c>
      <c r="M31" s="955" cm="1">
        <f t="array" ref="M31">INDEX($P$7:$SA$51,$C31,$G$3-1+M$2)</f>
        <v>17.434127401163078</v>
      </c>
      <c r="N31" s="955" cm="1">
        <f t="array" ref="N31">INDEX($P$7:$SA$51,$C31,$G$3-1+N$2)</f>
        <v>39.846490196078435</v>
      </c>
      <c r="O31" s="956" cm="1">
        <f t="array" ref="O31">INDEX($P$7:$SA$51,$C31,$G$3-1+O$2)</f>
        <v>68.162783189850344</v>
      </c>
      <c r="P31" s="969">
        <v>42.989819607843152</v>
      </c>
      <c r="Q31" s="970">
        <v>45.92979455347384</v>
      </c>
      <c r="R31" s="970">
        <v>17.904756862745096</v>
      </c>
      <c r="S31" s="970">
        <v>1.272761392547441</v>
      </c>
      <c r="T31" s="970">
        <v>35.660454901960783</v>
      </c>
      <c r="U31" s="970">
        <v>28.671610813830856</v>
      </c>
      <c r="V31" s="970">
        <v>14.435200000000002</v>
      </c>
      <c r="W31" s="970">
        <v>1.0609321499056978</v>
      </c>
      <c r="X31" s="970">
        <v>0</v>
      </c>
      <c r="Y31" s="970">
        <v>0</v>
      </c>
      <c r="Z31" s="970">
        <v>43.35543137254902</v>
      </c>
      <c r="AA31" s="971">
        <v>85.316273382849133</v>
      </c>
      <c r="AB31" s="969">
        <v>62.430528627450983</v>
      </c>
      <c r="AC31" s="970">
        <v>75.076725317316971</v>
      </c>
      <c r="AD31" s="970">
        <v>15.253772549019608</v>
      </c>
      <c r="AE31" s="970">
        <v>1.0088051613512106</v>
      </c>
      <c r="AF31" s="970">
        <v>56.713618823529409</v>
      </c>
      <c r="AG31" s="970">
        <v>50.846771933237662</v>
      </c>
      <c r="AH31" s="970">
        <v>12.260666666666667</v>
      </c>
      <c r="AI31" s="970">
        <v>1.013492769383133</v>
      </c>
      <c r="AJ31" s="970">
        <v>82.661819607843142</v>
      </c>
      <c r="AK31" s="970">
        <v>18.644224632080082</v>
      </c>
      <c r="AL31" s="970">
        <v>37.247274509803923</v>
      </c>
      <c r="AM31" s="971">
        <v>63.778537530555475</v>
      </c>
      <c r="AN31" s="969">
        <v>58.412699607843145</v>
      </c>
      <c r="AO31" s="970">
        <v>69.77535909612331</v>
      </c>
      <c r="AP31" s="970">
        <v>15.310176470588235</v>
      </c>
      <c r="AQ31" s="970">
        <v>1.3650082200012352</v>
      </c>
      <c r="AR31" s="970">
        <v>48.542715294117649</v>
      </c>
      <c r="AS31" s="970">
        <v>47.17942082018368</v>
      </c>
      <c r="AT31" s="970">
        <v>12.306933333333335</v>
      </c>
      <c r="AU31" s="970">
        <v>1.4666934491370487</v>
      </c>
      <c r="AV31" s="970">
        <v>87.542635294117645</v>
      </c>
      <c r="AW31" s="970">
        <v>14.022345889749717</v>
      </c>
      <c r="AX31" s="970">
        <v>37.377235294117654</v>
      </c>
      <c r="AY31" s="971">
        <v>70.961037253870884</v>
      </c>
      <c r="AZ31" s="969">
        <v>70.882126274509815</v>
      </c>
      <c r="BA31" s="970">
        <v>81.209596006824555</v>
      </c>
      <c r="BB31" s="970">
        <v>15.817811764705883</v>
      </c>
      <c r="BC31" s="970">
        <v>0.73688520219851417</v>
      </c>
      <c r="BD31" s="970">
        <v>57.358428235294127</v>
      </c>
      <c r="BE31" s="970">
        <v>55.152791056444762</v>
      </c>
      <c r="BF31" s="970">
        <v>12.723333333333334</v>
      </c>
      <c r="BG31" s="970">
        <v>0.73059377666362812</v>
      </c>
      <c r="BH31" s="970">
        <v>103.9010823529412</v>
      </c>
      <c r="BI31" s="970">
        <v>23.624610717540204</v>
      </c>
      <c r="BJ31" s="970">
        <v>38.546882352941182</v>
      </c>
      <c r="BK31" s="971">
        <v>57.219210665590779</v>
      </c>
      <c r="BL31" s="969">
        <v>67.51659921568627</v>
      </c>
      <c r="BM31" s="970">
        <v>72.171650568612293</v>
      </c>
      <c r="BN31" s="970">
        <v>16.325447058823528</v>
      </c>
      <c r="BO31" s="970">
        <v>1.3089997101610069</v>
      </c>
      <c r="BP31" s="970">
        <v>54.837454117647056</v>
      </c>
      <c r="BQ31" s="970">
        <v>48.690182052994864</v>
      </c>
      <c r="BR31" s="970">
        <v>13.139733333333334</v>
      </c>
      <c r="BS31" s="970">
        <v>1.2552188564231055</v>
      </c>
      <c r="BT31" s="970">
        <v>97.222447058823519</v>
      </c>
      <c r="BU31" s="970">
        <v>17.414201224918113</v>
      </c>
      <c r="BV31" s="970">
        <v>39.716529411764711</v>
      </c>
      <c r="BW31" s="971">
        <v>70.414211506728336</v>
      </c>
      <c r="BX31" s="969">
        <v>60.87624392156863</v>
      </c>
      <c r="BY31" s="970">
        <v>73.414438464533305</v>
      </c>
      <c r="BZ31" s="970">
        <v>16.156235294117646</v>
      </c>
      <c r="CA31" s="970">
        <v>1.4718111802852996</v>
      </c>
      <c r="CB31" s="970">
        <v>50.211369411764714</v>
      </c>
      <c r="CC31" s="970">
        <v>49.781155207044016</v>
      </c>
      <c r="CD31" s="970">
        <v>13.000933333333336</v>
      </c>
      <c r="CE31" s="970">
        <v>1.5280931801367652</v>
      </c>
      <c r="CF31" s="970">
        <v>89.606964705882376</v>
      </c>
      <c r="CG31" s="970">
        <v>19.066446731277509</v>
      </c>
      <c r="CH31" s="970">
        <v>39.326647058823532</v>
      </c>
      <c r="CI31" s="971">
        <v>72.04735280732433</v>
      </c>
      <c r="CJ31" s="969">
        <v>56.178874509803919</v>
      </c>
      <c r="CK31" s="970">
        <v>72.739719862232377</v>
      </c>
      <c r="CL31" s="970">
        <v>16.212639215686274</v>
      </c>
      <c r="CM31" s="970">
        <v>0.88282053597350529</v>
      </c>
      <c r="CN31" s="970">
        <v>46.700070588235299</v>
      </c>
      <c r="CO31" s="970">
        <v>49.026095505131281</v>
      </c>
      <c r="CP31" s="970">
        <v>13.0472</v>
      </c>
      <c r="CQ31" s="970">
        <v>0.81827498984943037</v>
      </c>
      <c r="CR31" s="970">
        <v>80.40211764705883</v>
      </c>
      <c r="CS31" s="970">
        <v>15.254692390449144</v>
      </c>
      <c r="CT31" s="970">
        <v>39.456607843137256</v>
      </c>
      <c r="CU31" s="971">
        <v>62.336981670681702</v>
      </c>
      <c r="CV31" s="969">
        <v>39.334768627450991</v>
      </c>
      <c r="CW31" s="970">
        <v>39.298810719028609</v>
      </c>
      <c r="CX31" s="970">
        <v>19.540470588235294</v>
      </c>
      <c r="CY31" s="970">
        <v>2.4190688080392881</v>
      </c>
      <c r="CZ31" s="970">
        <v>29.766219607843141</v>
      </c>
      <c r="DA31" s="970">
        <v>23.794257583403784</v>
      </c>
      <c r="DB31" s="970">
        <v>15.776933333333336</v>
      </c>
      <c r="DC31" s="970">
        <v>1.8861692372798315</v>
      </c>
      <c r="DD31" s="970">
        <v>0</v>
      </c>
      <c r="DE31" s="970">
        <v>0</v>
      </c>
      <c r="DF31" s="970">
        <v>47.124294117647061</v>
      </c>
      <c r="DG31" s="971">
        <v>103.50757472136824</v>
      </c>
      <c r="DH31" s="969">
        <v>53.635467450980386</v>
      </c>
      <c r="DI31" s="970">
        <v>52.81123632825998</v>
      </c>
      <c r="DJ31" s="970">
        <v>17.62273725490196</v>
      </c>
      <c r="DK31" s="970">
        <v>1.1238338738827736</v>
      </c>
      <c r="DL31" s="970">
        <v>44.649298823529413</v>
      </c>
      <c r="DM31" s="970">
        <v>33.816459268631448</v>
      </c>
      <c r="DN31" s="970">
        <v>14.203866666666668</v>
      </c>
      <c r="DO31" s="970">
        <v>0.93473727411739593</v>
      </c>
      <c r="DP31" s="970">
        <v>73.027199999999993</v>
      </c>
      <c r="DQ31" s="970">
        <v>1.0947422946729053</v>
      </c>
      <c r="DR31" s="970">
        <v>42.705627450980401</v>
      </c>
      <c r="DS31" s="971">
        <v>77.747836386588901</v>
      </c>
      <c r="DT31" s="969">
        <v>53.69054792156863</v>
      </c>
      <c r="DU31" s="970">
        <v>49.491771923595671</v>
      </c>
      <c r="DV31" s="970">
        <v>18.468796078431374</v>
      </c>
      <c r="DW31" s="970">
        <v>2.9745764554003795</v>
      </c>
      <c r="DX31" s="970">
        <v>43.425383529411761</v>
      </c>
      <c r="DY31" s="970">
        <v>31.718801926578649</v>
      </c>
      <c r="DZ31" s="970">
        <v>14.897866666666669</v>
      </c>
      <c r="EA31" s="970">
        <v>2.8933545402894785</v>
      </c>
      <c r="EB31" s="970">
        <v>0</v>
      </c>
      <c r="EC31" s="970">
        <v>0</v>
      </c>
      <c r="ED31" s="970">
        <v>44.655039215686273</v>
      </c>
      <c r="EE31" s="971">
        <v>98.427591704992821</v>
      </c>
      <c r="EF31" s="969">
        <v>69.467065098039214</v>
      </c>
      <c r="EG31" s="970">
        <v>84.035690861535954</v>
      </c>
      <c r="EH31" s="970">
        <v>14.52052156862745</v>
      </c>
      <c r="EI31" s="970">
        <v>0.70700872344607324</v>
      </c>
      <c r="EJ31" s="970">
        <v>56.464696470588237</v>
      </c>
      <c r="EK31" s="970">
        <v>57.218702457673601</v>
      </c>
      <c r="EL31" s="970">
        <v>11.6592</v>
      </c>
      <c r="EM31" s="970">
        <v>0.69769099128264656</v>
      </c>
      <c r="EN31" s="970">
        <v>103.75030588235295</v>
      </c>
      <c r="EO31" s="970">
        <v>27.732518142654513</v>
      </c>
      <c r="EP31" s="970">
        <v>35.557784313725492</v>
      </c>
      <c r="EQ31" s="971">
        <v>55.447414841577014</v>
      </c>
      <c r="ER31" s="969">
        <v>55.435963137254902</v>
      </c>
      <c r="ES31" s="970">
        <v>62.700901833849983</v>
      </c>
      <c r="ET31" s="970">
        <v>16.776678431372549</v>
      </c>
      <c r="EU31" s="970">
        <v>2.441988155662401</v>
      </c>
      <c r="EV31" s="970">
        <v>46.099529411764713</v>
      </c>
      <c r="EW31" s="970">
        <v>42.026054797555695</v>
      </c>
      <c r="EX31" s="970">
        <v>13.509866666666667</v>
      </c>
      <c r="EY31" s="970">
        <v>2.5533350380426931</v>
      </c>
      <c r="EZ31" s="970">
        <v>78.291764705882343</v>
      </c>
      <c r="FA31" s="970">
        <v>9.7609349057883872</v>
      </c>
      <c r="FB31" s="970">
        <v>40.756215686274516</v>
      </c>
      <c r="FC31" s="971">
        <v>88.357062756499829</v>
      </c>
      <c r="FD31" s="969">
        <v>31.424603921568629</v>
      </c>
      <c r="FE31" s="970">
        <v>23.441170176797829</v>
      </c>
      <c r="FF31" s="970">
        <v>20.837760784313723</v>
      </c>
      <c r="FG31" s="970">
        <v>4.658797223505859</v>
      </c>
      <c r="FH31" s="970">
        <v>20.745639215686275</v>
      </c>
      <c r="FI31" s="970">
        <v>12.446405598017918</v>
      </c>
      <c r="FJ31" s="970">
        <v>16.84106666666667</v>
      </c>
      <c r="FK31" s="970">
        <v>3.724170325898466</v>
      </c>
      <c r="FL31" s="970">
        <v>0</v>
      </c>
      <c r="FM31" s="970">
        <v>0</v>
      </c>
      <c r="FN31" s="970">
        <v>50.113392156862744</v>
      </c>
      <c r="FO31" s="971">
        <v>132.06561757769447</v>
      </c>
      <c r="FP31" s="969">
        <v>63.599740392156875</v>
      </c>
      <c r="FQ31" s="970">
        <v>71.566174442908178</v>
      </c>
      <c r="FR31" s="970">
        <v>16.099831372549019</v>
      </c>
      <c r="FS31" s="970">
        <v>1.5448436039333311</v>
      </c>
      <c r="FT31" s="970">
        <v>51.844654117647067</v>
      </c>
      <c r="FU31" s="970">
        <v>48.251196004239823</v>
      </c>
      <c r="FV31" s="970">
        <v>12.954666666666668</v>
      </c>
      <c r="FW31" s="970">
        <v>1.5805696290125744</v>
      </c>
      <c r="FX31" s="970">
        <v>88.509035294117666</v>
      </c>
      <c r="FY31" s="970">
        <v>17.055693881788383</v>
      </c>
      <c r="FZ31" s="970">
        <v>39.196686274509808</v>
      </c>
      <c r="GA31" s="971">
        <v>73.719460703361051</v>
      </c>
      <c r="GB31" s="969">
        <v>57.734150588235302</v>
      </c>
      <c r="GC31" s="970">
        <v>67.02851278029317</v>
      </c>
      <c r="GD31" s="970">
        <v>16.099831372549019</v>
      </c>
      <c r="GE31" s="970">
        <v>1.6772748353582987</v>
      </c>
      <c r="GF31" s="970">
        <v>47.40789176470588</v>
      </c>
      <c r="GG31" s="970">
        <v>44.951068062181015</v>
      </c>
      <c r="GH31" s="970">
        <v>12.954666666666668</v>
      </c>
      <c r="GI31" s="970">
        <v>1.6347368324255591</v>
      </c>
      <c r="GJ31" s="970">
        <v>76.180282352941177</v>
      </c>
      <c r="GK31" s="970">
        <v>12.608984855603055</v>
      </c>
      <c r="GL31" s="970">
        <v>39.196686274509808</v>
      </c>
      <c r="GM31" s="971">
        <v>77.101210480379621</v>
      </c>
      <c r="GN31" s="969">
        <v>59.613314509803928</v>
      </c>
      <c r="GO31" s="970">
        <v>53.42835485901454</v>
      </c>
      <c r="GP31" s="970">
        <v>17.509929411764706</v>
      </c>
      <c r="GQ31" s="970">
        <v>1.4627346380099204</v>
      </c>
      <c r="GR31" s="970">
        <v>48.724145882352929</v>
      </c>
      <c r="GS31" s="970">
        <v>34.302656377029891</v>
      </c>
      <c r="GT31" s="970">
        <v>14.111333333333334</v>
      </c>
      <c r="GU31" s="970">
        <v>1.2753549637186776</v>
      </c>
      <c r="GV31" s="970">
        <v>78.449082352941161</v>
      </c>
      <c r="GW31" s="970">
        <v>2.1290452860347031</v>
      </c>
      <c r="GX31" s="970">
        <v>42.445705882352939</v>
      </c>
      <c r="GY31" s="971">
        <v>83.142504837062646</v>
      </c>
      <c r="GZ31" s="969">
        <v>53.994745098039218</v>
      </c>
      <c r="HA31" s="970">
        <v>47.66829146772622</v>
      </c>
      <c r="HB31" s="970">
        <v>17.566333333333333</v>
      </c>
      <c r="HC31" s="970">
        <v>2.1645944748789443</v>
      </c>
      <c r="HD31" s="970">
        <v>43.49494117647059</v>
      </c>
      <c r="HE31" s="970">
        <v>30.379303841812323</v>
      </c>
      <c r="HF31" s="970">
        <v>14.157600000000002</v>
      </c>
      <c r="HG31" s="970">
        <v>2.0244987130982146</v>
      </c>
      <c r="HH31" s="970">
        <v>0</v>
      </c>
      <c r="HI31" s="970">
        <v>0</v>
      </c>
      <c r="HJ31" s="970">
        <v>42.57566666666667</v>
      </c>
      <c r="HK31" s="971">
        <v>96.362396048738148</v>
      </c>
      <c r="HL31" s="969">
        <v>60.519847843137264</v>
      </c>
      <c r="HM31" s="970">
        <v>96.300044650885269</v>
      </c>
      <c r="HN31" s="970">
        <v>12.884807843137256</v>
      </c>
      <c r="HO31" s="970">
        <v>0.24733814938637524</v>
      </c>
      <c r="HP31" s="970">
        <v>49.501698823529416</v>
      </c>
      <c r="HQ31" s="970">
        <v>65.475323074306502</v>
      </c>
      <c r="HR31" s="970">
        <v>10.317466666666668</v>
      </c>
      <c r="HS31" s="970">
        <v>0.22820325444248668</v>
      </c>
      <c r="HT31" s="970">
        <v>81.822729411764712</v>
      </c>
      <c r="HU31" s="970">
        <v>38.486598576382157</v>
      </c>
      <c r="HV31" s="970">
        <v>31.788921568627455</v>
      </c>
      <c r="HW31" s="971">
        <v>38.815150009543721</v>
      </c>
      <c r="HX31" s="969">
        <v>61.697169411764705</v>
      </c>
      <c r="HY31" s="970">
        <v>97.75920651531041</v>
      </c>
      <c r="HZ31" s="970">
        <v>12.602788235294117</v>
      </c>
      <c r="IA31" s="970">
        <v>0.22225147414843333</v>
      </c>
      <c r="IB31" s="970">
        <v>50.277628235294124</v>
      </c>
      <c r="IC31" s="970">
        <v>66.58823593803335</v>
      </c>
      <c r="ID31" s="970">
        <v>10.086133333333335</v>
      </c>
      <c r="IE31" s="970">
        <v>0.20016197945634781</v>
      </c>
      <c r="IF31" s="970">
        <v>82.465317647058825</v>
      </c>
      <c r="IG31" s="970">
        <v>40.890161760362808</v>
      </c>
      <c r="IH31" s="970">
        <v>31.139117647058825</v>
      </c>
      <c r="II31" s="971">
        <v>37.237508103785274</v>
      </c>
      <c r="IJ31" s="969">
        <v>63.028471372549021</v>
      </c>
      <c r="IK31" s="970">
        <v>72.393698234819851</v>
      </c>
      <c r="IL31" s="970">
        <v>15.761407843137254</v>
      </c>
      <c r="IM31" s="970">
        <v>1.3918862400662468</v>
      </c>
      <c r="IN31" s="970">
        <v>51.488616470588234</v>
      </c>
      <c r="IO31" s="970">
        <v>49.010213664948935</v>
      </c>
      <c r="IP31" s="970">
        <v>12.677066666666667</v>
      </c>
      <c r="IQ31" s="970">
        <v>1.4258606263714428</v>
      </c>
      <c r="IR31" s="970">
        <v>88.524376470588237</v>
      </c>
      <c r="IS31" s="970">
        <v>17.96515229966429</v>
      </c>
      <c r="IT31" s="970">
        <v>38.416921568627451</v>
      </c>
      <c r="IU31" s="971">
        <v>70.826804936270548</v>
      </c>
      <c r="IV31" s="969">
        <v>57.417742745098039</v>
      </c>
      <c r="IW31" s="970">
        <v>91.184897765931964</v>
      </c>
      <c r="IX31" s="970">
        <v>13.843674509803922</v>
      </c>
      <c r="IY31" s="970">
        <v>0.60379299803652253</v>
      </c>
      <c r="IZ31" s="970">
        <v>47.311915294117654</v>
      </c>
      <c r="JA31" s="970">
        <v>63.009864291379415</v>
      </c>
      <c r="JB31" s="970">
        <v>11.104000000000001</v>
      </c>
      <c r="JC31" s="970">
        <v>0.56049827088405768</v>
      </c>
      <c r="JD31" s="970">
        <v>80.992141176470582</v>
      </c>
      <c r="JE31" s="970">
        <v>38.546722977884166</v>
      </c>
      <c r="JF31" s="970">
        <v>33.998254901960792</v>
      </c>
      <c r="JG31" s="971">
        <v>50.398775972011215</v>
      </c>
      <c r="JH31" s="969">
        <v>52.92174117647059</v>
      </c>
      <c r="JI31" s="970">
        <v>52.955998633837744</v>
      </c>
      <c r="JJ31" s="970">
        <v>17.566333333333333</v>
      </c>
      <c r="JK31" s="970">
        <v>0.99848760944616366</v>
      </c>
      <c r="JL31" s="970">
        <v>43.171905882352938</v>
      </c>
      <c r="JM31" s="970">
        <v>33.452190895766826</v>
      </c>
      <c r="JN31" s="970">
        <v>14.157600000000002</v>
      </c>
      <c r="JO31" s="970">
        <v>0.78021718701468623</v>
      </c>
      <c r="JP31" s="970">
        <v>68.090635294117646</v>
      </c>
      <c r="JQ31" s="970">
        <v>0.8594159746406641</v>
      </c>
      <c r="JR31" s="970">
        <v>42.57566666666667</v>
      </c>
      <c r="JS31" s="971">
        <v>75.368384369439767</v>
      </c>
      <c r="JT31" s="969">
        <v>54.483810196078437</v>
      </c>
      <c r="JU31" s="970">
        <v>77.610667295099077</v>
      </c>
      <c r="JV31" s="970">
        <v>15.197368627450979</v>
      </c>
      <c r="JW31" s="970">
        <v>1.0504976027513551</v>
      </c>
      <c r="JX31" s="970">
        <v>45.112225882352938</v>
      </c>
      <c r="JY31" s="970">
        <v>52.864913505546284</v>
      </c>
      <c r="JZ31" s="970">
        <v>12.214399999999999</v>
      </c>
      <c r="KA31" s="970">
        <v>1.0892159472253145</v>
      </c>
      <c r="KB31" s="970">
        <v>71.952658823529418</v>
      </c>
      <c r="KC31" s="970">
        <v>22.393910961698143</v>
      </c>
      <c r="KD31" s="970">
        <v>37.117313725490199</v>
      </c>
      <c r="KE31" s="971">
        <v>63.985720966521384</v>
      </c>
      <c r="KF31" s="969">
        <v>68.795996078431372</v>
      </c>
      <c r="KG31" s="970">
        <v>74.64072656463614</v>
      </c>
      <c r="KH31" s="970">
        <v>15.930619607843138</v>
      </c>
      <c r="KI31" s="970">
        <v>1.2874367363759098</v>
      </c>
      <c r="KJ31" s="970">
        <v>55.842329411764709</v>
      </c>
      <c r="KK31" s="970">
        <v>50.495044190150381</v>
      </c>
      <c r="KL31" s="970">
        <v>12.815866666666668</v>
      </c>
      <c r="KM31" s="970">
        <v>1.2735213948411177</v>
      </c>
      <c r="KN31" s="970">
        <v>100.50517647058824</v>
      </c>
      <c r="KO31" s="970">
        <v>19.366147350526504</v>
      </c>
      <c r="KP31" s="970">
        <v>38.80680392156863</v>
      </c>
      <c r="KQ31" s="971">
        <v>68.434914670038509</v>
      </c>
      <c r="KR31" s="969">
        <v>55.641925490196073</v>
      </c>
      <c r="KS31" s="970">
        <v>59.615599619590192</v>
      </c>
      <c r="KT31" s="970">
        <v>16.212639215686274</v>
      </c>
      <c r="KU31" s="970">
        <v>2.7806044598818915</v>
      </c>
      <c r="KV31" s="970">
        <v>47.36814117647058</v>
      </c>
      <c r="KW31" s="970">
        <v>39.553647460678178</v>
      </c>
      <c r="KX31" s="970">
        <v>13.0472</v>
      </c>
      <c r="KY31" s="970">
        <v>2.8667443198147016</v>
      </c>
      <c r="KZ31" s="970">
        <v>73.362933333333345</v>
      </c>
      <c r="LA31" s="970">
        <v>7.3879525416479215</v>
      </c>
      <c r="LB31" s="970">
        <v>39.456607843137256</v>
      </c>
      <c r="LC31" s="971">
        <v>88.525646871299685</v>
      </c>
      <c r="LD31" s="969">
        <v>66.012574117647063</v>
      </c>
      <c r="LE31" s="970">
        <v>85.998936586933198</v>
      </c>
      <c r="LF31" s="970">
        <v>14.576925490196079</v>
      </c>
      <c r="LG31" s="970">
        <v>0.5531877899829597</v>
      </c>
      <c r="LH31" s="970">
        <v>53.711138823529403</v>
      </c>
      <c r="LI31" s="970">
        <v>58.316905002629291</v>
      </c>
      <c r="LJ31" s="970">
        <v>11.705466666666668</v>
      </c>
      <c r="LK31" s="970">
        <v>0.54444742719763761</v>
      </c>
      <c r="LL31" s="970">
        <v>94.242399999999989</v>
      </c>
      <c r="LM31" s="970">
        <v>28.518451073342668</v>
      </c>
      <c r="LN31" s="970">
        <v>35.687745098039223</v>
      </c>
      <c r="LO31" s="971">
        <v>51.469149248490766</v>
      </c>
      <c r="LP31" s="969">
        <v>44.074176470588242</v>
      </c>
      <c r="LQ31" s="970">
        <v>53.831501312407603</v>
      </c>
      <c r="LR31" s="970">
        <v>16.55106274509804</v>
      </c>
      <c r="LS31" s="970">
        <v>1.8535333521220594</v>
      </c>
      <c r="LT31" s="970">
        <v>35.943882352941174</v>
      </c>
      <c r="LU31" s="970">
        <v>34.959967278478345</v>
      </c>
      <c r="LV31" s="970">
        <v>13.324800000000002</v>
      </c>
      <c r="LW31" s="970">
        <v>1.6668110477856102</v>
      </c>
      <c r="LX31" s="970">
        <v>56.016988235294122</v>
      </c>
      <c r="LY31" s="970">
        <v>2.5222168901475168</v>
      </c>
      <c r="LZ31" s="970">
        <v>40.236372549019613</v>
      </c>
      <c r="MA31" s="971">
        <v>87.047168016827172</v>
      </c>
      <c r="MB31" s="969">
        <v>65.476088627450991</v>
      </c>
      <c r="MC31" s="970">
        <v>70.060827922896252</v>
      </c>
      <c r="MD31" s="970">
        <v>16.720274509803922</v>
      </c>
      <c r="ME31" s="970">
        <v>1.4260341473578542</v>
      </c>
      <c r="MF31" s="970">
        <v>53.418955294117644</v>
      </c>
      <c r="MG31" s="970">
        <v>46.976138687837718</v>
      </c>
      <c r="MH31" s="970">
        <v>13.463600000000003</v>
      </c>
      <c r="MI31" s="970">
        <v>1.4422334817396749</v>
      </c>
      <c r="MJ31" s="970">
        <v>94.931011764705886</v>
      </c>
      <c r="MK31" s="970">
        <v>15.037102188695718</v>
      </c>
      <c r="ML31" s="970">
        <v>40.626254901960792</v>
      </c>
      <c r="MM31" s="971">
        <v>72.698092612366992</v>
      </c>
      <c r="MN31" s="969">
        <v>46.984011764705883</v>
      </c>
      <c r="MO31" s="970">
        <v>36.878749811614917</v>
      </c>
      <c r="MP31" s="970">
        <v>22.078647058823531</v>
      </c>
      <c r="MQ31" s="970">
        <v>4.5444911157729617</v>
      </c>
      <c r="MR31" s="970">
        <v>35.863952941176471</v>
      </c>
      <c r="MS31" s="970">
        <v>21.688150222755112</v>
      </c>
      <c r="MT31" s="970">
        <v>17.858933333333336</v>
      </c>
      <c r="MU31" s="970">
        <v>3.3788669393422448</v>
      </c>
      <c r="MV31" s="970">
        <v>0</v>
      </c>
      <c r="MW31" s="970">
        <v>0</v>
      </c>
      <c r="MX31" s="970">
        <v>52.972529411764711</v>
      </c>
      <c r="MY31" s="971">
        <v>124.39047732112689</v>
      </c>
      <c r="MZ31" s="969">
        <v>44.04887058823531</v>
      </c>
      <c r="NA31" s="970">
        <v>35.986984277198907</v>
      </c>
      <c r="NB31" s="970">
        <v>18.299584313725489</v>
      </c>
      <c r="NC31" s="970">
        <v>2.926927870571999</v>
      </c>
      <c r="ND31" s="970">
        <v>33.594517647058829</v>
      </c>
      <c r="NE31" s="970">
        <v>21.402479166964362</v>
      </c>
      <c r="NF31" s="970">
        <v>14.759066666666667</v>
      </c>
      <c r="NG31" s="970">
        <v>2.5063420311856017</v>
      </c>
      <c r="NH31" s="970">
        <v>0</v>
      </c>
      <c r="NI31" s="970">
        <v>0</v>
      </c>
      <c r="NJ31" s="970">
        <v>44.265156862745094</v>
      </c>
      <c r="NK31" s="971">
        <v>112.74142120362397</v>
      </c>
      <c r="NL31" s="969">
        <v>63.854317647058821</v>
      </c>
      <c r="NM31" s="970">
        <v>64.891454842831138</v>
      </c>
      <c r="NN31" s="970">
        <v>17.397121568627451</v>
      </c>
      <c r="NO31" s="970">
        <v>1.4698116596351736</v>
      </c>
      <c r="NP31" s="970">
        <v>52.304258823529409</v>
      </c>
      <c r="NQ31" s="970">
        <v>43.022513303002924</v>
      </c>
      <c r="NR31" s="970">
        <v>14.018800000000002</v>
      </c>
      <c r="NS31" s="970">
        <v>1.4132807833161243</v>
      </c>
      <c r="NT31" s="970">
        <v>78.902164705882342</v>
      </c>
      <c r="NU31" s="970">
        <v>9.8185079797029715</v>
      </c>
      <c r="NV31" s="970">
        <v>42.185784313725492</v>
      </c>
      <c r="NW31" s="971">
        <v>75.804126517624326</v>
      </c>
      <c r="NX31" s="969">
        <v>53.936488627450984</v>
      </c>
      <c r="NY31" s="970">
        <v>71.37133887485048</v>
      </c>
      <c r="NZ31" s="970">
        <v>16.381850980392155</v>
      </c>
      <c r="OA31" s="970">
        <v>1.7073314286914061</v>
      </c>
      <c r="OB31" s="970">
        <v>44.786296470588233</v>
      </c>
      <c r="OC31" s="970">
        <v>48.360836432898168</v>
      </c>
      <c r="OD31" s="970">
        <v>13.186000000000002</v>
      </c>
      <c r="OE31" s="970">
        <v>1.7549695253350401</v>
      </c>
      <c r="OF31" s="970">
        <v>72.687121568627461</v>
      </c>
      <c r="OG31" s="970">
        <v>17.665485291477349</v>
      </c>
      <c r="OH31" s="970">
        <v>39.846490196078435</v>
      </c>
      <c r="OI31" s="971">
        <v>76.010940179229465</v>
      </c>
      <c r="OJ31" s="969">
        <v>54.42643921568628</v>
      </c>
      <c r="OK31" s="970">
        <v>52.45262386283629</v>
      </c>
      <c r="OL31" s="970">
        <v>18.920027450980392</v>
      </c>
      <c r="OM31" s="970">
        <v>2.5814952121927388</v>
      </c>
      <c r="ON31" s="970">
        <v>45.283129411764705</v>
      </c>
      <c r="OO31" s="970">
        <v>33.451821776739799</v>
      </c>
      <c r="OP31" s="970">
        <v>15.268000000000002</v>
      </c>
      <c r="OQ31" s="970">
        <v>2.1559871471311416</v>
      </c>
      <c r="OR31" s="970">
        <v>69.993396078431374</v>
      </c>
      <c r="OS31" s="970">
        <v>0.79442353038882707</v>
      </c>
      <c r="OT31" s="970">
        <v>45.694725490196078</v>
      </c>
      <c r="OU31" s="971">
        <v>93.543086616300471</v>
      </c>
      <c r="OV31" s="969">
        <v>58.664631372549024</v>
      </c>
      <c r="OW31" s="970">
        <v>81.839130820883454</v>
      </c>
      <c r="OX31" s="970">
        <v>15.535792156862744</v>
      </c>
      <c r="OY31" s="970">
        <v>1.0848987429715</v>
      </c>
      <c r="OZ31" s="970">
        <v>48.215552941176469</v>
      </c>
      <c r="PA31" s="970">
        <v>55.851364609244918</v>
      </c>
      <c r="PB31" s="970">
        <v>12.492000000000001</v>
      </c>
      <c r="PC31" s="970">
        <v>1.008094441717452</v>
      </c>
      <c r="PD31" s="970">
        <v>79.796000000000006</v>
      </c>
      <c r="PE31" s="970">
        <v>25.851482879099308</v>
      </c>
      <c r="PF31" s="970">
        <v>37.897078431372549</v>
      </c>
      <c r="PG31" s="971">
        <v>61.714843219675402</v>
      </c>
      <c r="PH31" s="969">
        <v>52.528945098039223</v>
      </c>
      <c r="PI31" s="970">
        <v>46.765253031423889</v>
      </c>
      <c r="PJ31" s="970">
        <v>21.288992156862747</v>
      </c>
      <c r="PK31" s="970">
        <v>4.2725482098094458</v>
      </c>
      <c r="PL31" s="970">
        <v>42.496282352941179</v>
      </c>
      <c r="PM31" s="970">
        <v>29.252254939068571</v>
      </c>
      <c r="PN31" s="970">
        <v>17.211200000000005</v>
      </c>
      <c r="PO31" s="970">
        <v>3.4272885885010225</v>
      </c>
      <c r="PP31" s="970">
        <v>0</v>
      </c>
      <c r="PQ31" s="970">
        <v>0</v>
      </c>
      <c r="PR31" s="970">
        <v>51.153078431372549</v>
      </c>
      <c r="PS31" s="971">
        <v>110.6034549127651</v>
      </c>
      <c r="PT31" s="969">
        <v>61.94466431372549</v>
      </c>
      <c r="PU31" s="970">
        <v>75.070308657614476</v>
      </c>
      <c r="PV31" s="970">
        <v>16.55106274509804</v>
      </c>
      <c r="PW31" s="970">
        <v>0.99598641232323037</v>
      </c>
      <c r="PX31" s="970">
        <v>50.870503529411764</v>
      </c>
      <c r="PY31" s="970">
        <v>50.869952474619609</v>
      </c>
      <c r="PZ31" s="970">
        <v>13.324800000000002</v>
      </c>
      <c r="QA31" s="970">
        <v>0.97478641584276171</v>
      </c>
      <c r="QB31" s="970">
        <v>89.470399999999998</v>
      </c>
      <c r="QC31" s="970">
        <v>17.304359398636088</v>
      </c>
      <c r="QD31" s="970">
        <v>40.236372549019613</v>
      </c>
      <c r="QE31" s="971">
        <v>63.570172673961338</v>
      </c>
      <c r="QF31" s="969">
        <v>66.802185882352944</v>
      </c>
      <c r="QG31" s="970">
        <v>71.237294658669981</v>
      </c>
      <c r="QH31" s="970">
        <v>16.269043137254901</v>
      </c>
      <c r="QI31" s="970">
        <v>1.6030677660608501</v>
      </c>
      <c r="QJ31" s="970">
        <v>54.080103529411765</v>
      </c>
      <c r="QK31" s="970">
        <v>48.061441589062554</v>
      </c>
      <c r="QL31" s="970">
        <v>13.093466666666668</v>
      </c>
      <c r="QM31" s="970">
        <v>1.6113971115740333</v>
      </c>
      <c r="QN31" s="970">
        <v>92.252517647058838</v>
      </c>
      <c r="QO31" s="970">
        <v>16.975297431274285</v>
      </c>
      <c r="QP31" s="970">
        <v>39.586568627450987</v>
      </c>
      <c r="QQ31" s="971">
        <v>74.340654056677337</v>
      </c>
      <c r="QR31" s="969">
        <v>45.738733333333336</v>
      </c>
      <c r="QS31" s="970">
        <v>39.742035313420985</v>
      </c>
      <c r="QT31" s="970">
        <v>18.412392156862744</v>
      </c>
      <c r="QU31" s="970">
        <v>2.109670568112374</v>
      </c>
      <c r="QV31" s="970">
        <v>37.876752941176477</v>
      </c>
      <c r="QW31" s="970">
        <v>24.082289516353015</v>
      </c>
      <c r="QX31" s="970">
        <v>14.851600000000001</v>
      </c>
      <c r="QY31" s="970">
        <v>1.6717637464254635</v>
      </c>
      <c r="QZ31" s="970">
        <v>0</v>
      </c>
      <c r="RA31" s="970">
        <v>0</v>
      </c>
      <c r="RB31" s="970">
        <v>44.525078431372549</v>
      </c>
      <c r="RC31" s="971">
        <v>102.4573833721511</v>
      </c>
      <c r="RD31" s="969">
        <v>63.836939607843135</v>
      </c>
      <c r="RE31" s="970">
        <v>73.71383779171623</v>
      </c>
      <c r="RF31" s="970">
        <v>16.494658823529409</v>
      </c>
      <c r="RG31" s="970">
        <v>1.302226503780618</v>
      </c>
      <c r="RH31" s="970">
        <v>52.183120000000002</v>
      </c>
      <c r="RI31" s="970">
        <v>49.88104931318825</v>
      </c>
      <c r="RJ31" s="970">
        <v>13.278533333333334</v>
      </c>
      <c r="RK31" s="970">
        <v>1.2797514392008051</v>
      </c>
      <c r="RL31" s="970">
        <v>91.550070588235315</v>
      </c>
      <c r="RM31" s="970">
        <v>18.845875301514415</v>
      </c>
      <c r="RN31" s="970">
        <v>40.106411764705882</v>
      </c>
      <c r="RO31" s="971">
        <v>69.838649306032238</v>
      </c>
      <c r="RP31" s="969">
        <v>64.635112156862746</v>
      </c>
      <c r="RQ31" s="970">
        <v>73.031712842168758</v>
      </c>
      <c r="RR31" s="970">
        <v>16.381850980392155</v>
      </c>
      <c r="RS31" s="970">
        <v>1.1928599041939563</v>
      </c>
      <c r="RT31" s="970">
        <v>52.623214117647059</v>
      </c>
      <c r="RU31" s="970">
        <v>49.281036093192292</v>
      </c>
      <c r="RV31" s="970">
        <v>13.186000000000002</v>
      </c>
      <c r="RW31" s="970">
        <v>1.1676841081240208</v>
      </c>
      <c r="RX31" s="970">
        <v>90.611717647058825</v>
      </c>
      <c r="RY31" s="970">
        <v>17.434127401163078</v>
      </c>
      <c r="RZ31" s="970">
        <v>39.846490196078435</v>
      </c>
      <c r="SA31" s="971">
        <v>68.162783189850344</v>
      </c>
    </row>
    <row r="32" spans="1:495">
      <c r="A32" s="968">
        <f>[3]Eingabedaten!A34</f>
        <v>8.0299999999999994</v>
      </c>
      <c r="B32" s="964" t="str">
        <f>[3]Eingabedaten!C34</f>
        <v>Behandlungsraum</v>
      </c>
      <c r="C32" s="989">
        <f t="shared" si="1"/>
        <v>26</v>
      </c>
      <c r="D32" s="954" cm="1">
        <f t="array" ref="D32">INDEX($P$7:$SA$51,$C32,$G$3-1+D$2)</f>
        <v>60.196071529411768</v>
      </c>
      <c r="E32" s="955" cm="1">
        <f t="array" ref="E32">INDEX($P$7:$SA$51,$C32,$G$3-1+E$2)</f>
        <v>24.439366838652052</v>
      </c>
      <c r="F32" s="955" cm="1">
        <f t="array" ref="F32">INDEX($P$7:$SA$51,$C32,$G$3-1+F$2)</f>
        <v>20.497390196078435</v>
      </c>
      <c r="G32" s="955" cm="1">
        <f t="array" ref="G32">INDEX($P$7:$SA$51,$C32,$G$3-1+G$2)</f>
        <v>9.0281909308479538</v>
      </c>
      <c r="H32" s="955" cm="1">
        <f t="array" ref="H32">INDEX($P$7:$SA$51,$C32,$G$3-1+H$2)</f>
        <v>47.528833882352934</v>
      </c>
      <c r="I32" s="955" cm="1">
        <f t="array" ref="I32">INDEX($P$7:$SA$51,$C32,$G$3-1+I$2)</f>
        <v>16.83167887407112</v>
      </c>
      <c r="J32" s="955" cm="1">
        <f t="array" ref="J32">INDEX($P$7:$SA$51,$C32,$G$3-1+J$2)</f>
        <v>15.672056862745102</v>
      </c>
      <c r="K32" s="955" cm="1">
        <f t="array" ref="K32">INDEX($P$7:$SA$51,$C32,$G$3-1+K$2)</f>
        <v>4.7562271971402836</v>
      </c>
      <c r="L32" s="955" cm="1">
        <f t="array" ref="L32">INDEX($P$7:$SA$51,$C32,$G$3-1+L$2)</f>
        <v>86.432564705882356</v>
      </c>
      <c r="M32" s="955" cm="1">
        <f t="array" ref="M32">INDEX($P$7:$SA$51,$C32,$G$3-1+M$2)</f>
        <v>4.3669331071856234</v>
      </c>
      <c r="N32" s="955" cm="1">
        <f t="array" ref="N32">INDEX($P$7:$SA$51,$C32,$G$3-1+N$2)</f>
        <v>58.10918627450981</v>
      </c>
      <c r="O32" s="956" cm="1">
        <f t="array" ref="O32">INDEX($P$7:$SA$51,$C32,$G$3-1+O$2)</f>
        <v>87.203888871344631</v>
      </c>
      <c r="P32" s="969">
        <v>49.248737254901961</v>
      </c>
      <c r="Q32" s="970">
        <v>6.7369047839475655</v>
      </c>
      <c r="R32" s="970">
        <v>22.317296078431379</v>
      </c>
      <c r="S32" s="970">
        <v>8.1631808952744613</v>
      </c>
      <c r="T32" s="970">
        <v>38.363403921568633</v>
      </c>
      <c r="U32" s="970">
        <v>4.4802678969874856</v>
      </c>
      <c r="V32" s="970">
        <v>17.095962745098042</v>
      </c>
      <c r="W32" s="970">
        <v>3.2459639709428796</v>
      </c>
      <c r="X32" s="970">
        <v>0</v>
      </c>
      <c r="Y32" s="970">
        <v>0</v>
      </c>
      <c r="Z32" s="970">
        <v>63.015774509803933</v>
      </c>
      <c r="AA32" s="971">
        <v>108.34522270004527</v>
      </c>
      <c r="AB32" s="969">
        <v>60.203768784313731</v>
      </c>
      <c r="AC32" s="970">
        <v>24.371681634458177</v>
      </c>
      <c r="AD32" s="970">
        <v>19.149311764705885</v>
      </c>
      <c r="AE32" s="970">
        <v>8.3504535069651968</v>
      </c>
      <c r="AF32" s="970">
        <v>47.575621333333338</v>
      </c>
      <c r="AG32" s="970">
        <v>16.762215087340522</v>
      </c>
      <c r="AH32" s="970">
        <v>14.617311764705885</v>
      </c>
      <c r="AI32" s="970">
        <v>4.4865461844885361</v>
      </c>
      <c r="AJ32" s="970">
        <v>87.283074509803924</v>
      </c>
      <c r="AK32" s="970">
        <v>4.725850309493449</v>
      </c>
      <c r="AL32" s="970">
        <v>54.474676470588243</v>
      </c>
      <c r="AM32" s="971">
        <v>83.538905756952587</v>
      </c>
      <c r="AN32" s="969">
        <v>57.23925082352941</v>
      </c>
      <c r="AO32" s="970">
        <v>20.968583553429337</v>
      </c>
      <c r="AP32" s="970">
        <v>19.216715686274512</v>
      </c>
      <c r="AQ32" s="970">
        <v>10.78085000912858</v>
      </c>
      <c r="AR32" s="970">
        <v>50.658770823529416</v>
      </c>
      <c r="AS32" s="970">
        <v>14.339368572276328</v>
      </c>
      <c r="AT32" s="970">
        <v>14.670049019607847</v>
      </c>
      <c r="AU32" s="970">
        <v>6.5307113280827007</v>
      </c>
      <c r="AV32" s="970">
        <v>84.487545098039206</v>
      </c>
      <c r="AW32" s="970">
        <v>1.75618001775883</v>
      </c>
      <c r="AX32" s="970">
        <v>54.656401960784322</v>
      </c>
      <c r="AY32" s="971">
        <v>92.866210967675428</v>
      </c>
      <c r="AZ32" s="969">
        <v>63.758224941176472</v>
      </c>
      <c r="BA32" s="970">
        <v>28.660850981125432</v>
      </c>
      <c r="BB32" s="970">
        <v>19.82335098039216</v>
      </c>
      <c r="BC32" s="970">
        <v>6.7402259749001079</v>
      </c>
      <c r="BD32" s="970">
        <v>50.296191999999998</v>
      </c>
      <c r="BE32" s="970">
        <v>19.642888810020175</v>
      </c>
      <c r="BF32" s="970">
        <v>15.144684313725492</v>
      </c>
      <c r="BG32" s="970">
        <v>3.4307665942976722</v>
      </c>
      <c r="BH32" s="970">
        <v>96.054729411764697</v>
      </c>
      <c r="BI32" s="970">
        <v>8.7690328396025787</v>
      </c>
      <c r="BJ32" s="970">
        <v>56.291931372549023</v>
      </c>
      <c r="BK32" s="971">
        <v>75.868184846117941</v>
      </c>
      <c r="BL32" s="969">
        <v>61.24603419607844</v>
      </c>
      <c r="BM32" s="970">
        <v>24.246587839282835</v>
      </c>
      <c r="BN32" s="970">
        <v>20.429986274509808</v>
      </c>
      <c r="BO32" s="970">
        <v>9.3115858087280721</v>
      </c>
      <c r="BP32" s="970">
        <v>48.344870274509809</v>
      </c>
      <c r="BQ32" s="970">
        <v>16.696611151525858</v>
      </c>
      <c r="BR32" s="970">
        <v>15.61931960784314</v>
      </c>
      <c r="BS32" s="970">
        <v>4.8021048068633325</v>
      </c>
      <c r="BT32" s="970">
        <v>89.275733333333335</v>
      </c>
      <c r="BU32" s="970">
        <v>4.4698742836562131</v>
      </c>
      <c r="BV32" s="970">
        <v>57.92746078431373</v>
      </c>
      <c r="BW32" s="971">
        <v>89.266399118870794</v>
      </c>
      <c r="BX32" s="969">
        <v>61.489939450980387</v>
      </c>
      <c r="BY32" s="970">
        <v>24.960322371329244</v>
      </c>
      <c r="BZ32" s="970">
        <v>20.227774509803925</v>
      </c>
      <c r="CA32" s="970">
        <v>10.907911374480163</v>
      </c>
      <c r="CB32" s="970">
        <v>48.634698666666672</v>
      </c>
      <c r="CC32" s="970">
        <v>17.189251663330314</v>
      </c>
      <c r="CD32" s="970">
        <v>15.461107843137258</v>
      </c>
      <c r="CE32" s="970">
        <v>6.3724724237708763</v>
      </c>
      <c r="CF32" s="970">
        <v>91.974807843137256</v>
      </c>
      <c r="CG32" s="970">
        <v>4.9689563400967192</v>
      </c>
      <c r="CH32" s="970">
        <v>57.382284313725499</v>
      </c>
      <c r="CI32" s="971">
        <v>92.304641501798258</v>
      </c>
      <c r="CJ32" s="969">
        <v>61.434407215686278</v>
      </c>
      <c r="CK32" s="970">
        <v>22.531528222322315</v>
      </c>
      <c r="CL32" s="970">
        <v>20.295178431372552</v>
      </c>
      <c r="CM32" s="970">
        <v>6.9192718397623763</v>
      </c>
      <c r="CN32" s="970">
        <v>48.495938196078427</v>
      </c>
      <c r="CO32" s="970">
        <v>15.460352071149815</v>
      </c>
      <c r="CP32" s="970">
        <v>15.513845098039219</v>
      </c>
      <c r="CQ32" s="970">
        <v>3.2310549391146566</v>
      </c>
      <c r="CR32" s="970">
        <v>89.880643137254907</v>
      </c>
      <c r="CS32" s="970">
        <v>2.5708624818877506</v>
      </c>
      <c r="CT32" s="970">
        <v>57.564009803921572</v>
      </c>
      <c r="CU32" s="971">
        <v>81.153553977808855</v>
      </c>
      <c r="CV32" s="969">
        <v>46.478000000000009</v>
      </c>
      <c r="CW32" s="970">
        <v>4.9672914008726305</v>
      </c>
      <c r="CX32" s="970">
        <v>24.272009803921573</v>
      </c>
      <c r="CY32" s="970">
        <v>11.145614142763705</v>
      </c>
      <c r="CZ32" s="970">
        <v>35.596823529411765</v>
      </c>
      <c r="DA32" s="970">
        <v>3.2630384742692469</v>
      </c>
      <c r="DB32" s="970">
        <v>18.625343137254905</v>
      </c>
      <c r="DC32" s="970">
        <v>4.4024128381917542</v>
      </c>
      <c r="DD32" s="970">
        <v>0</v>
      </c>
      <c r="DE32" s="970">
        <v>0</v>
      </c>
      <c r="DF32" s="970">
        <v>68.285813725490215</v>
      </c>
      <c r="DG32" s="971">
        <v>121.44571394141829</v>
      </c>
      <c r="DH32" s="969">
        <v>59.393205019607841</v>
      </c>
      <c r="DI32" s="970">
        <v>11.155435569871711</v>
      </c>
      <c r="DJ32" s="970">
        <v>21.980276470588237</v>
      </c>
      <c r="DK32" s="970">
        <v>7.3584477998403788</v>
      </c>
      <c r="DL32" s="970">
        <v>46.823231686274511</v>
      </c>
      <c r="DM32" s="970">
        <v>7.4448383970547338</v>
      </c>
      <c r="DN32" s="970">
        <v>16.832276470588237</v>
      </c>
      <c r="DO32" s="970">
        <v>2.9224348797334003</v>
      </c>
      <c r="DP32" s="970">
        <v>0</v>
      </c>
      <c r="DQ32" s="970">
        <v>0</v>
      </c>
      <c r="DR32" s="970">
        <v>62.107147058823529</v>
      </c>
      <c r="DS32" s="971">
        <v>97.977722175961787</v>
      </c>
      <c r="DT32" s="969">
        <v>58.875920941176474</v>
      </c>
      <c r="DU32" s="970">
        <v>9.4809212450249767</v>
      </c>
      <c r="DV32" s="970">
        <v>22.991335294117654</v>
      </c>
      <c r="DW32" s="970">
        <v>15.478099995224476</v>
      </c>
      <c r="DX32" s="970">
        <v>46.738313725490201</v>
      </c>
      <c r="DY32" s="970">
        <v>6.2573416705642719</v>
      </c>
      <c r="DZ32" s="970">
        <v>17.623335294117652</v>
      </c>
      <c r="EA32" s="970">
        <v>8.8719254583299847</v>
      </c>
      <c r="EB32" s="970">
        <v>0</v>
      </c>
      <c r="EC32" s="970">
        <v>0</v>
      </c>
      <c r="ED32" s="970">
        <v>64.833029411764727</v>
      </c>
      <c r="EE32" s="971">
        <v>120.15600408106395</v>
      </c>
      <c r="EF32" s="969">
        <v>63.200803137254908</v>
      </c>
      <c r="EG32" s="970">
        <v>30.922047999333977</v>
      </c>
      <c r="EH32" s="970">
        <v>18.273060784313728</v>
      </c>
      <c r="EI32" s="970">
        <v>6.4496937111642731</v>
      </c>
      <c r="EJ32" s="970">
        <v>49.889775686274511</v>
      </c>
      <c r="EK32" s="970">
        <v>21.241463634297379</v>
      </c>
      <c r="EL32" s="970">
        <v>13.931727450980395</v>
      </c>
      <c r="EM32" s="970">
        <v>3.2597256649690785</v>
      </c>
      <c r="EN32" s="970">
        <v>95.090509803921577</v>
      </c>
      <c r="EO32" s="970">
        <v>11.364167698191892</v>
      </c>
      <c r="EP32" s="970">
        <v>52.112245098039224</v>
      </c>
      <c r="EQ32" s="971">
        <v>73.177493244161653</v>
      </c>
      <c r="ER32" s="969">
        <v>61.069976784313724</v>
      </c>
      <c r="ES32" s="970">
        <v>17.991808777193874</v>
      </c>
      <c r="ET32" s="970">
        <v>20.969217647058827</v>
      </c>
      <c r="EU32" s="970">
        <v>15.19934954399729</v>
      </c>
      <c r="EV32" s="970">
        <v>48.268662274509801</v>
      </c>
      <c r="EW32" s="970">
        <v>12.243450126972546</v>
      </c>
      <c r="EX32" s="970">
        <v>16.041217647058826</v>
      </c>
      <c r="EY32" s="970">
        <v>9.3867832838352783</v>
      </c>
      <c r="EZ32" s="970">
        <v>0</v>
      </c>
      <c r="FA32" s="970">
        <v>0</v>
      </c>
      <c r="FB32" s="970">
        <v>59.381264705882359</v>
      </c>
      <c r="FC32" s="971">
        <v>111.3417243546705</v>
      </c>
      <c r="FD32" s="969">
        <v>37.181647058823543</v>
      </c>
      <c r="FE32" s="970">
        <v>8.777215111528254E-2</v>
      </c>
      <c r="FF32" s="970">
        <v>25.822300000000006</v>
      </c>
      <c r="FG32" s="970">
        <v>15.874579533497993</v>
      </c>
      <c r="FH32" s="970">
        <v>25.581647058823538</v>
      </c>
      <c r="FI32" s="970">
        <v>0</v>
      </c>
      <c r="FJ32" s="970">
        <v>19.8383</v>
      </c>
      <c r="FK32" s="970">
        <v>7.2218335366415607</v>
      </c>
      <c r="FL32" s="970">
        <v>0</v>
      </c>
      <c r="FM32" s="970">
        <v>0</v>
      </c>
      <c r="FN32" s="970">
        <v>72.465500000000006</v>
      </c>
      <c r="FO32" s="971">
        <v>145.17308573979827</v>
      </c>
      <c r="FP32" s="969">
        <v>60.003080156862751</v>
      </c>
      <c r="FQ32" s="970">
        <v>24.075330280143916</v>
      </c>
      <c r="FR32" s="970">
        <v>20.160370588235295</v>
      </c>
      <c r="FS32" s="970">
        <v>11.051042201146279</v>
      </c>
      <c r="FT32" s="970">
        <v>47.349693490196074</v>
      </c>
      <c r="FU32" s="970">
        <v>16.572968542210258</v>
      </c>
      <c r="FV32" s="970">
        <v>15.408370588235297</v>
      </c>
      <c r="FW32" s="970">
        <v>6.3689912433711173</v>
      </c>
      <c r="FX32" s="970">
        <v>85.317349019607832</v>
      </c>
      <c r="FY32" s="970">
        <v>4.0159449089540962</v>
      </c>
      <c r="FZ32" s="970">
        <v>57.20055882352942</v>
      </c>
      <c r="GA32" s="971">
        <v>93.470178793892146</v>
      </c>
      <c r="GB32" s="969">
        <v>57.832116078431376</v>
      </c>
      <c r="GC32" s="970">
        <v>20.663814112456727</v>
      </c>
      <c r="GD32" s="970">
        <v>20.160370588235295</v>
      </c>
      <c r="GE32" s="970">
        <v>11.057585082156285</v>
      </c>
      <c r="GF32" s="970">
        <v>45.683394509803918</v>
      </c>
      <c r="GG32" s="970">
        <v>14.150688014900556</v>
      </c>
      <c r="GH32" s="970">
        <v>15.408370588235297</v>
      </c>
      <c r="GI32" s="970">
        <v>6.0015616751641288</v>
      </c>
      <c r="GJ32" s="970">
        <v>79.865333333333325</v>
      </c>
      <c r="GK32" s="970">
        <v>1.4158746542820566</v>
      </c>
      <c r="GL32" s="970">
        <v>57.20055882352942</v>
      </c>
      <c r="GM32" s="971">
        <v>96.880144681323259</v>
      </c>
      <c r="GN32" s="969">
        <v>56.973605333333339</v>
      </c>
      <c r="GO32" s="970">
        <v>12.524237627693312</v>
      </c>
      <c r="GP32" s="970">
        <v>21.845468627450984</v>
      </c>
      <c r="GQ32" s="970">
        <v>9.2355095151211639</v>
      </c>
      <c r="GR32" s="970">
        <v>46.621317647058824</v>
      </c>
      <c r="GS32" s="970">
        <v>8.4324548681151672</v>
      </c>
      <c r="GT32" s="970">
        <v>16.726801960784318</v>
      </c>
      <c r="GU32" s="970">
        <v>4.1171562639692452</v>
      </c>
      <c r="GV32" s="970">
        <v>0</v>
      </c>
      <c r="GW32" s="970">
        <v>0</v>
      </c>
      <c r="GX32" s="970">
        <v>61.743696078431384</v>
      </c>
      <c r="GY32" s="971">
        <v>103.06544596548939</v>
      </c>
      <c r="GZ32" s="969">
        <v>55.669317647058833</v>
      </c>
      <c r="HA32" s="970">
        <v>9.6102220227667416</v>
      </c>
      <c r="HB32" s="970">
        <v>21.91287254901961</v>
      </c>
      <c r="HC32" s="970">
        <v>13.042056729515238</v>
      </c>
      <c r="HD32" s="970">
        <v>44.018258823529422</v>
      </c>
      <c r="HE32" s="970">
        <v>6.4546410585481366</v>
      </c>
      <c r="HF32" s="970">
        <v>16.779539215686277</v>
      </c>
      <c r="HG32" s="970">
        <v>6.7567807868605838</v>
      </c>
      <c r="HH32" s="970">
        <v>0</v>
      </c>
      <c r="HI32" s="970">
        <v>0</v>
      </c>
      <c r="HJ32" s="970">
        <v>61.925421568627456</v>
      </c>
      <c r="HK32" s="971">
        <v>117.98084022993415</v>
      </c>
      <c r="HL32" s="969">
        <v>60.418424470588242</v>
      </c>
      <c r="HM32" s="970">
        <v>36.219435635781032</v>
      </c>
      <c r="HN32" s="970">
        <v>16.318347058823534</v>
      </c>
      <c r="HO32" s="970">
        <v>2.8321393970795024</v>
      </c>
      <c r="HP32" s="970">
        <v>47.687657411764704</v>
      </c>
      <c r="HQ32" s="970">
        <v>24.95287926072875</v>
      </c>
      <c r="HR32" s="970">
        <v>12.402347058823533</v>
      </c>
      <c r="HS32" s="970">
        <v>1.1166344874904655</v>
      </c>
      <c r="HT32" s="970">
        <v>86.750211764705881</v>
      </c>
      <c r="HU32" s="970">
        <v>16.617835877531132</v>
      </c>
      <c r="HV32" s="970">
        <v>46.842205882352943</v>
      </c>
      <c r="HW32" s="971">
        <v>55.65930119130423</v>
      </c>
      <c r="HX32" s="969">
        <v>63.168474666666675</v>
      </c>
      <c r="HY32" s="970">
        <v>37.346705708286116</v>
      </c>
      <c r="HZ32" s="970">
        <v>15.981327450980396</v>
      </c>
      <c r="IA32" s="970">
        <v>2.4908707599249293</v>
      </c>
      <c r="IB32" s="970">
        <v>49.693268392156867</v>
      </c>
      <c r="IC32" s="970">
        <v>25.750781446719621</v>
      </c>
      <c r="ID32" s="970">
        <v>12.138660784313728</v>
      </c>
      <c r="IE32" s="970">
        <v>0.92701360990803439</v>
      </c>
      <c r="IF32" s="970">
        <v>91.518368627450997</v>
      </c>
      <c r="IG32" s="970">
        <v>18.212450421243194</v>
      </c>
      <c r="IH32" s="970">
        <v>45.93357843137256</v>
      </c>
      <c r="II32" s="971">
        <v>54.121121544933509</v>
      </c>
      <c r="IJ32" s="969">
        <v>62.085959529411767</v>
      </c>
      <c r="IK32" s="970">
        <v>23.759653047484452</v>
      </c>
      <c r="IL32" s="970">
        <v>19.755947058823534</v>
      </c>
      <c r="IM32" s="970">
        <v>10.365705298802213</v>
      </c>
      <c r="IN32" s="970">
        <v>49.076943058823531</v>
      </c>
      <c r="IO32" s="970">
        <v>16.330314936367653</v>
      </c>
      <c r="IP32" s="970">
        <v>15.091947058823532</v>
      </c>
      <c r="IQ32" s="970">
        <v>5.9275085580738205</v>
      </c>
      <c r="IR32" s="970">
        <v>93.162070588235267</v>
      </c>
      <c r="IS32" s="970">
        <v>4.4650503836186157</v>
      </c>
      <c r="IT32" s="970">
        <v>56.110205882352943</v>
      </c>
      <c r="IU32" s="971">
        <v>91.115432365993925</v>
      </c>
      <c r="IV32" s="969">
        <v>61.616622431372548</v>
      </c>
      <c r="IW32" s="970">
        <v>35.532831394698363</v>
      </c>
      <c r="IX32" s="970">
        <v>17.464213725490197</v>
      </c>
      <c r="IY32" s="970">
        <v>5.2146999152276967</v>
      </c>
      <c r="IZ32" s="970">
        <v>48.749430901960793</v>
      </c>
      <c r="JA32" s="970">
        <v>24.466459714591767</v>
      </c>
      <c r="JB32" s="970">
        <v>13.298880392156866</v>
      </c>
      <c r="JC32" s="970">
        <v>2.3490438620979162</v>
      </c>
      <c r="JD32" s="970">
        <v>89.805145098039219</v>
      </c>
      <c r="JE32" s="970">
        <v>16.820475655190005</v>
      </c>
      <c r="JF32" s="970">
        <v>49.931539215686279</v>
      </c>
      <c r="JG32" s="971">
        <v>67.011506202736996</v>
      </c>
      <c r="JH32" s="969">
        <v>60.400737254901962</v>
      </c>
      <c r="JI32" s="970">
        <v>12.173606449218848</v>
      </c>
      <c r="JJ32" s="970">
        <v>21.91287254901961</v>
      </c>
      <c r="JK32" s="970">
        <v>6.2388652521085941</v>
      </c>
      <c r="JL32" s="970">
        <v>48.016580392156861</v>
      </c>
      <c r="JM32" s="970">
        <v>8.20180545729486</v>
      </c>
      <c r="JN32" s="970">
        <v>16.779539215686277</v>
      </c>
      <c r="JO32" s="970">
        <v>2.1746694837807312</v>
      </c>
      <c r="JP32" s="970">
        <v>0</v>
      </c>
      <c r="JQ32" s="970">
        <v>0</v>
      </c>
      <c r="JR32" s="970">
        <v>61.925421568627456</v>
      </c>
      <c r="JS32" s="971">
        <v>92.347657849232618</v>
      </c>
      <c r="JT32" s="969">
        <v>57.696196392156871</v>
      </c>
      <c r="JU32" s="970">
        <v>26.713867982141011</v>
      </c>
      <c r="JV32" s="970">
        <v>19.081907843137259</v>
      </c>
      <c r="JW32" s="970">
        <v>8.8628718972174259</v>
      </c>
      <c r="JX32" s="970">
        <v>45.695701960784319</v>
      </c>
      <c r="JY32" s="970">
        <v>18.421314135761691</v>
      </c>
      <c r="JZ32" s="970">
        <v>14.564574509803924</v>
      </c>
      <c r="KA32" s="970">
        <v>5.0136599104849795</v>
      </c>
      <c r="KB32" s="970">
        <v>81.0143843137255</v>
      </c>
      <c r="KC32" s="970">
        <v>7.4926262612055066</v>
      </c>
      <c r="KD32" s="970">
        <v>54.292950980392163</v>
      </c>
      <c r="KE32" s="971">
        <v>83.762403859324237</v>
      </c>
      <c r="KF32" s="969">
        <v>62.263556392156865</v>
      </c>
      <c r="KG32" s="970">
        <v>25.763775967086385</v>
      </c>
      <c r="KH32" s="970">
        <v>19.958158823529416</v>
      </c>
      <c r="KI32" s="970">
        <v>9.4927404417940018</v>
      </c>
      <c r="KJ32" s="970">
        <v>49.162508549019606</v>
      </c>
      <c r="KK32" s="970">
        <v>17.772400698758197</v>
      </c>
      <c r="KL32" s="970">
        <v>15.250158823529414</v>
      </c>
      <c r="KM32" s="970">
        <v>5.1316207412333963</v>
      </c>
      <c r="KN32" s="970">
        <v>92.576266666666655</v>
      </c>
      <c r="KO32" s="970">
        <v>5.5630505689315353</v>
      </c>
      <c r="KP32" s="970">
        <v>56.655382352941174</v>
      </c>
      <c r="KQ32" s="971">
        <v>86.976683706280696</v>
      </c>
      <c r="KR32" s="969">
        <v>59.305232313725504</v>
      </c>
      <c r="KS32" s="970">
        <v>16.287226545154226</v>
      </c>
      <c r="KT32" s="970">
        <v>20.295178431372552</v>
      </c>
      <c r="KU32" s="970">
        <v>15.042761430330426</v>
      </c>
      <c r="KV32" s="970">
        <v>46.686073098039216</v>
      </c>
      <c r="KW32" s="970">
        <v>11.059584020672249</v>
      </c>
      <c r="KX32" s="970">
        <v>15.513845098039219</v>
      </c>
      <c r="KY32" s="970">
        <v>9.3245993892787968</v>
      </c>
      <c r="KZ32" s="970">
        <v>0</v>
      </c>
      <c r="LA32" s="970">
        <v>0</v>
      </c>
      <c r="LB32" s="970">
        <v>57.564009803921572</v>
      </c>
      <c r="LC32" s="971">
        <v>109.13482240714551</v>
      </c>
      <c r="LD32" s="969">
        <v>59.81778603921569</v>
      </c>
      <c r="LE32" s="970">
        <v>31.628810068944777</v>
      </c>
      <c r="LF32" s="970">
        <v>18.340464705882358</v>
      </c>
      <c r="LG32" s="970">
        <v>5.4884924995493831</v>
      </c>
      <c r="LH32" s="970">
        <v>47.21734054901961</v>
      </c>
      <c r="LI32" s="970">
        <v>21.741008988396221</v>
      </c>
      <c r="LJ32" s="970">
        <v>13.984464705882356</v>
      </c>
      <c r="LK32" s="970">
        <v>2.6830038412932318</v>
      </c>
      <c r="LL32" s="970">
        <v>85.05264313725489</v>
      </c>
      <c r="LM32" s="970">
        <v>11.341389745444113</v>
      </c>
      <c r="LN32" s="970">
        <v>52.293970588235304</v>
      </c>
      <c r="LO32" s="971">
        <v>69.323475948087605</v>
      </c>
      <c r="LP32" s="969">
        <v>51.976447058823538</v>
      </c>
      <c r="LQ32" s="970">
        <v>11.965559601602736</v>
      </c>
      <c r="LR32" s="970">
        <v>20.699601960784317</v>
      </c>
      <c r="LS32" s="970">
        <v>10.971840610472263</v>
      </c>
      <c r="LT32" s="970">
        <v>40.199270588235301</v>
      </c>
      <c r="LU32" s="970">
        <v>8.0050127701318221</v>
      </c>
      <c r="LV32" s="970">
        <v>15.830268627450982</v>
      </c>
      <c r="LW32" s="970">
        <v>5.3436001447693044</v>
      </c>
      <c r="LX32" s="970">
        <v>0</v>
      </c>
      <c r="LY32" s="970">
        <v>0</v>
      </c>
      <c r="LZ32" s="970">
        <v>58.654362745098041</v>
      </c>
      <c r="MA32" s="971">
        <v>108.67197526060045</v>
      </c>
      <c r="MB32" s="969">
        <v>62.262016941176483</v>
      </c>
      <c r="MC32" s="970">
        <v>22.730845335702011</v>
      </c>
      <c r="MD32" s="970">
        <v>20.9018137254902</v>
      </c>
      <c r="ME32" s="970">
        <v>10.469787171478982</v>
      </c>
      <c r="MF32" s="970">
        <v>49.153151058823532</v>
      </c>
      <c r="MG32" s="970">
        <v>15.627160458833407</v>
      </c>
      <c r="MH32" s="970">
        <v>15.988480392156866</v>
      </c>
      <c r="MI32" s="970">
        <v>5.878045717281787</v>
      </c>
      <c r="MJ32" s="970">
        <v>92.406164705882361</v>
      </c>
      <c r="MK32" s="970">
        <v>3.1178510507451267</v>
      </c>
      <c r="ML32" s="970">
        <v>59.199539215686286</v>
      </c>
      <c r="MM32" s="971">
        <v>92.620888550881205</v>
      </c>
      <c r="MN32" s="969">
        <v>53.065796078431376</v>
      </c>
      <c r="MO32" s="970">
        <v>4.6642735522436212</v>
      </c>
      <c r="MP32" s="970">
        <v>27.305186274509808</v>
      </c>
      <c r="MQ32" s="970">
        <v>15.456064784550179</v>
      </c>
      <c r="MR32" s="970">
        <v>41.08987450980392</v>
      </c>
      <c r="MS32" s="970">
        <v>3.0565410096659709</v>
      </c>
      <c r="MT32" s="970">
        <v>20.998519607843143</v>
      </c>
      <c r="MU32" s="970">
        <v>6.2144058947220913</v>
      </c>
      <c r="MV32" s="970">
        <v>0</v>
      </c>
      <c r="MW32" s="970">
        <v>0</v>
      </c>
      <c r="MX32" s="970">
        <v>76.463460784313739</v>
      </c>
      <c r="MY32" s="971">
        <v>138.18988128245536</v>
      </c>
      <c r="MZ32" s="969">
        <v>50.413105882352951</v>
      </c>
      <c r="NA32" s="970">
        <v>4.2510864060304021</v>
      </c>
      <c r="NB32" s="970">
        <v>22.789123529411768</v>
      </c>
      <c r="NC32" s="970">
        <v>14.180628668656318</v>
      </c>
      <c r="ND32" s="970">
        <v>38.745105882352959</v>
      </c>
      <c r="NE32" s="970">
        <v>2.7448198605985543</v>
      </c>
      <c r="NF32" s="970">
        <v>17.465123529411766</v>
      </c>
      <c r="NG32" s="970">
        <v>6.7194255465507684</v>
      </c>
      <c r="NH32" s="970">
        <v>0</v>
      </c>
      <c r="NI32" s="970">
        <v>0</v>
      </c>
      <c r="NJ32" s="970">
        <v>64.287852941176482</v>
      </c>
      <c r="NK32" s="971">
        <v>134.67946447750154</v>
      </c>
      <c r="NL32" s="969">
        <v>59.788815686274511</v>
      </c>
      <c r="NM32" s="970">
        <v>19.672545626813857</v>
      </c>
      <c r="NN32" s="970">
        <v>21.710660784313728</v>
      </c>
      <c r="NO32" s="970">
        <v>10.07726531722046</v>
      </c>
      <c r="NP32" s="970">
        <v>47.860737254901963</v>
      </c>
      <c r="NQ32" s="970">
        <v>13.472362813191184</v>
      </c>
      <c r="NR32" s="970">
        <v>16.621327450980395</v>
      </c>
      <c r="NS32" s="970">
        <v>5.279438137297535</v>
      </c>
      <c r="NT32" s="970">
        <v>76.296643137254904</v>
      </c>
      <c r="NU32" s="970">
        <v>0.1422047331732755</v>
      </c>
      <c r="NV32" s="970">
        <v>61.380245098039218</v>
      </c>
      <c r="NW32" s="971">
        <v>95.311518839551184</v>
      </c>
      <c r="NX32" s="969">
        <v>57.626697098039223</v>
      </c>
      <c r="NY32" s="970">
        <v>23.933614646135862</v>
      </c>
      <c r="NZ32" s="970">
        <v>20.497390196078435</v>
      </c>
      <c r="OA32" s="970">
        <v>11.795145753288313</v>
      </c>
      <c r="OB32" s="970">
        <v>46.240070588235298</v>
      </c>
      <c r="OC32" s="970">
        <v>16.461820803687559</v>
      </c>
      <c r="OD32" s="970">
        <v>15.672056862745102</v>
      </c>
      <c r="OE32" s="970">
        <v>6.9064381588500598</v>
      </c>
      <c r="OF32" s="970">
        <v>81.418807843137259</v>
      </c>
      <c r="OG32" s="970">
        <v>4.1806976277550651</v>
      </c>
      <c r="OH32" s="970">
        <v>58.10918627450981</v>
      </c>
      <c r="OI32" s="971">
        <v>96.262763755030619</v>
      </c>
      <c r="OJ32" s="969">
        <v>58.997985568627456</v>
      </c>
      <c r="OK32" s="970">
        <v>11.812287492998708</v>
      </c>
      <c r="OL32" s="970">
        <v>23.530566666666669</v>
      </c>
      <c r="OM32" s="970">
        <v>11.850760768613805</v>
      </c>
      <c r="ON32" s="970">
        <v>46.408805960784314</v>
      </c>
      <c r="OO32" s="970">
        <v>7.9252132687920422</v>
      </c>
      <c r="OP32" s="970">
        <v>18.045233333333336</v>
      </c>
      <c r="OQ32" s="970">
        <v>5.3888900646979581</v>
      </c>
      <c r="OR32" s="970">
        <v>0</v>
      </c>
      <c r="OS32" s="970">
        <v>0</v>
      </c>
      <c r="OT32" s="970">
        <v>66.286833333333334</v>
      </c>
      <c r="OU32" s="971">
        <v>109.92548867155092</v>
      </c>
      <c r="OV32" s="969">
        <v>60.006159058823535</v>
      </c>
      <c r="OW32" s="970">
        <v>29.857668318170667</v>
      </c>
      <c r="OX32" s="970">
        <v>19.486331372549024</v>
      </c>
      <c r="OY32" s="970">
        <v>7.5750970218269149</v>
      </c>
      <c r="OZ32" s="970">
        <v>47.368408470588243</v>
      </c>
      <c r="PA32" s="970">
        <v>20.574529362878611</v>
      </c>
      <c r="PB32" s="970">
        <v>14.88099803921569</v>
      </c>
      <c r="PC32" s="970">
        <v>3.6709057345099536</v>
      </c>
      <c r="PD32" s="970">
        <v>85.657552941176476</v>
      </c>
      <c r="PE32" s="970">
        <v>9.368476878427181</v>
      </c>
      <c r="PF32" s="970">
        <v>55.38330392156864</v>
      </c>
      <c r="PG32" s="971">
        <v>78.126329292865393</v>
      </c>
      <c r="PH32" s="969">
        <v>57.994318431372548</v>
      </c>
      <c r="PI32" s="970">
        <v>8.4985721344131591</v>
      </c>
      <c r="PJ32" s="970">
        <v>26.361531372549027</v>
      </c>
      <c r="PK32" s="970">
        <v>15.920346101338488</v>
      </c>
      <c r="PL32" s="970">
        <v>45.675385098039222</v>
      </c>
      <c r="PM32" s="970">
        <v>5.7498995722692481</v>
      </c>
      <c r="PN32" s="970">
        <v>20.260198039215691</v>
      </c>
      <c r="PO32" s="970">
        <v>7.3264394487737565</v>
      </c>
      <c r="PP32" s="970">
        <v>0</v>
      </c>
      <c r="PQ32" s="970">
        <v>0</v>
      </c>
      <c r="PR32" s="970">
        <v>73.919303921568641</v>
      </c>
      <c r="PS32" s="971">
        <v>124.37587161840247</v>
      </c>
      <c r="PT32" s="969">
        <v>63.569851921568635</v>
      </c>
      <c r="PU32" s="970">
        <v>24.217164673339884</v>
      </c>
      <c r="PV32" s="970">
        <v>20.699601960784317</v>
      </c>
      <c r="PW32" s="970">
        <v>7.9867508359267259</v>
      </c>
      <c r="PX32" s="970">
        <v>50.14512407843138</v>
      </c>
      <c r="PY32" s="970">
        <v>16.65514606789008</v>
      </c>
      <c r="PZ32" s="970">
        <v>15.830268627450982</v>
      </c>
      <c r="QA32" s="970">
        <v>4.124919771259183</v>
      </c>
      <c r="QB32" s="970">
        <v>95.449819607843139</v>
      </c>
      <c r="QC32" s="970">
        <v>3.8110975906924773</v>
      </c>
      <c r="QD32" s="970">
        <v>58.654362745098041</v>
      </c>
      <c r="QE32" s="971">
        <v>82.855472700855373</v>
      </c>
      <c r="QF32" s="969">
        <v>61.249113098039224</v>
      </c>
      <c r="QG32" s="970">
        <v>24.0208400631589</v>
      </c>
      <c r="QH32" s="970">
        <v>20.362582352941178</v>
      </c>
      <c r="QI32" s="970">
        <v>11.026951489069623</v>
      </c>
      <c r="QJ32" s="970">
        <v>48.363585254901963</v>
      </c>
      <c r="QK32" s="970">
        <v>16.538015872913448</v>
      </c>
      <c r="QL32" s="970">
        <v>15.566582352941179</v>
      </c>
      <c r="QM32" s="970">
        <v>6.2355067757637581</v>
      </c>
      <c r="QN32" s="970">
        <v>89.615937254901965</v>
      </c>
      <c r="QO32" s="970">
        <v>3.9169096889616184</v>
      </c>
      <c r="QP32" s="970">
        <v>57.745735294117651</v>
      </c>
      <c r="QQ32" s="971">
        <v>93.512933162490128</v>
      </c>
      <c r="QR32" s="969">
        <v>49.874400000000001</v>
      </c>
      <c r="QS32" s="970">
        <v>5.1198503184816522</v>
      </c>
      <c r="QT32" s="970">
        <v>22.923931372549024</v>
      </c>
      <c r="QU32" s="970">
        <v>10.607876979190207</v>
      </c>
      <c r="QV32" s="970">
        <v>39.204047058823527</v>
      </c>
      <c r="QW32" s="970">
        <v>3.3541490155166303</v>
      </c>
      <c r="QX32" s="970">
        <v>17.570598039215689</v>
      </c>
      <c r="QY32" s="970">
        <v>4.2143769491798446</v>
      </c>
      <c r="QZ32" s="970">
        <v>0</v>
      </c>
      <c r="RA32" s="970">
        <v>0</v>
      </c>
      <c r="RB32" s="970">
        <v>64.65130392156864</v>
      </c>
      <c r="RC32" s="971">
        <v>123.83957784827133</v>
      </c>
      <c r="RD32" s="969">
        <v>61.699976784313726</v>
      </c>
      <c r="RE32" s="970">
        <v>25.272572752364866</v>
      </c>
      <c r="RF32" s="970">
        <v>20.632198039215687</v>
      </c>
      <c r="RG32" s="970">
        <v>9.5550584511381427</v>
      </c>
      <c r="RH32" s="970">
        <v>48.718662274509803</v>
      </c>
      <c r="RI32" s="970">
        <v>17.420872583898674</v>
      </c>
      <c r="RJ32" s="970">
        <v>15.777531372549022</v>
      </c>
      <c r="RK32" s="970">
        <v>5.1166863312998814</v>
      </c>
      <c r="RL32" s="970">
        <v>90.931639215686261</v>
      </c>
      <c r="RM32" s="970">
        <v>5.0502976648176476</v>
      </c>
      <c r="RN32" s="970">
        <v>58.472637254901962</v>
      </c>
      <c r="RO32" s="971">
        <v>88.71361258968507</v>
      </c>
      <c r="RP32" s="969">
        <v>60.196071529411768</v>
      </c>
      <c r="RQ32" s="970">
        <v>24.439366838652052</v>
      </c>
      <c r="RR32" s="970">
        <v>20.497390196078435</v>
      </c>
      <c r="RS32" s="970">
        <v>9.0281909308479538</v>
      </c>
      <c r="RT32" s="970">
        <v>47.528833882352934</v>
      </c>
      <c r="RU32" s="970">
        <v>16.83167887407112</v>
      </c>
      <c r="RV32" s="970">
        <v>15.672056862745102</v>
      </c>
      <c r="RW32" s="970">
        <v>4.7562271971402836</v>
      </c>
      <c r="RX32" s="970">
        <v>86.432564705882356</v>
      </c>
      <c r="RY32" s="970">
        <v>4.3669331071856234</v>
      </c>
      <c r="RZ32" s="970">
        <v>58.10918627450981</v>
      </c>
      <c r="SA32" s="971">
        <v>87.203888871344631</v>
      </c>
    </row>
    <row r="33" spans="1:495">
      <c r="A33" s="967">
        <f>[3]Eingabedaten!A35</f>
        <v>9.01</v>
      </c>
      <c r="B33" s="930" t="str">
        <f>[3]Eingabedaten!C35</f>
        <v>Produktion (grobe Arbeit)</v>
      </c>
      <c r="C33" s="988">
        <f t="shared" si="1"/>
        <v>27</v>
      </c>
      <c r="D33" s="954" cm="1">
        <f t="array" ref="D33">INDEX($P$7:$SA$51,$C33,$G$3-1+D$2)</f>
        <v>26.152069934640526</v>
      </c>
      <c r="E33" s="955" cm="1">
        <f t="array" ref="E33">INDEX($P$7:$SA$51,$C33,$G$3-1+E$2)</f>
        <v>4.956276018563738</v>
      </c>
      <c r="F33" s="955" cm="1">
        <f t="array" ref="F33">INDEX($P$7:$SA$51,$C33,$G$3-1+F$2)</f>
        <v>18.805633333333336</v>
      </c>
      <c r="G33" s="955" cm="1">
        <f t="array" ref="G33">INDEX($P$7:$SA$51,$C33,$G$3-1+G$2)</f>
        <v>15.094722786649299</v>
      </c>
      <c r="H33" s="955" cm="1">
        <f t="array" ref="H33">INDEX($P$7:$SA$51,$C33,$G$3-1+H$2)</f>
        <v>20.464939869281043</v>
      </c>
      <c r="I33" s="955" cm="1">
        <f t="array" ref="I33">INDEX($P$7:$SA$51,$C33,$G$3-1+I$2)</f>
        <v>3.5496163321360896</v>
      </c>
      <c r="J33" s="955" cm="1">
        <f t="array" ref="J33">INDEX($P$7:$SA$51,$C33,$G$3-1+J$2)</f>
        <v>14.922266666666669</v>
      </c>
      <c r="K33" s="955" cm="1">
        <f t="array" ref="K33">INDEX($P$7:$SA$51,$C33,$G$3-1+K$2)</f>
        <v>8.7736270676034351</v>
      </c>
      <c r="L33" s="955" cm="1">
        <f t="array" ref="L33">INDEX($P$7:$SA$51,$C33,$G$3-1+L$2)</f>
        <v>0</v>
      </c>
      <c r="M33" s="955" cm="1">
        <f t="array" ref="M33">INDEX($P$7:$SA$51,$C33,$G$3-1+M$2)</f>
        <v>0</v>
      </c>
      <c r="N33" s="955" cm="1">
        <f t="array" ref="N33">INDEX($P$7:$SA$51,$C33,$G$3-1+N$2)</f>
        <v>55.358466666666686</v>
      </c>
      <c r="O33" s="956" cm="1">
        <f t="array" ref="O33">INDEX($P$7:$SA$51,$C33,$G$3-1+O$2)</f>
        <v>83.958276475684798</v>
      </c>
      <c r="P33" s="969">
        <v>13.187197385620916</v>
      </c>
      <c r="Q33" s="970">
        <v>0</v>
      </c>
      <c r="R33" s="970">
        <v>20.710827450980393</v>
      </c>
      <c r="S33" s="970">
        <v>15.152977499998231</v>
      </c>
      <c r="T33" s="970">
        <v>12.079458823529414</v>
      </c>
      <c r="U33" s="970">
        <v>0</v>
      </c>
      <c r="V33" s="970">
        <v>16.464654901960788</v>
      </c>
      <c r="W33" s="970">
        <v>7.1122614375179545</v>
      </c>
      <c r="X33" s="970">
        <v>0</v>
      </c>
      <c r="Y33" s="970">
        <v>0</v>
      </c>
      <c r="Z33" s="970">
        <v>60.678631372549027</v>
      </c>
      <c r="AA33" s="971">
        <v>108.19918734239118</v>
      </c>
      <c r="AB33" s="969">
        <v>26.656461960784316</v>
      </c>
      <c r="AC33" s="970">
        <v>4.9393342071205995</v>
      </c>
      <c r="AD33" s="970">
        <v>17.394378431372552</v>
      </c>
      <c r="AE33" s="970">
        <v>14.328160309983236</v>
      </c>
      <c r="AF33" s="970">
        <v>20.624055058823529</v>
      </c>
      <c r="AG33" s="970">
        <v>3.5377135707807312</v>
      </c>
      <c r="AH33" s="970">
        <v>13.779756862745103</v>
      </c>
      <c r="AI33" s="970">
        <v>8.4422659316648652</v>
      </c>
      <c r="AJ33" s="970">
        <v>0</v>
      </c>
      <c r="AK33" s="970">
        <v>0</v>
      </c>
      <c r="AL33" s="970">
        <v>51.417603921568642</v>
      </c>
      <c r="AM33" s="971">
        <v>80.250694074878894</v>
      </c>
      <c r="AN33" s="969">
        <v>22.575631372549022</v>
      </c>
      <c r="AO33" s="970">
        <v>3.0602481926055694</v>
      </c>
      <c r="AP33" s="970">
        <v>17.464941176470592</v>
      </c>
      <c r="AQ33" s="970">
        <v>17.049833726708055</v>
      </c>
      <c r="AR33" s="970">
        <v>21.15079163398693</v>
      </c>
      <c r="AS33" s="970">
        <v>2.1953837421006357</v>
      </c>
      <c r="AT33" s="970">
        <v>13.836882352941181</v>
      </c>
      <c r="AU33" s="970">
        <v>10.720247185229026</v>
      </c>
      <c r="AV33" s="970">
        <v>0</v>
      </c>
      <c r="AW33" s="970">
        <v>0</v>
      </c>
      <c r="AX33" s="970">
        <v>51.61464705882355</v>
      </c>
      <c r="AY33" s="971">
        <v>87.454573231187965</v>
      </c>
      <c r="AZ33" s="969">
        <v>28.773465098039221</v>
      </c>
      <c r="BA33" s="970">
        <v>6.9930408997441278</v>
      </c>
      <c r="BB33" s="970">
        <v>18.100005882352946</v>
      </c>
      <c r="BC33" s="970">
        <v>12.471521386885779</v>
      </c>
      <c r="BD33" s="970">
        <v>22.135595346405228</v>
      </c>
      <c r="BE33" s="970">
        <v>5.0047727963737998</v>
      </c>
      <c r="BF33" s="970">
        <v>14.351011764705888</v>
      </c>
      <c r="BG33" s="970">
        <v>7.0566167073705053</v>
      </c>
      <c r="BH33" s="970">
        <v>45.599322875816988</v>
      </c>
      <c r="BI33" s="970">
        <v>0.52304381133010736</v>
      </c>
      <c r="BJ33" s="970">
        <v>53.388035294117664</v>
      </c>
      <c r="BK33" s="971">
        <v>73.574926362812278</v>
      </c>
      <c r="BL33" s="969">
        <v>25.316458431372553</v>
      </c>
      <c r="BM33" s="970">
        <v>4.9779497929558945</v>
      </c>
      <c r="BN33" s="970">
        <v>18.735070588235295</v>
      </c>
      <c r="BO33" s="970">
        <v>15.410491566149203</v>
      </c>
      <c r="BP33" s="970">
        <v>19.666780078431376</v>
      </c>
      <c r="BQ33" s="970">
        <v>3.5650873659233588</v>
      </c>
      <c r="BR33" s="970">
        <v>14.865141176470592</v>
      </c>
      <c r="BS33" s="970">
        <v>8.8449705820187408</v>
      </c>
      <c r="BT33" s="970">
        <v>0</v>
      </c>
      <c r="BU33" s="970">
        <v>0</v>
      </c>
      <c r="BV33" s="970">
        <v>55.161423529411778</v>
      </c>
      <c r="BW33" s="971">
        <v>86.061842592488233</v>
      </c>
      <c r="BX33" s="969">
        <v>24.628702745098046</v>
      </c>
      <c r="BY33" s="970">
        <v>5.307602719588572</v>
      </c>
      <c r="BZ33" s="970">
        <v>18.523382352941184</v>
      </c>
      <c r="CA33" s="970">
        <v>17.035317932019392</v>
      </c>
      <c r="CB33" s="970">
        <v>19.734655686274518</v>
      </c>
      <c r="CC33" s="970">
        <v>3.8007099755945912</v>
      </c>
      <c r="CD33" s="970">
        <v>14.693764705882357</v>
      </c>
      <c r="CE33" s="970">
        <v>10.569468523954852</v>
      </c>
      <c r="CF33" s="970">
        <v>0</v>
      </c>
      <c r="CG33" s="970">
        <v>0</v>
      </c>
      <c r="CH33" s="970">
        <v>54.570294117647073</v>
      </c>
      <c r="CI33" s="971">
        <v>87.42636260065315</v>
      </c>
      <c r="CJ33" s="969">
        <v>24.567010980392158</v>
      </c>
      <c r="CK33" s="970">
        <v>3.761554540280077</v>
      </c>
      <c r="CL33" s="970">
        <v>18.593945098039217</v>
      </c>
      <c r="CM33" s="970">
        <v>12.713963519438748</v>
      </c>
      <c r="CN33" s="970">
        <v>19.636665882352943</v>
      </c>
      <c r="CO33" s="970">
        <v>2.6962851233117542</v>
      </c>
      <c r="CP33" s="970">
        <v>14.750890196078435</v>
      </c>
      <c r="CQ33" s="970">
        <v>6.7458267025531482</v>
      </c>
      <c r="CR33" s="970">
        <v>0</v>
      </c>
      <c r="CS33" s="970">
        <v>0</v>
      </c>
      <c r="CT33" s="970">
        <v>54.76733725490196</v>
      </c>
      <c r="CU33" s="971">
        <v>79.316612792014681</v>
      </c>
      <c r="CV33" s="969">
        <v>11.495045751633993</v>
      </c>
      <c r="CW33" s="970">
        <v>0</v>
      </c>
      <c r="CX33" s="970">
        <v>22.757147058823534</v>
      </c>
      <c r="CY33" s="970">
        <v>18.227276639038369</v>
      </c>
      <c r="CZ33" s="970">
        <v>8.8242784313725497</v>
      </c>
      <c r="DA33" s="970">
        <v>0</v>
      </c>
      <c r="DB33" s="970">
        <v>18.121294117647064</v>
      </c>
      <c r="DC33" s="970">
        <v>8.572119234128742</v>
      </c>
      <c r="DD33" s="970">
        <v>0</v>
      </c>
      <c r="DE33" s="970">
        <v>0</v>
      </c>
      <c r="DF33" s="970">
        <v>66.3928823529412</v>
      </c>
      <c r="DG33" s="971">
        <v>122.59288041831414</v>
      </c>
      <c r="DH33" s="969">
        <v>22.938185620915036</v>
      </c>
      <c r="DI33" s="970">
        <v>0</v>
      </c>
      <c r="DJ33" s="970">
        <v>20.358013725490199</v>
      </c>
      <c r="DK33" s="970">
        <v>13.707791957135067</v>
      </c>
      <c r="DL33" s="970">
        <v>18.303060130718958</v>
      </c>
      <c r="DM33" s="970">
        <v>0</v>
      </c>
      <c r="DN33" s="970">
        <v>16.179027450980396</v>
      </c>
      <c r="DO33" s="970">
        <v>6.487527057950822</v>
      </c>
      <c r="DP33" s="970">
        <v>0</v>
      </c>
      <c r="DQ33" s="970">
        <v>0</v>
      </c>
      <c r="DR33" s="970">
        <v>59.69341568627452</v>
      </c>
      <c r="DS33" s="971">
        <v>98.155937637033276</v>
      </c>
      <c r="DT33" s="969">
        <v>24.067386274509808</v>
      </c>
      <c r="DU33" s="970">
        <v>0</v>
      </c>
      <c r="DV33" s="970">
        <v>21.416454901960783</v>
      </c>
      <c r="DW33" s="970">
        <v>22.20333068406131</v>
      </c>
      <c r="DX33" s="970">
        <v>18.744152941176473</v>
      </c>
      <c r="DY33" s="970">
        <v>0</v>
      </c>
      <c r="DZ33" s="970">
        <v>17.035909803921573</v>
      </c>
      <c r="EA33" s="970">
        <v>13.303898666740041</v>
      </c>
      <c r="EB33" s="970">
        <v>0</v>
      </c>
      <c r="EC33" s="970">
        <v>0</v>
      </c>
      <c r="ED33" s="970">
        <v>62.64906274509805</v>
      </c>
      <c r="EE33" s="971">
        <v>114.85478094080565</v>
      </c>
      <c r="EF33" s="969">
        <v>26.623326666666671</v>
      </c>
      <c r="EG33" s="970">
        <v>7.951049102449244</v>
      </c>
      <c r="EH33" s="970">
        <v>16.477062745098038</v>
      </c>
      <c r="EI33" s="970">
        <v>11.906750192085557</v>
      </c>
      <c r="EJ33" s="970">
        <v>20.6134954248366</v>
      </c>
      <c r="EK33" s="970">
        <v>5.6920806526996142</v>
      </c>
      <c r="EL33" s="970">
        <v>13.037125490196082</v>
      </c>
      <c r="EM33" s="970">
        <v>6.7356214361386311</v>
      </c>
      <c r="EN33" s="970">
        <v>42.603262745098043</v>
      </c>
      <c r="EO33" s="970">
        <v>2.2148392688508056</v>
      </c>
      <c r="EP33" s="970">
        <v>48.8560431372549</v>
      </c>
      <c r="EQ33" s="971">
        <v>71.329706825855212</v>
      </c>
      <c r="ER33" s="969">
        <v>24.319516078431377</v>
      </c>
      <c r="ES33" s="970">
        <v>1.8408825112500127</v>
      </c>
      <c r="ET33" s="970">
        <v>19.299572549019608</v>
      </c>
      <c r="EU33" s="970">
        <v>22.233801681495226</v>
      </c>
      <c r="EV33" s="970">
        <v>19.477858562091505</v>
      </c>
      <c r="EW33" s="970">
        <v>1.3241254659515627</v>
      </c>
      <c r="EX33" s="970">
        <v>15.322145098039218</v>
      </c>
      <c r="EY33" s="970">
        <v>14.251319697795463</v>
      </c>
      <c r="EZ33" s="970">
        <v>0</v>
      </c>
      <c r="FA33" s="970">
        <v>0</v>
      </c>
      <c r="FB33" s="970">
        <v>56.737768627450983</v>
      </c>
      <c r="FC33" s="971">
        <v>103.48005582217969</v>
      </c>
      <c r="FD33" s="969">
        <v>6.3178862745098083</v>
      </c>
      <c r="FE33" s="970">
        <v>0</v>
      </c>
      <c r="FF33" s="970">
        <v>24.380090196078434</v>
      </c>
      <c r="FG33" s="970">
        <v>22.840114102593887</v>
      </c>
      <c r="FH33" s="970">
        <v>5.2428614379084983</v>
      </c>
      <c r="FI33" s="970">
        <v>0</v>
      </c>
      <c r="FJ33" s="970">
        <v>19.435180392156866</v>
      </c>
      <c r="FK33" s="970">
        <v>11.252900392345589</v>
      </c>
      <c r="FL33" s="970">
        <v>0</v>
      </c>
      <c r="FM33" s="970">
        <v>0</v>
      </c>
      <c r="FN33" s="970">
        <v>70.924874509803942</v>
      </c>
      <c r="FO33" s="971">
        <v>149.44920274604047</v>
      </c>
      <c r="FP33" s="969">
        <v>25.293450326797391</v>
      </c>
      <c r="FQ33" s="970">
        <v>4.803329114847398</v>
      </c>
      <c r="FR33" s="970">
        <v>18.452819607843143</v>
      </c>
      <c r="FS33" s="970">
        <v>17.18451541171552</v>
      </c>
      <c r="FT33" s="970">
        <v>19.788441830065363</v>
      </c>
      <c r="FU33" s="970">
        <v>3.4403579690103854</v>
      </c>
      <c r="FV33" s="970">
        <v>14.636639215686277</v>
      </c>
      <c r="FW33" s="970">
        <v>10.564449180112325</v>
      </c>
      <c r="FX33" s="970">
        <v>0</v>
      </c>
      <c r="FY33" s="970">
        <v>0</v>
      </c>
      <c r="FZ33" s="970">
        <v>54.373250980392172</v>
      </c>
      <c r="GA33" s="971">
        <v>88.81267704934136</v>
      </c>
      <c r="GB33" s="969">
        <v>22.668269934640527</v>
      </c>
      <c r="GC33" s="970">
        <v>3.0739993827728873</v>
      </c>
      <c r="GD33" s="970">
        <v>18.452819607843143</v>
      </c>
      <c r="GE33" s="970">
        <v>17.378024665870786</v>
      </c>
      <c r="GF33" s="970">
        <v>17.786916339869283</v>
      </c>
      <c r="GG33" s="970">
        <v>2.2049761051094996</v>
      </c>
      <c r="GH33" s="970">
        <v>14.636639215686277</v>
      </c>
      <c r="GI33" s="970">
        <v>10.277644688710685</v>
      </c>
      <c r="GJ33" s="970">
        <v>0</v>
      </c>
      <c r="GK33" s="970">
        <v>0</v>
      </c>
      <c r="GL33" s="970">
        <v>54.373250980392172</v>
      </c>
      <c r="GM33" s="971">
        <v>92.386140033527639</v>
      </c>
      <c r="GN33" s="969">
        <v>21.445620261437909</v>
      </c>
      <c r="GO33" s="970">
        <v>0.3367124656860761</v>
      </c>
      <c r="GP33" s="970">
        <v>20.216888235294121</v>
      </c>
      <c r="GQ33" s="970">
        <v>15.950844072140333</v>
      </c>
      <c r="GR33" s="970">
        <v>16.829330718954253</v>
      </c>
      <c r="GS33" s="970">
        <v>0.24629982570068926</v>
      </c>
      <c r="GT33" s="970">
        <v>16.064776470588239</v>
      </c>
      <c r="GU33" s="970">
        <v>8.1647588279943477</v>
      </c>
      <c r="GV33" s="970">
        <v>0</v>
      </c>
      <c r="GW33" s="970">
        <v>0</v>
      </c>
      <c r="GX33" s="970">
        <v>59.299329411764724</v>
      </c>
      <c r="GY33" s="971">
        <v>101.53893521069398</v>
      </c>
      <c r="GZ33" s="969">
        <v>18.865066666666667</v>
      </c>
      <c r="HA33" s="970">
        <v>0</v>
      </c>
      <c r="HB33" s="970">
        <v>20.287450980392162</v>
      </c>
      <c r="HC33" s="970">
        <v>20.510465811401211</v>
      </c>
      <c r="HD33" s="970">
        <v>14.680619607843139</v>
      </c>
      <c r="HE33" s="970">
        <v>0</v>
      </c>
      <c r="HF33" s="970">
        <v>16.121901960784321</v>
      </c>
      <c r="HG33" s="970">
        <v>11.547331456683105</v>
      </c>
      <c r="HH33" s="970">
        <v>0</v>
      </c>
      <c r="HI33" s="970">
        <v>0</v>
      </c>
      <c r="HJ33" s="970">
        <v>59.496372549019625</v>
      </c>
      <c r="HK33" s="971">
        <v>113.74583028571</v>
      </c>
      <c r="HL33" s="969">
        <v>24.955788235294118</v>
      </c>
      <c r="HM33" s="970">
        <v>10.729424277321691</v>
      </c>
      <c r="HN33" s="970">
        <v>14.430743137254904</v>
      </c>
      <c r="HO33" s="970">
        <v>5.4712929465811655</v>
      </c>
      <c r="HP33" s="970">
        <v>20.196128104575166</v>
      </c>
      <c r="HQ33" s="970">
        <v>7.680243605946818</v>
      </c>
      <c r="HR33" s="970">
        <v>11.380486274509808</v>
      </c>
      <c r="HS33" s="970">
        <v>2.4869774630114478</v>
      </c>
      <c r="HT33" s="970">
        <v>37.86085751633987</v>
      </c>
      <c r="HU33" s="970">
        <v>5.4039373834913285</v>
      </c>
      <c r="HV33" s="970">
        <v>43.141792156862749</v>
      </c>
      <c r="HW33" s="971">
        <v>54.687902410489578</v>
      </c>
      <c r="HX33" s="969">
        <v>27.550759477124188</v>
      </c>
      <c r="HY33" s="970">
        <v>11.587554629824963</v>
      </c>
      <c r="HZ33" s="970">
        <v>14.077929411764707</v>
      </c>
      <c r="IA33" s="970">
        <v>4.489906073533243</v>
      </c>
      <c r="IB33" s="970">
        <v>22.00254640522876</v>
      </c>
      <c r="IC33" s="970">
        <v>8.2932978996978246</v>
      </c>
      <c r="ID33" s="970">
        <v>11.094858823529416</v>
      </c>
      <c r="IE33" s="970">
        <v>1.8205457832391649</v>
      </c>
      <c r="IF33" s="970">
        <v>41.260099346405227</v>
      </c>
      <c r="IG33" s="970">
        <v>6.3523655006372985</v>
      </c>
      <c r="IH33" s="970">
        <v>42.156576470588242</v>
      </c>
      <c r="II33" s="971">
        <v>53.099348071427116</v>
      </c>
      <c r="IJ33" s="969">
        <v>26.695191764705889</v>
      </c>
      <c r="IK33" s="970">
        <v>4.7344350072957635</v>
      </c>
      <c r="IL33" s="970">
        <v>18.029443137254905</v>
      </c>
      <c r="IM33" s="970">
        <v>16.469460838037769</v>
      </c>
      <c r="IN33" s="970">
        <v>20.651157594771245</v>
      </c>
      <c r="IO33" s="970">
        <v>3.3913153826920932</v>
      </c>
      <c r="IP33" s="970">
        <v>14.293886274509807</v>
      </c>
      <c r="IQ33" s="970">
        <v>10.07500576485481</v>
      </c>
      <c r="IR33" s="970">
        <v>0</v>
      </c>
      <c r="IS33" s="970">
        <v>0</v>
      </c>
      <c r="IT33" s="970">
        <v>53.190992156862748</v>
      </c>
      <c r="IU33" s="971">
        <v>86.61516213226605</v>
      </c>
      <c r="IV33" s="969">
        <v>26.670893464052288</v>
      </c>
      <c r="IW33" s="970">
        <v>10.694962112528227</v>
      </c>
      <c r="IX33" s="970">
        <v>15.630309803921573</v>
      </c>
      <c r="IY33" s="970">
        <v>8.6856725824321561</v>
      </c>
      <c r="IZ33" s="970">
        <v>20.835528104575161</v>
      </c>
      <c r="JA33" s="970">
        <v>7.6556485823440772</v>
      </c>
      <c r="JB33" s="970">
        <v>12.351619607843141</v>
      </c>
      <c r="JC33" s="970">
        <v>4.529605423567415</v>
      </c>
      <c r="JD33" s="970">
        <v>40.096373856209148</v>
      </c>
      <c r="JE33" s="970">
        <v>5.2801341130033155</v>
      </c>
      <c r="JF33" s="970">
        <v>46.491525490196089</v>
      </c>
      <c r="JG33" s="971">
        <v>65.078815527000245</v>
      </c>
      <c r="JH33" s="969">
        <v>20.463530718954249</v>
      </c>
      <c r="JI33" s="970">
        <v>8.0162968285521316E-2</v>
      </c>
      <c r="JJ33" s="970">
        <v>20.287450980392162</v>
      </c>
      <c r="JK33" s="970">
        <v>12.222274941153644</v>
      </c>
      <c r="JL33" s="970">
        <v>15.787722875816993</v>
      </c>
      <c r="JM33" s="970">
        <v>6.0096562717790979E-2</v>
      </c>
      <c r="JN33" s="970">
        <v>16.121901960784321</v>
      </c>
      <c r="JO33" s="970">
        <v>5.2554646269241356</v>
      </c>
      <c r="JP33" s="970">
        <v>0</v>
      </c>
      <c r="JQ33" s="970">
        <v>0</v>
      </c>
      <c r="JR33" s="970">
        <v>59.496372549019625</v>
      </c>
      <c r="JS33" s="971">
        <v>94.286396422702097</v>
      </c>
      <c r="JT33" s="969">
        <v>22.136143137254908</v>
      </c>
      <c r="JU33" s="970">
        <v>6.2590080162473987</v>
      </c>
      <c r="JV33" s="970">
        <v>17.323815686274514</v>
      </c>
      <c r="JW33" s="970">
        <v>14.819161088105631</v>
      </c>
      <c r="JX33" s="970">
        <v>17.885949019607846</v>
      </c>
      <c r="JY33" s="970">
        <v>4.4805062340248911</v>
      </c>
      <c r="JZ33" s="970">
        <v>13.722631372549023</v>
      </c>
      <c r="KA33" s="970">
        <v>9.0195887174087073</v>
      </c>
      <c r="KB33" s="970">
        <v>33.710407843137254</v>
      </c>
      <c r="KC33" s="970">
        <v>0.31882419953215724</v>
      </c>
      <c r="KD33" s="970">
        <v>51.220560784313733</v>
      </c>
      <c r="KE33" s="971">
        <v>80.117565132972615</v>
      </c>
      <c r="KF33" s="969">
        <v>27.775783529411765</v>
      </c>
      <c r="KG33" s="970">
        <v>5.6776629883611207</v>
      </c>
      <c r="KH33" s="970">
        <v>18.24113137254902</v>
      </c>
      <c r="KI33" s="970">
        <v>15.463036426723253</v>
      </c>
      <c r="KJ33" s="970">
        <v>21.423138457516345</v>
      </c>
      <c r="KK33" s="970">
        <v>4.0649660801900795</v>
      </c>
      <c r="KL33" s="970">
        <v>14.465262745098045</v>
      </c>
      <c r="KM33" s="970">
        <v>9.1650934358285756</v>
      </c>
      <c r="KN33" s="970">
        <v>0</v>
      </c>
      <c r="KO33" s="970">
        <v>0</v>
      </c>
      <c r="KP33" s="970">
        <v>53.78212156862746</v>
      </c>
      <c r="KQ33" s="971">
        <v>83.692961285007897</v>
      </c>
      <c r="KR33" s="969">
        <v>23.075646405228767</v>
      </c>
      <c r="KS33" s="970">
        <v>1.6466417106233309</v>
      </c>
      <c r="KT33" s="970">
        <v>18.593945098039217</v>
      </c>
      <c r="KU33" s="970">
        <v>20.960424064219605</v>
      </c>
      <c r="KV33" s="970">
        <v>17.888304575163403</v>
      </c>
      <c r="KW33" s="970">
        <v>1.182375987603187</v>
      </c>
      <c r="KX33" s="970">
        <v>14.750890196078435</v>
      </c>
      <c r="KY33" s="970">
        <v>13.247199226908894</v>
      </c>
      <c r="KZ33" s="970">
        <v>0</v>
      </c>
      <c r="LA33" s="970">
        <v>0</v>
      </c>
      <c r="LB33" s="970">
        <v>54.76733725490196</v>
      </c>
      <c r="LC33" s="971">
        <v>103.72556731790134</v>
      </c>
      <c r="LD33" s="969">
        <v>26.747863398692811</v>
      </c>
      <c r="LE33" s="970">
        <v>8.1535998160680982</v>
      </c>
      <c r="LF33" s="970">
        <v>16.547625490196079</v>
      </c>
      <c r="LG33" s="970">
        <v>10.742940739282423</v>
      </c>
      <c r="LH33" s="970">
        <v>20.86944052287582</v>
      </c>
      <c r="LI33" s="970">
        <v>5.8396175007840467</v>
      </c>
      <c r="LJ33" s="970">
        <v>13.094250980392161</v>
      </c>
      <c r="LK33" s="970">
        <v>5.9211170956867321</v>
      </c>
      <c r="LL33" s="970">
        <v>40.167147712418299</v>
      </c>
      <c r="LM33" s="970">
        <v>2.2971922100272826</v>
      </c>
      <c r="LN33" s="970">
        <v>49.053086274509809</v>
      </c>
      <c r="LO33" s="971">
        <v>67.875756985180814</v>
      </c>
      <c r="LP33" s="969">
        <v>15.131932026143792</v>
      </c>
      <c r="LQ33" s="970">
        <v>0.205395935795325</v>
      </c>
      <c r="LR33" s="970">
        <v>19.017321568627452</v>
      </c>
      <c r="LS33" s="970">
        <v>17.858232594027843</v>
      </c>
      <c r="LT33" s="970">
        <v>11.435627450980393</v>
      </c>
      <c r="LU33" s="970">
        <v>0.14970730372101343</v>
      </c>
      <c r="LV33" s="970">
        <v>15.093643137254904</v>
      </c>
      <c r="LW33" s="970">
        <v>9.6795766910360328</v>
      </c>
      <c r="LX33" s="970">
        <v>0</v>
      </c>
      <c r="LY33" s="970">
        <v>0</v>
      </c>
      <c r="LZ33" s="970">
        <v>55.949596078431384</v>
      </c>
      <c r="MA33" s="971">
        <v>105.53866649751492</v>
      </c>
      <c r="MB33" s="969">
        <v>25.357295686274519</v>
      </c>
      <c r="MC33" s="970">
        <v>4.2302434351859599</v>
      </c>
      <c r="MD33" s="970">
        <v>19.229009803921574</v>
      </c>
      <c r="ME33" s="970">
        <v>16.68904689272431</v>
      </c>
      <c r="MF33" s="970">
        <v>20.097286535947717</v>
      </c>
      <c r="MG33" s="970">
        <v>3.03087562985406</v>
      </c>
      <c r="MH33" s="970">
        <v>15.265019607843142</v>
      </c>
      <c r="MI33" s="970">
        <v>10.094911231543966</v>
      </c>
      <c r="MJ33" s="970">
        <v>0</v>
      </c>
      <c r="MK33" s="970">
        <v>0</v>
      </c>
      <c r="ML33" s="970">
        <v>56.540725490196095</v>
      </c>
      <c r="MM33" s="971">
        <v>88.307098360993621</v>
      </c>
      <c r="MN33" s="969">
        <v>16.441867320261444</v>
      </c>
      <c r="MO33" s="970">
        <v>0</v>
      </c>
      <c r="MP33" s="970">
        <v>25.932470588235297</v>
      </c>
      <c r="MQ33" s="970">
        <v>22.739081992144634</v>
      </c>
      <c r="MR33" s="970">
        <v>12.686436601307189</v>
      </c>
      <c r="MS33" s="970">
        <v>0</v>
      </c>
      <c r="MT33" s="970">
        <v>20.691941176470593</v>
      </c>
      <c r="MU33" s="970">
        <v>10.850977660141206</v>
      </c>
      <c r="MV33" s="970">
        <v>0</v>
      </c>
      <c r="MW33" s="970">
        <v>0</v>
      </c>
      <c r="MX33" s="970">
        <v>75.25982352941179</v>
      </c>
      <c r="MY33" s="971">
        <v>138.59584618223246</v>
      </c>
      <c r="MZ33" s="969">
        <v>14.417175163398699</v>
      </c>
      <c r="NA33" s="970">
        <v>0</v>
      </c>
      <c r="NB33" s="970">
        <v>21.204766666666671</v>
      </c>
      <c r="NC33" s="970">
        <v>21.91070615026015</v>
      </c>
      <c r="ND33" s="970">
        <v>11.208628758169942</v>
      </c>
      <c r="NE33" s="970">
        <v>0</v>
      </c>
      <c r="NF33" s="970">
        <v>16.864533333333338</v>
      </c>
      <c r="NG33" s="970">
        <v>11.6516985800958</v>
      </c>
      <c r="NH33" s="970">
        <v>0</v>
      </c>
      <c r="NI33" s="970">
        <v>0</v>
      </c>
      <c r="NJ33" s="970">
        <v>62.057933333333352</v>
      </c>
      <c r="NK33" s="971">
        <v>132.84522277906001</v>
      </c>
      <c r="NL33" s="969">
        <v>21.986116993464059</v>
      </c>
      <c r="NM33" s="970">
        <v>2.6057810950944575</v>
      </c>
      <c r="NN33" s="970">
        <v>20.075762745098039</v>
      </c>
      <c r="NO33" s="970">
        <v>16.370599126041078</v>
      </c>
      <c r="NP33" s="970">
        <v>17.110069281045753</v>
      </c>
      <c r="NQ33" s="970">
        <v>1.8702417890724321</v>
      </c>
      <c r="NR33" s="970">
        <v>15.950525490196082</v>
      </c>
      <c r="NS33" s="970">
        <v>9.3967544235310623</v>
      </c>
      <c r="NT33" s="970">
        <v>0</v>
      </c>
      <c r="NU33" s="970">
        <v>0</v>
      </c>
      <c r="NV33" s="970">
        <v>58.905243137254914</v>
      </c>
      <c r="NW33" s="971">
        <v>91.827949393498827</v>
      </c>
      <c r="NX33" s="969">
        <v>23.109269934640526</v>
      </c>
      <c r="NY33" s="970">
        <v>4.8129009786748496</v>
      </c>
      <c r="NZ33" s="970">
        <v>18.805633333333336</v>
      </c>
      <c r="OA33" s="970">
        <v>18.024435630989753</v>
      </c>
      <c r="OB33" s="970">
        <v>18.110035294117655</v>
      </c>
      <c r="OC33" s="970">
        <v>3.4472891640498702</v>
      </c>
      <c r="OD33" s="970">
        <v>14.922266666666669</v>
      </c>
      <c r="OE33" s="970">
        <v>11.172287544983099</v>
      </c>
      <c r="OF33" s="970">
        <v>0</v>
      </c>
      <c r="OG33" s="970">
        <v>0</v>
      </c>
      <c r="OH33" s="970">
        <v>55.358466666666686</v>
      </c>
      <c r="OI33" s="971">
        <v>90.905201664901341</v>
      </c>
      <c r="OJ33" s="969">
        <v>21.426768627450986</v>
      </c>
      <c r="OK33" s="970">
        <v>5.2250428043691954E-2</v>
      </c>
      <c r="OL33" s="970">
        <v>21.980956862745103</v>
      </c>
      <c r="OM33" s="970">
        <v>18.154457767303025</v>
      </c>
      <c r="ON33" s="970">
        <v>16.724992156862751</v>
      </c>
      <c r="OO33" s="970">
        <v>4.021190775808018E-2</v>
      </c>
      <c r="OP33" s="970">
        <v>17.492913725490201</v>
      </c>
      <c r="OQ33" s="970">
        <v>9.389281651354505</v>
      </c>
      <c r="OR33" s="970">
        <v>0</v>
      </c>
      <c r="OS33" s="970">
        <v>0</v>
      </c>
      <c r="OT33" s="970">
        <v>64.225407843137276</v>
      </c>
      <c r="OU33" s="971">
        <v>108.64582564192685</v>
      </c>
      <c r="OV33" s="969">
        <v>24.799287581699353</v>
      </c>
      <c r="OW33" s="970">
        <v>7.3108598257120052</v>
      </c>
      <c r="OX33" s="970">
        <v>17.747192156862749</v>
      </c>
      <c r="OY33" s="970">
        <v>13.060327062917176</v>
      </c>
      <c r="OZ33" s="970">
        <v>19.731159477124187</v>
      </c>
      <c r="PA33" s="970">
        <v>5.2347801892052104</v>
      </c>
      <c r="PB33" s="970">
        <v>14.065384313725495</v>
      </c>
      <c r="PC33" s="970">
        <v>7.0525875343231226</v>
      </c>
      <c r="PD33" s="970">
        <v>37.246326797385628</v>
      </c>
      <c r="PE33" s="970">
        <v>0.79290132874348374</v>
      </c>
      <c r="PF33" s="970">
        <v>52.402819607843156</v>
      </c>
      <c r="PG33" s="971">
        <v>76.093008940550263</v>
      </c>
      <c r="PH33" s="969">
        <v>20.569856209150331</v>
      </c>
      <c r="PI33" s="970">
        <v>0</v>
      </c>
      <c r="PJ33" s="970">
        <v>24.944592156862754</v>
      </c>
      <c r="PK33" s="970">
        <v>22.558290965876335</v>
      </c>
      <c r="PL33" s="970">
        <v>16.050601307189545</v>
      </c>
      <c r="PM33" s="970">
        <v>0</v>
      </c>
      <c r="PN33" s="970">
        <v>19.892184313725494</v>
      </c>
      <c r="PO33" s="970">
        <v>11.937454203684755</v>
      </c>
      <c r="PP33" s="970">
        <v>0</v>
      </c>
      <c r="PQ33" s="970">
        <v>0</v>
      </c>
      <c r="PR33" s="970">
        <v>72.501219607843154</v>
      </c>
      <c r="PS33" s="971">
        <v>122.91253391626162</v>
      </c>
      <c r="PT33" s="969">
        <v>26.090346274509809</v>
      </c>
      <c r="PU33" s="970">
        <v>4.5405885689009908</v>
      </c>
      <c r="PV33" s="970">
        <v>19.017321568627452</v>
      </c>
      <c r="PW33" s="970">
        <v>13.927726709343911</v>
      </c>
      <c r="PX33" s="970">
        <v>20.792167843137257</v>
      </c>
      <c r="PY33" s="970">
        <v>3.2528113419539784</v>
      </c>
      <c r="PZ33" s="970">
        <v>15.093643137254904</v>
      </c>
      <c r="QA33" s="970">
        <v>7.9378432550580982</v>
      </c>
      <c r="QB33" s="970">
        <v>0</v>
      </c>
      <c r="QC33" s="970">
        <v>0</v>
      </c>
      <c r="QD33" s="970">
        <v>55.949596078431384</v>
      </c>
      <c r="QE33" s="971">
        <v>79.843642272833435</v>
      </c>
      <c r="QF33" s="969">
        <v>25.676655686274515</v>
      </c>
      <c r="QG33" s="970">
        <v>4.8289058956500144</v>
      </c>
      <c r="QH33" s="970">
        <v>18.664507843137258</v>
      </c>
      <c r="QI33" s="970">
        <v>17.099864448286432</v>
      </c>
      <c r="QJ33" s="970">
        <v>19.924107032679743</v>
      </c>
      <c r="QK33" s="970">
        <v>3.4586059486413285</v>
      </c>
      <c r="QL33" s="970">
        <v>14.808015686274514</v>
      </c>
      <c r="QM33" s="970">
        <v>10.380866178348004</v>
      </c>
      <c r="QN33" s="970">
        <v>0</v>
      </c>
      <c r="QO33" s="970">
        <v>0</v>
      </c>
      <c r="QP33" s="970">
        <v>54.964380392156869</v>
      </c>
      <c r="QQ33" s="971">
        <v>89.22005632201126</v>
      </c>
      <c r="QR33" s="969">
        <v>13.501479084967324</v>
      </c>
      <c r="QS33" s="970">
        <v>0</v>
      </c>
      <c r="QT33" s="970">
        <v>21.34589215686275</v>
      </c>
      <c r="QU33" s="970">
        <v>18.011979231387436</v>
      </c>
      <c r="QV33" s="970">
        <v>11.244069281045753</v>
      </c>
      <c r="QW33" s="970">
        <v>0</v>
      </c>
      <c r="QX33" s="970">
        <v>16.978784313725495</v>
      </c>
      <c r="QY33" s="970">
        <v>8.451579869298401</v>
      </c>
      <c r="QZ33" s="970">
        <v>0</v>
      </c>
      <c r="RA33" s="970">
        <v>0</v>
      </c>
      <c r="RB33" s="970">
        <v>62.452019607843155</v>
      </c>
      <c r="RC33" s="971">
        <v>123.8574030194347</v>
      </c>
      <c r="RD33" s="969">
        <v>25.140828627450986</v>
      </c>
      <c r="RE33" s="970">
        <v>5.4237776043702723</v>
      </c>
      <c r="RF33" s="970">
        <v>18.946758823529414</v>
      </c>
      <c r="RG33" s="970">
        <v>15.644899448429189</v>
      </c>
      <c r="RH33" s="970">
        <v>19.792858562091507</v>
      </c>
      <c r="RI33" s="970">
        <v>3.8836190362182821</v>
      </c>
      <c r="RJ33" s="970">
        <v>15.036517647058826</v>
      </c>
      <c r="RK33" s="970">
        <v>9.1850714633404671</v>
      </c>
      <c r="RL33" s="970">
        <v>0</v>
      </c>
      <c r="RM33" s="970">
        <v>0</v>
      </c>
      <c r="RN33" s="970">
        <v>55.752552941176475</v>
      </c>
      <c r="RO33" s="971">
        <v>85.153371838464196</v>
      </c>
      <c r="RP33" s="969">
        <v>26.152069934640526</v>
      </c>
      <c r="RQ33" s="970">
        <v>4.956276018563738</v>
      </c>
      <c r="RR33" s="970">
        <v>18.805633333333336</v>
      </c>
      <c r="RS33" s="970">
        <v>15.094722786649299</v>
      </c>
      <c r="RT33" s="970">
        <v>20.464939869281043</v>
      </c>
      <c r="RU33" s="970">
        <v>3.5496163321360896</v>
      </c>
      <c r="RV33" s="970">
        <v>14.922266666666669</v>
      </c>
      <c r="RW33" s="970">
        <v>8.7736270676034351</v>
      </c>
      <c r="RX33" s="970">
        <v>0</v>
      </c>
      <c r="RY33" s="970">
        <v>0</v>
      </c>
      <c r="RZ33" s="970">
        <v>55.358466666666686</v>
      </c>
      <c r="SA33" s="971">
        <v>83.958276475684798</v>
      </c>
    </row>
    <row r="34" spans="1:495">
      <c r="A34" s="966">
        <f>[3]Eingabedaten!A36</f>
        <v>9.02</v>
      </c>
      <c r="B34" s="169" t="str">
        <f>[3]Eingabedaten!C36</f>
        <v>Produktion (feine Arbeit)</v>
      </c>
      <c r="C34" s="987">
        <f t="shared" si="1"/>
        <v>28</v>
      </c>
      <c r="D34" s="954" cm="1">
        <f t="array" ref="D34">INDEX($P$7:$SA$51,$C34,$G$3-1+D$2)</f>
        <v>30.230337960784318</v>
      </c>
      <c r="E34" s="955" cm="1">
        <f t="array" ref="E34">INDEX($P$7:$SA$51,$C34,$G$3-1+E$2)</f>
        <v>4.732962097128123</v>
      </c>
      <c r="F34" s="955" cm="1">
        <f t="array" ref="F34">INDEX($P$7:$SA$51,$C34,$G$3-1+F$2)</f>
        <v>20.922515686274515</v>
      </c>
      <c r="G34" s="955" cm="1">
        <f t="array" ref="G34">INDEX($P$7:$SA$51,$C34,$G$3-1+G$2)</f>
        <v>12.552226055744933</v>
      </c>
      <c r="H34" s="955" cm="1">
        <f t="array" ref="H34">INDEX($P$7:$SA$51,$C34,$G$3-1+H$2)</f>
        <v>24.62405835294118</v>
      </c>
      <c r="I34" s="955" cm="1">
        <f t="array" ref="I34">INDEX($P$7:$SA$51,$C34,$G$3-1+I$2)</f>
        <v>3.3721952400254853</v>
      </c>
      <c r="J34" s="955" cm="1">
        <f t="array" ref="J34">INDEX($P$7:$SA$51,$C34,$G$3-1+J$2)</f>
        <v>16.636031372549024</v>
      </c>
      <c r="K34" s="955" cm="1">
        <f t="array" ref="K34">INDEX($P$7:$SA$51,$C34,$G$3-1+K$2)</f>
        <v>7.5203829961795101</v>
      </c>
      <c r="L34" s="955" cm="1">
        <f t="array" ref="L34">INDEX($P$7:$SA$51,$C34,$G$3-1+L$2)</f>
        <v>0</v>
      </c>
      <c r="M34" s="955" cm="1">
        <f t="array" ref="M34">INDEX($P$7:$SA$51,$C34,$G$3-1+M$2)</f>
        <v>0</v>
      </c>
      <c r="N34" s="955" cm="1">
        <f t="array" ref="N34">INDEX($P$7:$SA$51,$C34,$G$3-1+N$2)</f>
        <v>61.269760784313746</v>
      </c>
      <c r="O34" s="956" cm="1">
        <f t="array" ref="O34">INDEX($P$7:$SA$51,$C34,$G$3-1+O$2)</f>
        <v>77.428060286991681</v>
      </c>
      <c r="P34" s="969">
        <v>23.756729411764709</v>
      </c>
      <c r="Q34" s="970">
        <v>0</v>
      </c>
      <c r="R34" s="970">
        <v>22.827709803921572</v>
      </c>
      <c r="S34" s="970">
        <v>11.566477223776312</v>
      </c>
      <c r="T34" s="970">
        <v>20.560745098039217</v>
      </c>
      <c r="U34" s="970">
        <v>0</v>
      </c>
      <c r="V34" s="970">
        <v>18.178419607843143</v>
      </c>
      <c r="W34" s="970">
        <v>5.5051468859793413</v>
      </c>
      <c r="X34" s="970">
        <v>0</v>
      </c>
      <c r="Y34" s="970">
        <v>0</v>
      </c>
      <c r="Z34" s="970">
        <v>66.589925490196094</v>
      </c>
      <c r="AA34" s="971">
        <v>98.675680779466987</v>
      </c>
      <c r="AB34" s="969">
        <v>32.109201098039222</v>
      </c>
      <c r="AC34" s="970">
        <v>4.5833148448831569</v>
      </c>
      <c r="AD34" s="970">
        <v>19.511260784313727</v>
      </c>
      <c r="AE34" s="970">
        <v>12.000891709059671</v>
      </c>
      <c r="AF34" s="970">
        <v>25.573949333333339</v>
      </c>
      <c r="AG34" s="970">
        <v>3.2876237438527758</v>
      </c>
      <c r="AH34" s="970">
        <v>15.493521568627454</v>
      </c>
      <c r="AI34" s="970">
        <v>7.2889238577363482</v>
      </c>
      <c r="AJ34" s="970">
        <v>0</v>
      </c>
      <c r="AK34" s="970">
        <v>0</v>
      </c>
      <c r="AL34" s="970">
        <v>57.328898039215701</v>
      </c>
      <c r="AM34" s="971">
        <v>74.275357162852032</v>
      </c>
      <c r="AN34" s="969">
        <v>27.961554509803925</v>
      </c>
      <c r="AO34" s="970">
        <v>2.788138799809833</v>
      </c>
      <c r="AP34" s="970">
        <v>19.581823529411771</v>
      </c>
      <c r="AQ34" s="970">
        <v>14.526408336567298</v>
      </c>
      <c r="AR34" s="970">
        <v>26.706986352941179</v>
      </c>
      <c r="AS34" s="970">
        <v>1.9912425310022093</v>
      </c>
      <c r="AT34" s="970">
        <v>15.550647058823534</v>
      </c>
      <c r="AU34" s="970">
        <v>9.4852204707316439</v>
      </c>
      <c r="AV34" s="970">
        <v>0</v>
      </c>
      <c r="AW34" s="970">
        <v>0</v>
      </c>
      <c r="AX34" s="970">
        <v>57.52594117647061</v>
      </c>
      <c r="AY34" s="971">
        <v>81.429621614030779</v>
      </c>
      <c r="AZ34" s="969">
        <v>33.432869254901966</v>
      </c>
      <c r="BA34" s="970">
        <v>6.5528835518436734</v>
      </c>
      <c r="BB34" s="970">
        <v>20.216888235294121</v>
      </c>
      <c r="BC34" s="970">
        <v>10.346210860407442</v>
      </c>
      <c r="BD34" s="970">
        <v>26.583536313725492</v>
      </c>
      <c r="BE34" s="970">
        <v>4.7086094932472147</v>
      </c>
      <c r="BF34" s="970">
        <v>16.064776470588239</v>
      </c>
      <c r="BG34" s="970">
        <v>5.9935183150156579</v>
      </c>
      <c r="BH34" s="970">
        <v>54.007717647058826</v>
      </c>
      <c r="BI34" s="970">
        <v>0.39407288617990194</v>
      </c>
      <c r="BJ34" s="970">
        <v>59.299329411764724</v>
      </c>
      <c r="BK34" s="971">
        <v>67.966585939415396</v>
      </c>
      <c r="BL34" s="969">
        <v>30.73578956862746</v>
      </c>
      <c r="BM34" s="970">
        <v>4.7614763581595492</v>
      </c>
      <c r="BN34" s="970">
        <v>20.851952941176474</v>
      </c>
      <c r="BO34" s="970">
        <v>12.750138990133761</v>
      </c>
      <c r="BP34" s="970">
        <v>25.123265254901959</v>
      </c>
      <c r="BQ34" s="970">
        <v>3.3914120848858129</v>
      </c>
      <c r="BR34" s="970">
        <v>16.578905882352945</v>
      </c>
      <c r="BS34" s="970">
        <v>7.5312901306505919</v>
      </c>
      <c r="BT34" s="970">
        <v>0</v>
      </c>
      <c r="BU34" s="970">
        <v>0</v>
      </c>
      <c r="BV34" s="970">
        <v>61.072717647058838</v>
      </c>
      <c r="BW34" s="971">
        <v>79.25478453943694</v>
      </c>
      <c r="BX34" s="969">
        <v>30.68114321568628</v>
      </c>
      <c r="BY34" s="970">
        <v>4.9866978554327153</v>
      </c>
      <c r="BZ34" s="970">
        <v>20.640264705882359</v>
      </c>
      <c r="CA34" s="970">
        <v>14.444235524096763</v>
      </c>
      <c r="CB34" s="970">
        <v>25.200112627450984</v>
      </c>
      <c r="CC34" s="970">
        <v>3.5698486455083396</v>
      </c>
      <c r="CD34" s="970">
        <v>16.407529411764713</v>
      </c>
      <c r="CE34" s="970">
        <v>9.3040158728917142</v>
      </c>
      <c r="CF34" s="970">
        <v>0</v>
      </c>
      <c r="CG34" s="970">
        <v>0</v>
      </c>
      <c r="CH34" s="970">
        <v>60.48158823529414</v>
      </c>
      <c r="CI34" s="971">
        <v>81.07051983748562</v>
      </c>
      <c r="CJ34" s="969">
        <v>30.753083450980395</v>
      </c>
      <c r="CK34" s="970">
        <v>3.5106506560660753</v>
      </c>
      <c r="CL34" s="970">
        <v>20.710827450980393</v>
      </c>
      <c r="CM34" s="970">
        <v>10.265817649398446</v>
      </c>
      <c r="CN34" s="970">
        <v>25.211008156862746</v>
      </c>
      <c r="CO34" s="970">
        <v>2.503755926539811</v>
      </c>
      <c r="CP34" s="970">
        <v>16.464654901960788</v>
      </c>
      <c r="CQ34" s="970">
        <v>5.556939824411991</v>
      </c>
      <c r="CR34" s="970">
        <v>0</v>
      </c>
      <c r="CS34" s="970">
        <v>0</v>
      </c>
      <c r="CT34" s="970">
        <v>60.678631372549027</v>
      </c>
      <c r="CU34" s="971">
        <v>72.966986755939459</v>
      </c>
      <c r="CV34" s="969">
        <v>22.642000000000003</v>
      </c>
      <c r="CW34" s="970">
        <v>0</v>
      </c>
      <c r="CX34" s="970">
        <v>24.874029411764713</v>
      </c>
      <c r="CY34" s="970">
        <v>13.849626033417694</v>
      </c>
      <c r="CZ34" s="970">
        <v>18.62029411764706</v>
      </c>
      <c r="DA34" s="970">
        <v>0</v>
      </c>
      <c r="DB34" s="970">
        <v>19.835058823529415</v>
      </c>
      <c r="DC34" s="970">
        <v>6.6215966399300594</v>
      </c>
      <c r="DD34" s="970">
        <v>0</v>
      </c>
      <c r="DE34" s="970">
        <v>0</v>
      </c>
      <c r="DF34" s="970">
        <v>72.30417647058826</v>
      </c>
      <c r="DG34" s="971">
        <v>110.14147485910539</v>
      </c>
      <c r="DH34" s="969">
        <v>29.564336313725491</v>
      </c>
      <c r="DI34" s="970">
        <v>1.3376467837228468E-2</v>
      </c>
      <c r="DJ34" s="970">
        <v>22.474896078431374</v>
      </c>
      <c r="DK34" s="970">
        <v>10.513342460853865</v>
      </c>
      <c r="DL34" s="970">
        <v>24.274173960784314</v>
      </c>
      <c r="DM34" s="970">
        <v>0</v>
      </c>
      <c r="DN34" s="970">
        <v>17.89279215686275</v>
      </c>
      <c r="DO34" s="970">
        <v>5.0604846523908504</v>
      </c>
      <c r="DP34" s="970">
        <v>0</v>
      </c>
      <c r="DQ34" s="970">
        <v>0</v>
      </c>
      <c r="DR34" s="970">
        <v>65.60470980392158</v>
      </c>
      <c r="DS34" s="971">
        <v>89.233630374229023</v>
      </c>
      <c r="DT34" s="969">
        <v>30.046610745098043</v>
      </c>
      <c r="DU34" s="970">
        <v>0</v>
      </c>
      <c r="DV34" s="970">
        <v>23.533337254901969</v>
      </c>
      <c r="DW34" s="970">
        <v>18.394308293181592</v>
      </c>
      <c r="DX34" s="970">
        <v>24.012310117647061</v>
      </c>
      <c r="DY34" s="970">
        <v>0</v>
      </c>
      <c r="DZ34" s="970">
        <v>18.749674509803924</v>
      </c>
      <c r="EA34" s="970">
        <v>11.50150302060165</v>
      </c>
      <c r="EB34" s="970">
        <v>0</v>
      </c>
      <c r="EC34" s="970">
        <v>0</v>
      </c>
      <c r="ED34" s="970">
        <v>68.560356862745124</v>
      </c>
      <c r="EE34" s="971">
        <v>105.5820270227925</v>
      </c>
      <c r="EF34" s="969">
        <v>31.909025803921573</v>
      </c>
      <c r="EG34" s="970">
        <v>7.5445495638614046</v>
      </c>
      <c r="EH34" s="970">
        <v>18.593945098039217</v>
      </c>
      <c r="EI34" s="970">
        <v>9.8509681563317901</v>
      </c>
      <c r="EJ34" s="970">
        <v>26.042657254901961</v>
      </c>
      <c r="EK34" s="970">
        <v>5.3660827670647313</v>
      </c>
      <c r="EL34" s="970">
        <v>14.750890196078435</v>
      </c>
      <c r="EM34" s="970">
        <v>5.6995863651292984</v>
      </c>
      <c r="EN34" s="970">
        <v>51.613647058823531</v>
      </c>
      <c r="EO34" s="970">
        <v>1.877996432266331</v>
      </c>
      <c r="EP34" s="970">
        <v>54.76733725490196</v>
      </c>
      <c r="EQ34" s="971">
        <v>65.730089449601508</v>
      </c>
      <c r="ER34" s="969">
        <v>30.461044549019611</v>
      </c>
      <c r="ES34" s="970">
        <v>1.7577985659194202</v>
      </c>
      <c r="ET34" s="970">
        <v>21.416454901960783</v>
      </c>
      <c r="EU34" s="970">
        <v>19.063221271439676</v>
      </c>
      <c r="EV34" s="970">
        <v>25.0159057254902</v>
      </c>
      <c r="EW34" s="970">
        <v>1.2234935008386749</v>
      </c>
      <c r="EX34" s="970">
        <v>17.035909803921573</v>
      </c>
      <c r="EY34" s="970">
        <v>12.622720511207232</v>
      </c>
      <c r="EZ34" s="970">
        <v>0</v>
      </c>
      <c r="FA34" s="970">
        <v>0</v>
      </c>
      <c r="FB34" s="970">
        <v>62.64906274509805</v>
      </c>
      <c r="FC34" s="971">
        <v>96.477405419463878</v>
      </c>
      <c r="FD34" s="969">
        <v>19.669352941176474</v>
      </c>
      <c r="FE34" s="970">
        <v>0</v>
      </c>
      <c r="FF34" s="970">
        <v>26.496972549019613</v>
      </c>
      <c r="FG34" s="970">
        <v>17.424692698411064</v>
      </c>
      <c r="FH34" s="970">
        <v>17.362725490196077</v>
      </c>
      <c r="FI34" s="970">
        <v>0</v>
      </c>
      <c r="FJ34" s="970">
        <v>21.148945098039217</v>
      </c>
      <c r="FK34" s="970">
        <v>8.9480448549249108</v>
      </c>
      <c r="FL34" s="970">
        <v>0</v>
      </c>
      <c r="FM34" s="970">
        <v>0</v>
      </c>
      <c r="FN34" s="970">
        <v>76.836168627450988</v>
      </c>
      <c r="FO34" s="971">
        <v>131.99523249056901</v>
      </c>
      <c r="FP34" s="969">
        <v>29.890161019607849</v>
      </c>
      <c r="FQ34" s="970">
        <v>4.5870836962723613</v>
      </c>
      <c r="FR34" s="970">
        <v>20.569701960784318</v>
      </c>
      <c r="FS34" s="970">
        <v>14.51019341001232</v>
      </c>
      <c r="FT34" s="970">
        <v>24.543671686274514</v>
      </c>
      <c r="FU34" s="970">
        <v>3.2668075483419425</v>
      </c>
      <c r="FV34" s="970">
        <v>16.350403921568631</v>
      </c>
      <c r="FW34" s="970">
        <v>9.2650612077018444</v>
      </c>
      <c r="FX34" s="970">
        <v>0</v>
      </c>
      <c r="FY34" s="970">
        <v>0</v>
      </c>
      <c r="FZ34" s="970">
        <v>60.284545098039231</v>
      </c>
      <c r="GA34" s="971">
        <v>82.138395712445302</v>
      </c>
      <c r="GB34" s="969">
        <v>28.499277254901966</v>
      </c>
      <c r="GC34" s="970">
        <v>2.9555729231394037</v>
      </c>
      <c r="GD34" s="970">
        <v>20.569701960784318</v>
      </c>
      <c r="GE34" s="970">
        <v>14.459839666365207</v>
      </c>
      <c r="GF34" s="970">
        <v>23.503294901960786</v>
      </c>
      <c r="GG34" s="970">
        <v>2.0849907827858059</v>
      </c>
      <c r="GH34" s="970">
        <v>16.350403921568631</v>
      </c>
      <c r="GI34" s="970">
        <v>8.8589482381288995</v>
      </c>
      <c r="GJ34" s="970">
        <v>0</v>
      </c>
      <c r="GK34" s="970">
        <v>0</v>
      </c>
      <c r="GL34" s="970">
        <v>60.284545098039231</v>
      </c>
      <c r="GM34" s="971">
        <v>85.219612283473765</v>
      </c>
      <c r="GN34" s="969">
        <v>27.93525733333334</v>
      </c>
      <c r="GO34" s="970">
        <v>0.55839034316035296</v>
      </c>
      <c r="GP34" s="970">
        <v>22.333770588235296</v>
      </c>
      <c r="GQ34" s="970">
        <v>12.5566702818333</v>
      </c>
      <c r="GR34" s="970">
        <v>23.35741176470588</v>
      </c>
      <c r="GS34" s="970">
        <v>0.33053270347212543</v>
      </c>
      <c r="GT34" s="970">
        <v>17.778541176470593</v>
      </c>
      <c r="GU34" s="970">
        <v>6.610643771374388</v>
      </c>
      <c r="GV34" s="970">
        <v>0</v>
      </c>
      <c r="GW34" s="970">
        <v>0</v>
      </c>
      <c r="GX34" s="970">
        <v>65.210623529411777</v>
      </c>
      <c r="GY34" s="971">
        <v>92.53622124928755</v>
      </c>
      <c r="GZ34" s="969">
        <v>27.876376470588237</v>
      </c>
      <c r="HA34" s="970">
        <v>0</v>
      </c>
      <c r="HB34" s="970">
        <v>22.404333333333341</v>
      </c>
      <c r="HC34" s="970">
        <v>16.626360496373263</v>
      </c>
      <c r="HD34" s="970">
        <v>22.466529411764707</v>
      </c>
      <c r="HE34" s="970">
        <v>0</v>
      </c>
      <c r="HF34" s="970">
        <v>17.835666666666672</v>
      </c>
      <c r="HG34" s="970">
        <v>9.7569860437240656</v>
      </c>
      <c r="HH34" s="970">
        <v>0</v>
      </c>
      <c r="HI34" s="970">
        <v>0</v>
      </c>
      <c r="HJ34" s="970">
        <v>65.407666666666685</v>
      </c>
      <c r="HK34" s="971">
        <v>104.24132913133158</v>
      </c>
      <c r="HL34" s="969">
        <v>30.134239529411769</v>
      </c>
      <c r="HM34" s="970">
        <v>9.8870512271877544</v>
      </c>
      <c r="HN34" s="970">
        <v>16.547625490196079</v>
      </c>
      <c r="HO34" s="970">
        <v>4.1137841936372102</v>
      </c>
      <c r="HP34" s="970">
        <v>24.980730509803923</v>
      </c>
      <c r="HQ34" s="970">
        <v>7.1272719516469678</v>
      </c>
      <c r="HR34" s="970">
        <v>13.094250980392161</v>
      </c>
      <c r="HS34" s="970">
        <v>1.8552220046173908</v>
      </c>
      <c r="HT34" s="970">
        <v>47.33209411764706</v>
      </c>
      <c r="HU34" s="970">
        <v>4.7210054349738249</v>
      </c>
      <c r="HV34" s="970">
        <v>49.053086274509809</v>
      </c>
      <c r="HW34" s="971">
        <v>50.710411183864558</v>
      </c>
      <c r="HX34" s="969">
        <v>32.061063058823535</v>
      </c>
      <c r="HY34" s="970">
        <v>10.675636632191784</v>
      </c>
      <c r="HZ34" s="970">
        <v>16.194811764705882</v>
      </c>
      <c r="IA34" s="970">
        <v>3.2230408986979753</v>
      </c>
      <c r="IB34" s="970">
        <v>26.094150901960784</v>
      </c>
      <c r="IC34" s="970">
        <v>7.702243832821873</v>
      </c>
      <c r="ID34" s="970">
        <v>12.808623529411769</v>
      </c>
      <c r="IE34" s="970">
        <v>1.2605571175202714</v>
      </c>
      <c r="IF34" s="970">
        <v>50.37044705882353</v>
      </c>
      <c r="IG34" s="970">
        <v>5.611752033464291</v>
      </c>
      <c r="IH34" s="970">
        <v>48.067870588235301</v>
      </c>
      <c r="II34" s="971">
        <v>49.158751757978727</v>
      </c>
      <c r="IJ34" s="969">
        <v>32.003162901960792</v>
      </c>
      <c r="IK34" s="970">
        <v>4.4062336240580171</v>
      </c>
      <c r="IL34" s="970">
        <v>20.14632549019608</v>
      </c>
      <c r="IM34" s="970">
        <v>13.905369978848308</v>
      </c>
      <c r="IN34" s="970">
        <v>25.542072313725495</v>
      </c>
      <c r="IO34" s="970">
        <v>3.1564585207945788</v>
      </c>
      <c r="IP34" s="970">
        <v>16.00765098039216</v>
      </c>
      <c r="IQ34" s="970">
        <v>8.8215485365630499</v>
      </c>
      <c r="IR34" s="970">
        <v>0</v>
      </c>
      <c r="IS34" s="970">
        <v>0</v>
      </c>
      <c r="IT34" s="970">
        <v>59.102286274509815</v>
      </c>
      <c r="IU34" s="971">
        <v>80.261517575341813</v>
      </c>
      <c r="IV34" s="969">
        <v>30.899102901960788</v>
      </c>
      <c r="IW34" s="970">
        <v>9.8386800728944426</v>
      </c>
      <c r="IX34" s="970">
        <v>17.747192156862749</v>
      </c>
      <c r="IY34" s="970">
        <v>6.8613197007832554</v>
      </c>
      <c r="IZ34" s="970">
        <v>25.577501803921571</v>
      </c>
      <c r="JA34" s="970">
        <v>7.0950604455290067</v>
      </c>
      <c r="JB34" s="970">
        <v>14.065384313725495</v>
      </c>
      <c r="JC34" s="970">
        <v>3.6498900784842414</v>
      </c>
      <c r="JD34" s="970">
        <v>48.991576470588242</v>
      </c>
      <c r="JE34" s="970">
        <v>4.6087384682169121</v>
      </c>
      <c r="JF34" s="970">
        <v>52.402819607843156</v>
      </c>
      <c r="JG34" s="971">
        <v>60.097827685652383</v>
      </c>
      <c r="JH34" s="969">
        <v>29.795729411764707</v>
      </c>
      <c r="JI34" s="970">
        <v>0.33181221695567981</v>
      </c>
      <c r="JJ34" s="970">
        <v>22.404333333333341</v>
      </c>
      <c r="JK34" s="970">
        <v>9.0913925361578478</v>
      </c>
      <c r="JL34" s="970">
        <v>24.582431372549021</v>
      </c>
      <c r="JM34" s="970">
        <v>0.15680284546021697</v>
      </c>
      <c r="JN34" s="970">
        <v>17.835666666666672</v>
      </c>
      <c r="JO34" s="970">
        <v>3.8824678153367103</v>
      </c>
      <c r="JP34" s="970">
        <v>0</v>
      </c>
      <c r="JQ34" s="970">
        <v>0</v>
      </c>
      <c r="JR34" s="970">
        <v>65.407666666666685</v>
      </c>
      <c r="JS34" s="971">
        <v>84.661915692957777</v>
      </c>
      <c r="JT34" s="969">
        <v>28.330258274509809</v>
      </c>
      <c r="JU34" s="970">
        <v>5.7903486406833222</v>
      </c>
      <c r="JV34" s="970">
        <v>19.44069803921569</v>
      </c>
      <c r="JW34" s="970">
        <v>12.544681624726993</v>
      </c>
      <c r="JX34" s="970">
        <v>23.601933333333331</v>
      </c>
      <c r="JY34" s="970">
        <v>4.1687353847605575</v>
      </c>
      <c r="JZ34" s="970">
        <v>15.436396078431375</v>
      </c>
      <c r="KA34" s="970">
        <v>7.8966500241033222</v>
      </c>
      <c r="KB34" s="970">
        <v>43.975600000000007</v>
      </c>
      <c r="KC34" s="970">
        <v>0.19654799616432289</v>
      </c>
      <c r="KD34" s="970">
        <v>57.131854901960793</v>
      </c>
      <c r="KE34" s="971">
        <v>74.282770645084426</v>
      </c>
      <c r="KF34" s="969">
        <v>31.794162666666669</v>
      </c>
      <c r="KG34" s="970">
        <v>5.4053255793440771</v>
      </c>
      <c r="KH34" s="970">
        <v>20.358013725490199</v>
      </c>
      <c r="KI34" s="970">
        <v>12.954726156378712</v>
      </c>
      <c r="KJ34" s="970">
        <v>25.59658650980392</v>
      </c>
      <c r="KK34" s="970">
        <v>3.8607000087225498</v>
      </c>
      <c r="KL34" s="970">
        <v>16.179027450980396</v>
      </c>
      <c r="KM34" s="970">
        <v>7.914686346248061</v>
      </c>
      <c r="KN34" s="970">
        <v>0</v>
      </c>
      <c r="KO34" s="970">
        <v>0</v>
      </c>
      <c r="KP34" s="970">
        <v>59.69341568627452</v>
      </c>
      <c r="KQ34" s="971">
        <v>77.148950662125245</v>
      </c>
      <c r="KR34" s="969">
        <v>30.264570431372558</v>
      </c>
      <c r="KS34" s="970">
        <v>1.5926479765350532</v>
      </c>
      <c r="KT34" s="970">
        <v>20.710827450980393</v>
      </c>
      <c r="KU34" s="970">
        <v>17.764035243424871</v>
      </c>
      <c r="KV34" s="970">
        <v>24.259183843137254</v>
      </c>
      <c r="KW34" s="970">
        <v>1.1156526791303303</v>
      </c>
      <c r="KX34" s="970">
        <v>16.464654901960788</v>
      </c>
      <c r="KY34" s="970">
        <v>11.684565614962874</v>
      </c>
      <c r="KZ34" s="970">
        <v>0</v>
      </c>
      <c r="LA34" s="970">
        <v>0</v>
      </c>
      <c r="LB34" s="970">
        <v>60.678631372549027</v>
      </c>
      <c r="LC34" s="971">
        <v>95.644592738682846</v>
      </c>
      <c r="LD34" s="969">
        <v>30.434925725490199</v>
      </c>
      <c r="LE34" s="970">
        <v>7.813546501477842</v>
      </c>
      <c r="LF34" s="970">
        <v>18.664507843137258</v>
      </c>
      <c r="LG34" s="970">
        <v>8.8231893908139245</v>
      </c>
      <c r="LH34" s="970">
        <v>24.451024627450984</v>
      </c>
      <c r="LI34" s="970">
        <v>5.5617132396158571</v>
      </c>
      <c r="LJ34" s="970">
        <v>14.808015686274514</v>
      </c>
      <c r="LK34" s="970">
        <v>4.9560624238471576</v>
      </c>
      <c r="LL34" s="970">
        <v>47.599364705882365</v>
      </c>
      <c r="LM34" s="970">
        <v>1.9603493734428066</v>
      </c>
      <c r="LN34" s="970">
        <v>54.964380392156869</v>
      </c>
      <c r="LO34" s="971">
        <v>62.574440258758166</v>
      </c>
      <c r="LP34" s="969">
        <v>25.783952941176473</v>
      </c>
      <c r="LQ34" s="970">
        <v>0.24908409735697054</v>
      </c>
      <c r="LR34" s="970">
        <v>21.134203921568631</v>
      </c>
      <c r="LS34" s="970">
        <v>14.33330948687636</v>
      </c>
      <c r="LT34" s="970">
        <v>21.097000000000001</v>
      </c>
      <c r="LU34" s="970">
        <v>0.15505236390619823</v>
      </c>
      <c r="LV34" s="970">
        <v>16.807407843137259</v>
      </c>
      <c r="LW34" s="970">
        <v>8.0230871660991152</v>
      </c>
      <c r="LX34" s="970">
        <v>0</v>
      </c>
      <c r="LY34" s="970">
        <v>0</v>
      </c>
      <c r="LZ34" s="970">
        <v>61.860890196078444</v>
      </c>
      <c r="MA34" s="971">
        <v>96.887565042270438</v>
      </c>
      <c r="MB34" s="969">
        <v>31.258535058823536</v>
      </c>
      <c r="MC34" s="970">
        <v>4.1045204564705875</v>
      </c>
      <c r="MD34" s="970">
        <v>21.34589215686275</v>
      </c>
      <c r="ME34" s="970">
        <v>14.025407628094388</v>
      </c>
      <c r="MF34" s="970">
        <v>25.599038588235295</v>
      </c>
      <c r="MG34" s="970">
        <v>2.9068947757191022</v>
      </c>
      <c r="MH34" s="970">
        <v>16.978784313725495</v>
      </c>
      <c r="MI34" s="970">
        <v>8.7988263281997234</v>
      </c>
      <c r="MJ34" s="970">
        <v>0</v>
      </c>
      <c r="MK34" s="970">
        <v>0</v>
      </c>
      <c r="ML34" s="970">
        <v>62.452019607843155</v>
      </c>
      <c r="MM34" s="971">
        <v>81.599345723227856</v>
      </c>
      <c r="MN34" s="969">
        <v>26.484288235294123</v>
      </c>
      <c r="MO34" s="970">
        <v>0</v>
      </c>
      <c r="MP34" s="970">
        <v>28.04935294117648</v>
      </c>
      <c r="MQ34" s="970">
        <v>17.336700615130436</v>
      </c>
      <c r="MR34" s="970">
        <v>21.596254901960783</v>
      </c>
      <c r="MS34" s="970">
        <v>0</v>
      </c>
      <c r="MT34" s="970">
        <v>22.405705882352947</v>
      </c>
      <c r="MU34" s="970">
        <v>8.3886566238832341</v>
      </c>
      <c r="MV34" s="970">
        <v>0</v>
      </c>
      <c r="MW34" s="970">
        <v>0</v>
      </c>
      <c r="MX34" s="970">
        <v>81.17111764705885</v>
      </c>
      <c r="MY34" s="971">
        <v>123.97005689474456</v>
      </c>
      <c r="MZ34" s="969">
        <v>25.043094117647069</v>
      </c>
      <c r="NA34" s="970">
        <v>0</v>
      </c>
      <c r="NB34" s="970">
        <v>23.321649019607847</v>
      </c>
      <c r="NC34" s="970">
        <v>17.384107656281028</v>
      </c>
      <c r="ND34" s="970">
        <v>20.451588235294125</v>
      </c>
      <c r="NE34" s="970">
        <v>0</v>
      </c>
      <c r="NF34" s="970">
        <v>18.578298039215689</v>
      </c>
      <c r="NG34" s="970">
        <v>9.5607196097379479</v>
      </c>
      <c r="NH34" s="970">
        <v>0</v>
      </c>
      <c r="NI34" s="970">
        <v>0</v>
      </c>
      <c r="NJ34" s="970">
        <v>67.969227450980412</v>
      </c>
      <c r="NK34" s="971">
        <v>120.66592073186474</v>
      </c>
      <c r="NL34" s="969">
        <v>29.072817647058823</v>
      </c>
      <c r="NM34" s="970">
        <v>2.6829925533440786</v>
      </c>
      <c r="NN34" s="970">
        <v>22.192645098039218</v>
      </c>
      <c r="NO34" s="970">
        <v>13.477988739786744</v>
      </c>
      <c r="NP34" s="970">
        <v>24.162921568627453</v>
      </c>
      <c r="NQ34" s="970">
        <v>1.8573866634382354</v>
      </c>
      <c r="NR34" s="970">
        <v>17.664290196078436</v>
      </c>
      <c r="NS34" s="970">
        <v>8.0086546705511292</v>
      </c>
      <c r="NT34" s="970">
        <v>0</v>
      </c>
      <c r="NU34" s="970">
        <v>0</v>
      </c>
      <c r="NV34" s="970">
        <v>64.816537254901974</v>
      </c>
      <c r="NW34" s="971">
        <v>84.38615509111365</v>
      </c>
      <c r="NX34" s="969">
        <v>28.742865960784318</v>
      </c>
      <c r="NY34" s="970">
        <v>4.5337230830185344</v>
      </c>
      <c r="NZ34" s="970">
        <v>20.922515686274515</v>
      </c>
      <c r="OA34" s="970">
        <v>15.248417249585131</v>
      </c>
      <c r="OB34" s="970">
        <v>23.649294117647056</v>
      </c>
      <c r="OC34" s="970">
        <v>3.2392772815092821</v>
      </c>
      <c r="OD34" s="970">
        <v>16.636031372549024</v>
      </c>
      <c r="OE34" s="970">
        <v>9.8193596216230077</v>
      </c>
      <c r="OF34" s="970">
        <v>0</v>
      </c>
      <c r="OG34" s="970">
        <v>0</v>
      </c>
      <c r="OH34" s="970">
        <v>61.269760784313746</v>
      </c>
      <c r="OI34" s="971">
        <v>84.251456431687942</v>
      </c>
      <c r="OJ34" s="969">
        <v>29.799094117647062</v>
      </c>
      <c r="OK34" s="970">
        <v>0.16662361821112012</v>
      </c>
      <c r="OL34" s="970">
        <v>24.097839215686278</v>
      </c>
      <c r="OM34" s="970">
        <v>14.289522046583482</v>
      </c>
      <c r="ON34" s="970">
        <v>24.128113098039215</v>
      </c>
      <c r="OO34" s="970">
        <v>8.4263682364878648E-2</v>
      </c>
      <c r="OP34" s="970">
        <v>19.206678431372552</v>
      </c>
      <c r="OQ34" s="970">
        <v>7.6124826222613384</v>
      </c>
      <c r="OR34" s="970">
        <v>0</v>
      </c>
      <c r="OS34" s="970">
        <v>0</v>
      </c>
      <c r="OT34" s="970">
        <v>70.136701960784336</v>
      </c>
      <c r="OU34" s="971">
        <v>98.309056662345881</v>
      </c>
      <c r="OV34" s="969">
        <v>29.873356941176475</v>
      </c>
      <c r="OW34" s="970">
        <v>6.9157587367010462</v>
      </c>
      <c r="OX34" s="970">
        <v>19.864074509803928</v>
      </c>
      <c r="OY34" s="970">
        <v>10.601518487502569</v>
      </c>
      <c r="OZ34" s="970">
        <v>24.538767529411764</v>
      </c>
      <c r="PA34" s="970">
        <v>4.9447111084784208</v>
      </c>
      <c r="PB34" s="970">
        <v>15.779149019607846</v>
      </c>
      <c r="PC34" s="970">
        <v>5.8429910599269874</v>
      </c>
      <c r="PD34" s="970">
        <v>46.746847058823533</v>
      </c>
      <c r="PE34" s="970">
        <v>0.64755251791344803</v>
      </c>
      <c r="PF34" s="970">
        <v>58.314113725490209</v>
      </c>
      <c r="PG34" s="971">
        <v>69.822810916574269</v>
      </c>
      <c r="PH34" s="969">
        <v>28.751334901960789</v>
      </c>
      <c r="PI34" s="970">
        <v>0</v>
      </c>
      <c r="PJ34" s="970">
        <v>27.061474509803929</v>
      </c>
      <c r="PK34" s="970">
        <v>17.923932034723332</v>
      </c>
      <c r="PL34" s="970">
        <v>23.632723137254903</v>
      </c>
      <c r="PM34" s="970">
        <v>0</v>
      </c>
      <c r="PN34" s="970">
        <v>21.605949019607849</v>
      </c>
      <c r="PO34" s="970">
        <v>9.6983983640167573</v>
      </c>
      <c r="PP34" s="970">
        <v>0</v>
      </c>
      <c r="PQ34" s="970">
        <v>0</v>
      </c>
      <c r="PR34" s="970">
        <v>78.412513725490214</v>
      </c>
      <c r="PS34" s="971">
        <v>110.55680940788486</v>
      </c>
      <c r="PT34" s="969">
        <v>32.109378745098041</v>
      </c>
      <c r="PU34" s="970">
        <v>4.2406611971055588</v>
      </c>
      <c r="PV34" s="970">
        <v>21.134203921568631</v>
      </c>
      <c r="PW34" s="970">
        <v>11.522409337974917</v>
      </c>
      <c r="PX34" s="970">
        <v>26.230403450980393</v>
      </c>
      <c r="PY34" s="970">
        <v>3.0334371658251098</v>
      </c>
      <c r="PZ34" s="970">
        <v>16.807407843137259</v>
      </c>
      <c r="QA34" s="970">
        <v>6.7532526036297273</v>
      </c>
      <c r="QB34" s="970">
        <v>0</v>
      </c>
      <c r="QC34" s="970">
        <v>0</v>
      </c>
      <c r="QD34" s="970">
        <v>61.860890196078444</v>
      </c>
      <c r="QE34" s="971">
        <v>73.802068630546174</v>
      </c>
      <c r="QF34" s="969">
        <v>30.623377568627454</v>
      </c>
      <c r="QG34" s="970">
        <v>4.6267974827961336</v>
      </c>
      <c r="QH34" s="970">
        <v>20.781390196078434</v>
      </c>
      <c r="QI34" s="970">
        <v>14.377552554989364</v>
      </c>
      <c r="QJ34" s="970">
        <v>25.118361098039216</v>
      </c>
      <c r="QK34" s="970">
        <v>3.2927968708572082</v>
      </c>
      <c r="QL34" s="970">
        <v>16.521780392156867</v>
      </c>
      <c r="QM34" s="970">
        <v>9.0516400103770795</v>
      </c>
      <c r="QN34" s="970">
        <v>0</v>
      </c>
      <c r="QO34" s="970">
        <v>0</v>
      </c>
      <c r="QP34" s="970">
        <v>60.875674509803929</v>
      </c>
      <c r="QQ34" s="971">
        <v>82.347796946080663</v>
      </c>
      <c r="QR34" s="969">
        <v>23.782300000000006</v>
      </c>
      <c r="QS34" s="970">
        <v>0</v>
      </c>
      <c r="QT34" s="970">
        <v>23.462774509803928</v>
      </c>
      <c r="QU34" s="970">
        <v>13.656538103241516</v>
      </c>
      <c r="QV34" s="970">
        <v>19.841588235294122</v>
      </c>
      <c r="QW34" s="970">
        <v>0</v>
      </c>
      <c r="QX34" s="970">
        <v>18.692549019607846</v>
      </c>
      <c r="QY34" s="970">
        <v>6.5354736274089706</v>
      </c>
      <c r="QZ34" s="970">
        <v>0</v>
      </c>
      <c r="RA34" s="970">
        <v>0</v>
      </c>
      <c r="RB34" s="970">
        <v>68.363313725490215</v>
      </c>
      <c r="RC34" s="971">
        <v>112.21338168615451</v>
      </c>
      <c r="RD34" s="969">
        <v>30.902044549019607</v>
      </c>
      <c r="RE34" s="970">
        <v>5.1516682115745365</v>
      </c>
      <c r="RF34" s="970">
        <v>21.06364117647059</v>
      </c>
      <c r="RG34" s="970">
        <v>13.040345237267312</v>
      </c>
      <c r="RH34" s="970">
        <v>25.330905725490197</v>
      </c>
      <c r="RI34" s="970">
        <v>3.6794778251198541</v>
      </c>
      <c r="RJ34" s="970">
        <v>16.750282352941181</v>
      </c>
      <c r="RK34" s="970">
        <v>7.9031688621594238</v>
      </c>
      <c r="RL34" s="970">
        <v>0</v>
      </c>
      <c r="RM34" s="970">
        <v>0</v>
      </c>
      <c r="RN34" s="970">
        <v>61.663847058823535</v>
      </c>
      <c r="RO34" s="971">
        <v>78.538092594709966</v>
      </c>
      <c r="RP34" s="969">
        <v>30.230337960784318</v>
      </c>
      <c r="RQ34" s="970">
        <v>4.732962097128123</v>
      </c>
      <c r="RR34" s="970">
        <v>20.922515686274515</v>
      </c>
      <c r="RS34" s="970">
        <v>12.552226055744933</v>
      </c>
      <c r="RT34" s="970">
        <v>24.62405835294118</v>
      </c>
      <c r="RU34" s="970">
        <v>3.3721952400254853</v>
      </c>
      <c r="RV34" s="970">
        <v>16.636031372549024</v>
      </c>
      <c r="RW34" s="970">
        <v>7.5203829961795101</v>
      </c>
      <c r="RX34" s="970">
        <v>0</v>
      </c>
      <c r="RY34" s="970">
        <v>0</v>
      </c>
      <c r="RZ34" s="970">
        <v>61.269760784313746</v>
      </c>
      <c r="SA34" s="971">
        <v>77.428060286991681</v>
      </c>
    </row>
    <row r="35" spans="1:495">
      <c r="A35" s="968">
        <f>[3]Eingabedaten!A37</f>
        <v>9.0299999999999994</v>
      </c>
      <c r="B35" s="964" t="str">
        <f>[3]Eingabedaten!C37</f>
        <v>Laborraum</v>
      </c>
      <c r="C35" s="989">
        <f t="shared" si="1"/>
        <v>29</v>
      </c>
      <c r="D35" s="954" cm="1">
        <f t="array" ref="D35">INDEX($P$7:$SA$51,$C35,$G$3-1+D$2)</f>
        <v>42.965571854341732</v>
      </c>
      <c r="E35" s="955" cm="1">
        <f t="array" ref="E35">INDEX($P$7:$SA$51,$C35,$G$3-1+E$2)</f>
        <v>5.3191977705098026</v>
      </c>
      <c r="F35" s="955" cm="1">
        <f t="array" ref="F35">INDEX($P$7:$SA$51,$C35,$G$3-1+F$2)</f>
        <v>26.242058263305324</v>
      </c>
      <c r="G35" s="955" cm="1">
        <f t="array" ref="G35">INDEX($P$7:$SA$51,$C35,$G$3-1+G$2)</f>
        <v>20.439720165467186</v>
      </c>
      <c r="H35" s="955" cm="1">
        <f t="array" ref="H35">INDEX($P$7:$SA$51,$C35,$G$3-1+H$2)</f>
        <v>33.351753142857142</v>
      </c>
      <c r="I35" s="955" cm="1">
        <f t="array" ref="I35">INDEX($P$7:$SA$51,$C35,$G$3-1+I$2)</f>
        <v>3.2239598320844824</v>
      </c>
      <c r="J35" s="955" cm="1">
        <f t="array" ref="J35">INDEX($P$7:$SA$51,$C35,$G$3-1+J$2)</f>
        <v>19.739104761904766</v>
      </c>
      <c r="K35" s="955" cm="1">
        <f t="array" ref="K35">INDEX($P$7:$SA$51,$C35,$G$3-1+K$2)</f>
        <v>12.730999335260602</v>
      </c>
      <c r="L35" s="955" cm="1">
        <f t="array" ref="L35">INDEX($P$7:$SA$51,$C35,$G$3-1+L$2)</f>
        <v>0</v>
      </c>
      <c r="M35" s="955" cm="1">
        <f t="array" ref="M35">INDEX($P$7:$SA$51,$C35,$G$3-1+M$2)</f>
        <v>0</v>
      </c>
      <c r="N35" s="955" cm="1">
        <f t="array" ref="N35">INDEX($P$7:$SA$51,$C35,$G$3-1+N$2)</f>
        <v>72.490445938375359</v>
      </c>
      <c r="O35" s="956" cm="1">
        <f t="array" ref="O35">INDEX($P$7:$SA$51,$C35,$G$3-1+O$2)</f>
        <v>113.61783360263072</v>
      </c>
      <c r="P35" s="969">
        <v>32.815547338935573</v>
      </c>
      <c r="Q35" s="970">
        <v>0</v>
      </c>
      <c r="R35" s="970">
        <v>28.608922128851539</v>
      </c>
      <c r="S35" s="970">
        <v>18.430197388212601</v>
      </c>
      <c r="T35" s="970">
        <v>28.95838655462185</v>
      </c>
      <c r="U35" s="970">
        <v>0</v>
      </c>
      <c r="V35" s="970">
        <v>21.555561904761905</v>
      </c>
      <c r="W35" s="970">
        <v>9.1858467513382323</v>
      </c>
      <c r="X35" s="970">
        <v>0</v>
      </c>
      <c r="Y35" s="970">
        <v>0</v>
      </c>
      <c r="Z35" s="970">
        <v>78.771750140056014</v>
      </c>
      <c r="AA35" s="971">
        <v>142.74369121913568</v>
      </c>
      <c r="AB35" s="969">
        <v>45.946223507002806</v>
      </c>
      <c r="AC35" s="970">
        <v>4.9133628207858493</v>
      </c>
      <c r="AD35" s="970">
        <v>24.488825770308125</v>
      </c>
      <c r="AE35" s="970">
        <v>19.765530692130721</v>
      </c>
      <c r="AF35" s="970">
        <v>35.501061378151263</v>
      </c>
      <c r="AG35" s="970">
        <v>2.9658963695252196</v>
      </c>
      <c r="AH35" s="970">
        <v>18.393580952380955</v>
      </c>
      <c r="AI35" s="970">
        <v>12.509058739932156</v>
      </c>
      <c r="AJ35" s="970">
        <v>0</v>
      </c>
      <c r="AK35" s="970">
        <v>0</v>
      </c>
      <c r="AL35" s="970">
        <v>67.837628011204487</v>
      </c>
      <c r="AM35" s="971">
        <v>109.60022860016001</v>
      </c>
      <c r="AN35" s="969">
        <v>39.07029960784314</v>
      </c>
      <c r="AO35" s="970">
        <v>2.2056633123419691</v>
      </c>
      <c r="AP35" s="970">
        <v>24.576487394957987</v>
      </c>
      <c r="AQ35" s="970">
        <v>24.12253775015666</v>
      </c>
      <c r="AR35" s="970">
        <v>36.573676638655463</v>
      </c>
      <c r="AS35" s="970">
        <v>1.2187550117807955</v>
      </c>
      <c r="AT35" s="970">
        <v>18.460857142857147</v>
      </c>
      <c r="AU35" s="970">
        <v>16.246334953461101</v>
      </c>
      <c r="AV35" s="970">
        <v>0</v>
      </c>
      <c r="AW35" s="970">
        <v>0</v>
      </c>
      <c r="AX35" s="970">
        <v>68.070268907563033</v>
      </c>
      <c r="AY35" s="971">
        <v>121.30261229520087</v>
      </c>
      <c r="AZ35" s="969">
        <v>47.777170375350153</v>
      </c>
      <c r="BA35" s="970">
        <v>8.0265826874102295</v>
      </c>
      <c r="BB35" s="970">
        <v>25.365442016806725</v>
      </c>
      <c r="BC35" s="970">
        <v>17.167338798954031</v>
      </c>
      <c r="BD35" s="970">
        <v>36.885911663865549</v>
      </c>
      <c r="BE35" s="970">
        <v>5.2097985222810035</v>
      </c>
      <c r="BF35" s="970">
        <v>19.06634285714286</v>
      </c>
      <c r="BG35" s="970">
        <v>10.476405744863742</v>
      </c>
      <c r="BH35" s="970">
        <v>76.67886610644257</v>
      </c>
      <c r="BI35" s="970">
        <v>2.2644699854147039E-2</v>
      </c>
      <c r="BJ35" s="970">
        <v>70.164036974789923</v>
      </c>
      <c r="BK35" s="971">
        <v>100.11956717125135</v>
      </c>
      <c r="BL35" s="969">
        <v>43.651790969187687</v>
      </c>
      <c r="BM35" s="970">
        <v>5.374077073558035</v>
      </c>
      <c r="BN35" s="970">
        <v>26.154396638655463</v>
      </c>
      <c r="BO35" s="970">
        <v>20.63232154612859</v>
      </c>
      <c r="BP35" s="970">
        <v>33.874343798319337</v>
      </c>
      <c r="BQ35" s="970">
        <v>3.2615191979532137</v>
      </c>
      <c r="BR35" s="970">
        <v>19.671828571428573</v>
      </c>
      <c r="BS35" s="970">
        <v>12.654853387190093</v>
      </c>
      <c r="BT35" s="970">
        <v>0</v>
      </c>
      <c r="BU35" s="970">
        <v>0</v>
      </c>
      <c r="BV35" s="970">
        <v>72.257805042016813</v>
      </c>
      <c r="BW35" s="971">
        <v>116.03090470961925</v>
      </c>
      <c r="BX35" s="969">
        <v>42.064963943977595</v>
      </c>
      <c r="BY35" s="970">
        <v>5.6146844195706986</v>
      </c>
      <c r="BZ35" s="970">
        <v>25.891411764705886</v>
      </c>
      <c r="CA35" s="970">
        <v>23.672930812919411</v>
      </c>
      <c r="CB35" s="970">
        <v>33.922315831932778</v>
      </c>
      <c r="CC35" s="970">
        <v>3.458421002273222</v>
      </c>
      <c r="CD35" s="970">
        <v>19.470000000000006</v>
      </c>
      <c r="CE35" s="970">
        <v>15.716587221287099</v>
      </c>
      <c r="CF35" s="970">
        <v>0</v>
      </c>
      <c r="CG35" s="970">
        <v>0</v>
      </c>
      <c r="CH35" s="970">
        <v>71.559882352941187</v>
      </c>
      <c r="CI35" s="971">
        <v>119.84023916036492</v>
      </c>
      <c r="CJ35" s="969">
        <v>42.39092938935574</v>
      </c>
      <c r="CK35" s="970">
        <v>3.2900081109603612</v>
      </c>
      <c r="CL35" s="970">
        <v>25.979073389355744</v>
      </c>
      <c r="CM35" s="970">
        <v>16.761547481952071</v>
      </c>
      <c r="CN35" s="970">
        <v>33.567279865546219</v>
      </c>
      <c r="CO35" s="970">
        <v>1.7889705585789004</v>
      </c>
      <c r="CP35" s="970">
        <v>19.537276190476195</v>
      </c>
      <c r="CQ35" s="970">
        <v>9.5530004272506694</v>
      </c>
      <c r="CR35" s="970">
        <v>0</v>
      </c>
      <c r="CS35" s="970">
        <v>0</v>
      </c>
      <c r="CT35" s="970">
        <v>71.79252324929972</v>
      </c>
      <c r="CU35" s="971">
        <v>106.79588138740195</v>
      </c>
      <c r="CV35" s="969">
        <v>31.638857142857155</v>
      </c>
      <c r="CW35" s="970">
        <v>0</v>
      </c>
      <c r="CX35" s="970">
        <v>31.15110924369748</v>
      </c>
      <c r="CY35" s="970">
        <v>21.194170637560674</v>
      </c>
      <c r="CZ35" s="970">
        <v>25.026218487394967</v>
      </c>
      <c r="DA35" s="970">
        <v>0</v>
      </c>
      <c r="DB35" s="970">
        <v>23.506571428571434</v>
      </c>
      <c r="DC35" s="970">
        <v>10.420445886869571</v>
      </c>
      <c r="DD35" s="970">
        <v>0</v>
      </c>
      <c r="DE35" s="970">
        <v>0</v>
      </c>
      <c r="DF35" s="970">
        <v>85.51833613445379</v>
      </c>
      <c r="DG35" s="971">
        <v>156.17354290449205</v>
      </c>
      <c r="DH35" s="969">
        <v>40.901893736694682</v>
      </c>
      <c r="DI35" s="970">
        <v>0</v>
      </c>
      <c r="DJ35" s="970">
        <v>28.170614005602239</v>
      </c>
      <c r="DK35" s="970">
        <v>16.780124169027832</v>
      </c>
      <c r="DL35" s="970">
        <v>32.398272000000006</v>
      </c>
      <c r="DM35" s="970">
        <v>0</v>
      </c>
      <c r="DN35" s="970">
        <v>21.21918095238096</v>
      </c>
      <c r="DO35" s="970">
        <v>8.4685074623496224</v>
      </c>
      <c r="DP35" s="970">
        <v>0</v>
      </c>
      <c r="DQ35" s="970">
        <v>0</v>
      </c>
      <c r="DR35" s="970">
        <v>77.608545658263296</v>
      </c>
      <c r="DS35" s="971">
        <v>128.53779641343596</v>
      </c>
      <c r="DT35" s="969">
        <v>43.047881053221296</v>
      </c>
      <c r="DU35" s="970">
        <v>0</v>
      </c>
      <c r="DV35" s="970">
        <v>29.485538375350139</v>
      </c>
      <c r="DW35" s="970">
        <v>29.482324720510139</v>
      </c>
      <c r="DX35" s="970">
        <v>33.321351529411771</v>
      </c>
      <c r="DY35" s="970">
        <v>0</v>
      </c>
      <c r="DZ35" s="970">
        <v>22.228323809523815</v>
      </c>
      <c r="EA35" s="970">
        <v>18.87826944329516</v>
      </c>
      <c r="EB35" s="970">
        <v>0</v>
      </c>
      <c r="EC35" s="970">
        <v>0</v>
      </c>
      <c r="ED35" s="970">
        <v>81.098159103641478</v>
      </c>
      <c r="EE35" s="971">
        <v>154.59460555370987</v>
      </c>
      <c r="EF35" s="969">
        <v>45.358766700280114</v>
      </c>
      <c r="EG35" s="970">
        <v>9.2384809552497611</v>
      </c>
      <c r="EH35" s="970">
        <v>23.349224649859945</v>
      </c>
      <c r="EI35" s="970">
        <v>16.369041734107803</v>
      </c>
      <c r="EJ35" s="970">
        <v>35.142263394957979</v>
      </c>
      <c r="EK35" s="970">
        <v>6.1040331851459326</v>
      </c>
      <c r="EL35" s="970">
        <v>17.518990476190481</v>
      </c>
      <c r="EM35" s="970">
        <v>9.9927056552676614</v>
      </c>
      <c r="EN35" s="970">
        <v>72.835567507002793</v>
      </c>
      <c r="EO35" s="970">
        <v>1.5472681268417106</v>
      </c>
      <c r="EP35" s="970">
        <v>64.813296358543425</v>
      </c>
      <c r="EQ35" s="971">
        <v>96.583919071379427</v>
      </c>
      <c r="ER35" s="969">
        <v>41.844627182072827</v>
      </c>
      <c r="ES35" s="970">
        <v>1.1262642170909014</v>
      </c>
      <c r="ET35" s="970">
        <v>26.85568963585434</v>
      </c>
      <c r="EU35" s="970">
        <v>31.321120951675464</v>
      </c>
      <c r="EV35" s="970">
        <v>33.193281075630253</v>
      </c>
      <c r="EW35" s="970">
        <v>0.41555431517161445</v>
      </c>
      <c r="EX35" s="970">
        <v>20.210038095238097</v>
      </c>
      <c r="EY35" s="970">
        <v>21.383740488671254</v>
      </c>
      <c r="EZ35" s="970">
        <v>0</v>
      </c>
      <c r="FA35" s="970">
        <v>0</v>
      </c>
      <c r="FB35" s="970">
        <v>74.118932212885156</v>
      </c>
      <c r="FC35" s="971">
        <v>143.71337030825882</v>
      </c>
      <c r="FD35" s="969">
        <v>31.033756862745101</v>
      </c>
      <c r="FE35" s="970">
        <v>0</v>
      </c>
      <c r="FF35" s="970">
        <v>33.167326610644253</v>
      </c>
      <c r="FG35" s="970">
        <v>26.208659438856557</v>
      </c>
      <c r="FH35" s="970">
        <v>26.347092436974791</v>
      </c>
      <c r="FI35" s="970">
        <v>0</v>
      </c>
      <c r="FJ35" s="970">
        <v>25.053923809523813</v>
      </c>
      <c r="FK35" s="970">
        <v>13.768468160588887</v>
      </c>
      <c r="FL35" s="970">
        <v>0</v>
      </c>
      <c r="FM35" s="970">
        <v>0</v>
      </c>
      <c r="FN35" s="970">
        <v>90.869076750700287</v>
      </c>
      <c r="FO35" s="971">
        <v>183.03639702482698</v>
      </c>
      <c r="FP35" s="969">
        <v>42.514436929972007</v>
      </c>
      <c r="FQ35" s="970">
        <v>5.0896318738557218</v>
      </c>
      <c r="FR35" s="970">
        <v>25.803750140056025</v>
      </c>
      <c r="FS35" s="970">
        <v>23.678020240931488</v>
      </c>
      <c r="FT35" s="970">
        <v>33.00518830252102</v>
      </c>
      <c r="FU35" s="970">
        <v>3.0582893840984195</v>
      </c>
      <c r="FV35" s="970">
        <v>19.402723809523813</v>
      </c>
      <c r="FW35" s="970">
        <v>15.581347066645709</v>
      </c>
      <c r="FX35" s="970">
        <v>0</v>
      </c>
      <c r="FY35" s="970">
        <v>0</v>
      </c>
      <c r="FZ35" s="970">
        <v>71.327241456582641</v>
      </c>
      <c r="GA35" s="971">
        <v>121.00905889280406</v>
      </c>
      <c r="GB35" s="969">
        <v>40.129814140056034</v>
      </c>
      <c r="GC35" s="970">
        <v>2.6505642885966019</v>
      </c>
      <c r="GD35" s="970">
        <v>25.803750140056025</v>
      </c>
      <c r="GE35" s="970">
        <v>23.427252548679679</v>
      </c>
      <c r="GF35" s="970">
        <v>31.253235092436981</v>
      </c>
      <c r="GG35" s="970">
        <v>1.5128141181271479</v>
      </c>
      <c r="GH35" s="970">
        <v>19.402723809523813</v>
      </c>
      <c r="GI35" s="970">
        <v>14.788652665905502</v>
      </c>
      <c r="GJ35" s="970">
        <v>0</v>
      </c>
      <c r="GK35" s="970">
        <v>0</v>
      </c>
      <c r="GL35" s="970">
        <v>71.327241456582641</v>
      </c>
      <c r="GM35" s="971">
        <v>125.26305376961081</v>
      </c>
      <c r="GN35" s="969">
        <v>39.401242084033612</v>
      </c>
      <c r="GO35" s="970">
        <v>4.4341729565250766E-2</v>
      </c>
      <c r="GP35" s="970">
        <v>27.995290756302524</v>
      </c>
      <c r="GQ35" s="970">
        <v>20.027305885951883</v>
      </c>
      <c r="GR35" s="970">
        <v>30.700392336134456</v>
      </c>
      <c r="GS35" s="970">
        <v>0</v>
      </c>
      <c r="GT35" s="970">
        <v>21.084628571428578</v>
      </c>
      <c r="GU35" s="970">
        <v>10.952202278489878</v>
      </c>
      <c r="GV35" s="970">
        <v>0</v>
      </c>
      <c r="GW35" s="970">
        <v>0</v>
      </c>
      <c r="GX35" s="970">
        <v>77.143263865546217</v>
      </c>
      <c r="GY35" s="971">
        <v>133.80100628971502</v>
      </c>
      <c r="GZ35" s="969">
        <v>39.96376022408964</v>
      </c>
      <c r="HA35" s="970">
        <v>0</v>
      </c>
      <c r="HB35" s="970">
        <v>28.082952380952381</v>
      </c>
      <c r="HC35" s="970">
        <v>26.668263649491671</v>
      </c>
      <c r="HD35" s="970">
        <v>31.04860504201681</v>
      </c>
      <c r="HE35" s="970">
        <v>0</v>
      </c>
      <c r="HF35" s="970">
        <v>21.151904761904767</v>
      </c>
      <c r="HG35" s="970">
        <v>16.10035481586177</v>
      </c>
      <c r="HH35" s="970">
        <v>0</v>
      </c>
      <c r="HI35" s="970">
        <v>0</v>
      </c>
      <c r="HJ35" s="970">
        <v>77.375904761904778</v>
      </c>
      <c r="HK35" s="971">
        <v>151.84142693288959</v>
      </c>
      <c r="HL35" s="969">
        <v>42.121600717086835</v>
      </c>
      <c r="HM35" s="970">
        <v>11.564136126462531</v>
      </c>
      <c r="HN35" s="970">
        <v>20.807037535014008</v>
      </c>
      <c r="HO35" s="970">
        <v>7.6607551405833991</v>
      </c>
      <c r="HP35" s="970">
        <v>34.7405316302521</v>
      </c>
      <c r="HQ35" s="970">
        <v>7.6008568976252615</v>
      </c>
      <c r="HR35" s="970">
        <v>15.567980952380957</v>
      </c>
      <c r="HS35" s="970">
        <v>3.9420865857272926</v>
      </c>
      <c r="HT35" s="970">
        <v>65.589100280112049</v>
      </c>
      <c r="HU35" s="970">
        <v>5.4954922555996264</v>
      </c>
      <c r="HV35" s="970">
        <v>58.066710364145663</v>
      </c>
      <c r="HW35" s="971">
        <v>74.968683606981031</v>
      </c>
      <c r="HX35" s="969">
        <v>46.041390789915965</v>
      </c>
      <c r="HY35" s="970">
        <v>12.766980859197652</v>
      </c>
      <c r="HZ35" s="970">
        <v>20.368729411764708</v>
      </c>
      <c r="IA35" s="970">
        <v>6.2213407655408659</v>
      </c>
      <c r="IB35" s="970">
        <v>35.528495327731093</v>
      </c>
      <c r="IC35" s="970">
        <v>8.5019165098926024</v>
      </c>
      <c r="ID35" s="970">
        <v>15.231600000000004</v>
      </c>
      <c r="IE35" s="970">
        <v>2.9086747928655909</v>
      </c>
      <c r="IF35" s="970">
        <v>71.383018487394963</v>
      </c>
      <c r="IG35" s="970">
        <v>6.8342018793001751</v>
      </c>
      <c r="IH35" s="970">
        <v>56.903505882352945</v>
      </c>
      <c r="II35" s="971">
        <v>72.521846260413142</v>
      </c>
      <c r="IJ35" s="969">
        <v>45.547211921568632</v>
      </c>
      <c r="IK35" s="970">
        <v>4.6581072806329749</v>
      </c>
      <c r="IL35" s="970">
        <v>25.277780392156863</v>
      </c>
      <c r="IM35" s="970">
        <v>22.778609057995904</v>
      </c>
      <c r="IN35" s="970">
        <v>35.268758588235301</v>
      </c>
      <c r="IO35" s="970">
        <v>2.7769010960468545</v>
      </c>
      <c r="IP35" s="970">
        <v>18.999066666666671</v>
      </c>
      <c r="IQ35" s="970">
        <v>14.923471459382892</v>
      </c>
      <c r="IR35" s="970">
        <v>0</v>
      </c>
      <c r="IS35" s="970">
        <v>0</v>
      </c>
      <c r="IT35" s="970">
        <v>69.931396078431376</v>
      </c>
      <c r="IU35" s="971">
        <v>118.58836801404622</v>
      </c>
      <c r="IV35" s="969">
        <v>43.812630677871148</v>
      </c>
      <c r="IW35" s="970">
        <v>11.468234484774262</v>
      </c>
      <c r="IX35" s="970">
        <v>22.297285154061626</v>
      </c>
      <c r="IY35" s="970">
        <v>11.688355648775138</v>
      </c>
      <c r="IZ35" s="970">
        <v>35.491347361344545</v>
      </c>
      <c r="JA35" s="970">
        <v>7.6021554902643134</v>
      </c>
      <c r="JB35" s="970">
        <v>16.711676190476194</v>
      </c>
      <c r="JC35" s="970">
        <v>6.6426834199252136</v>
      </c>
      <c r="JD35" s="970">
        <v>68.684620728291321</v>
      </c>
      <c r="JE35" s="970">
        <v>5.3353133560696042</v>
      </c>
      <c r="JF35" s="970">
        <v>62.021605602240896</v>
      </c>
      <c r="JG35" s="971">
        <v>88.35779175698832</v>
      </c>
      <c r="JH35" s="969">
        <v>41.350104201680672</v>
      </c>
      <c r="JI35" s="970">
        <v>0</v>
      </c>
      <c r="JJ35" s="970">
        <v>28.082952380952381</v>
      </c>
      <c r="JK35" s="970">
        <v>14.275945400676648</v>
      </c>
      <c r="JL35" s="970">
        <v>32.806924369747904</v>
      </c>
      <c r="JM35" s="970">
        <v>0</v>
      </c>
      <c r="JN35" s="970">
        <v>21.151904761904767</v>
      </c>
      <c r="JO35" s="970">
        <v>6.4779851364520109</v>
      </c>
      <c r="JP35" s="970">
        <v>0</v>
      </c>
      <c r="JQ35" s="970">
        <v>0</v>
      </c>
      <c r="JR35" s="970">
        <v>77.375904761904778</v>
      </c>
      <c r="JS35" s="971">
        <v>120.20114144966354</v>
      </c>
      <c r="JT35" s="969">
        <v>38.82853270588236</v>
      </c>
      <c r="JU35" s="970">
        <v>6.7469385325523978</v>
      </c>
      <c r="JV35" s="970">
        <v>24.401164145658264</v>
      </c>
      <c r="JW35" s="970">
        <v>20.710350436138381</v>
      </c>
      <c r="JX35" s="970">
        <v>31.680842218487395</v>
      </c>
      <c r="JY35" s="970">
        <v>4.3026008843825831</v>
      </c>
      <c r="JZ35" s="970">
        <v>18.326304761904765</v>
      </c>
      <c r="KA35" s="970">
        <v>13.547668524125051</v>
      </c>
      <c r="KB35" s="970">
        <v>0</v>
      </c>
      <c r="KC35" s="970">
        <v>0</v>
      </c>
      <c r="KD35" s="970">
        <v>67.60498711484594</v>
      </c>
      <c r="KE35" s="971">
        <v>109.78657097846538</v>
      </c>
      <c r="KF35" s="969">
        <v>45.298115047619049</v>
      </c>
      <c r="KG35" s="970">
        <v>6.3572686476837434</v>
      </c>
      <c r="KH35" s="970">
        <v>25.540765266106444</v>
      </c>
      <c r="KI35" s="970">
        <v>21.041297964150527</v>
      </c>
      <c r="KJ35" s="970">
        <v>35.050098016806729</v>
      </c>
      <c r="KK35" s="970">
        <v>3.9771933402773469</v>
      </c>
      <c r="KL35" s="970">
        <v>19.200895238095242</v>
      </c>
      <c r="KM35" s="970">
        <v>13.345541555303605</v>
      </c>
      <c r="KN35" s="970">
        <v>0</v>
      </c>
      <c r="KO35" s="970">
        <v>0</v>
      </c>
      <c r="KP35" s="970">
        <v>70.629318767507002</v>
      </c>
      <c r="KQ35" s="971">
        <v>113.12412300394953</v>
      </c>
      <c r="KR35" s="969">
        <v>43.646997602240901</v>
      </c>
      <c r="KS35" s="970">
        <v>1.0948487370584401</v>
      </c>
      <c r="KT35" s="970">
        <v>25.979073389355744</v>
      </c>
      <c r="KU35" s="970">
        <v>28.765406619644128</v>
      </c>
      <c r="KV35" s="970">
        <v>33.692532168067231</v>
      </c>
      <c r="KW35" s="970">
        <v>0.37108218883176292</v>
      </c>
      <c r="KX35" s="970">
        <v>19.537276190476195</v>
      </c>
      <c r="KY35" s="970">
        <v>19.40358089700948</v>
      </c>
      <c r="KZ35" s="970">
        <v>0</v>
      </c>
      <c r="LA35" s="970">
        <v>0</v>
      </c>
      <c r="LB35" s="970">
        <v>71.79252324929972</v>
      </c>
      <c r="LC35" s="971">
        <v>140.58048517049053</v>
      </c>
      <c r="LD35" s="969">
        <v>43.403848694677876</v>
      </c>
      <c r="LE35" s="970">
        <v>9.2698308465332921</v>
      </c>
      <c r="LF35" s="970">
        <v>23.436886274509806</v>
      </c>
      <c r="LG35" s="970">
        <v>14.844795991964023</v>
      </c>
      <c r="LH35" s="970">
        <v>33.64048242016807</v>
      </c>
      <c r="LI35" s="970">
        <v>6.1247858283255887</v>
      </c>
      <c r="LJ35" s="970">
        <v>17.58626666666667</v>
      </c>
      <c r="LK35" s="970">
        <v>8.8599833064870133</v>
      </c>
      <c r="LL35" s="970">
        <v>67.517992156862761</v>
      </c>
      <c r="LM35" s="970">
        <v>1.6817219083543231</v>
      </c>
      <c r="LN35" s="970">
        <v>65.045937254901958</v>
      </c>
      <c r="LO35" s="971">
        <v>92.085552380149707</v>
      </c>
      <c r="LP35" s="969">
        <v>36.217196638655459</v>
      </c>
      <c r="LQ35" s="970">
        <v>0</v>
      </c>
      <c r="LR35" s="970">
        <v>26.505043137254905</v>
      </c>
      <c r="LS35" s="970">
        <v>23.001973476507384</v>
      </c>
      <c r="LT35" s="970">
        <v>28.537075630252101</v>
      </c>
      <c r="LU35" s="970">
        <v>0</v>
      </c>
      <c r="LV35" s="970">
        <v>19.940933333333337</v>
      </c>
      <c r="LW35" s="970">
        <v>13.299250629585575</v>
      </c>
      <c r="LX35" s="970">
        <v>0</v>
      </c>
      <c r="LY35" s="970">
        <v>0</v>
      </c>
      <c r="LZ35" s="970">
        <v>73.188368627450984</v>
      </c>
      <c r="MA35" s="971">
        <v>141.30700814078031</v>
      </c>
      <c r="MB35" s="969">
        <v>43.540677915966398</v>
      </c>
      <c r="MC35" s="970">
        <v>4.4119464155665558</v>
      </c>
      <c r="MD35" s="970">
        <v>26.768028011204485</v>
      </c>
      <c r="ME35" s="970">
        <v>22.901804499592316</v>
      </c>
      <c r="MF35" s="970">
        <v>34.427037042016813</v>
      </c>
      <c r="MG35" s="970">
        <v>2.5525238719797825</v>
      </c>
      <c r="MH35" s="970">
        <v>20.142761904761908</v>
      </c>
      <c r="MI35" s="970">
        <v>14.837952732286299</v>
      </c>
      <c r="MJ35" s="970">
        <v>0</v>
      </c>
      <c r="MK35" s="970">
        <v>0</v>
      </c>
      <c r="ML35" s="970">
        <v>73.886291316526609</v>
      </c>
      <c r="MM35" s="971">
        <v>120.18705377152243</v>
      </c>
      <c r="MN35" s="969">
        <v>38.839670588235307</v>
      </c>
      <c r="MO35" s="970">
        <v>0</v>
      </c>
      <c r="MP35" s="970">
        <v>35.095882352941175</v>
      </c>
      <c r="MQ35" s="970">
        <v>25.753372887337985</v>
      </c>
      <c r="MR35" s="970">
        <v>29.744403361344546</v>
      </c>
      <c r="MS35" s="970">
        <v>0</v>
      </c>
      <c r="MT35" s="970">
        <v>26.534000000000006</v>
      </c>
      <c r="MU35" s="970">
        <v>12.630350559187923</v>
      </c>
      <c r="MV35" s="970">
        <v>0</v>
      </c>
      <c r="MW35" s="970">
        <v>0</v>
      </c>
      <c r="MX35" s="970">
        <v>95.987176470588253</v>
      </c>
      <c r="MY35" s="971">
        <v>174.45711095189137</v>
      </c>
      <c r="MZ35" s="969">
        <v>35.87390924369749</v>
      </c>
      <c r="NA35" s="970">
        <v>0</v>
      </c>
      <c r="NB35" s="970">
        <v>29.222553501400558</v>
      </c>
      <c r="NC35" s="970">
        <v>27.217272748837139</v>
      </c>
      <c r="ND35" s="970">
        <v>27.74971428571429</v>
      </c>
      <c r="NE35" s="970">
        <v>0</v>
      </c>
      <c r="NF35" s="970">
        <v>22.02649523809524</v>
      </c>
      <c r="NG35" s="970">
        <v>15.413582552722538</v>
      </c>
      <c r="NH35" s="970">
        <v>0</v>
      </c>
      <c r="NI35" s="970">
        <v>0</v>
      </c>
      <c r="NJ35" s="970">
        <v>80.400236414565825</v>
      </c>
      <c r="NK35" s="971">
        <v>173.41080298564401</v>
      </c>
      <c r="NL35" s="969">
        <v>41.232879955182071</v>
      </c>
      <c r="NM35" s="970">
        <v>2.5536722664702043</v>
      </c>
      <c r="NN35" s="970">
        <v>27.819967507002804</v>
      </c>
      <c r="NO35" s="970">
        <v>21.802884030073113</v>
      </c>
      <c r="NP35" s="970">
        <v>31.968162420168071</v>
      </c>
      <c r="NQ35" s="970">
        <v>1.4130989955544526</v>
      </c>
      <c r="NR35" s="970">
        <v>20.950076190476196</v>
      </c>
      <c r="NS35" s="970">
        <v>13.406086019542514</v>
      </c>
      <c r="NT35" s="970">
        <v>0</v>
      </c>
      <c r="NU35" s="970">
        <v>0</v>
      </c>
      <c r="NV35" s="970">
        <v>76.677982072829138</v>
      </c>
      <c r="NW35" s="971">
        <v>123.46994462480208</v>
      </c>
      <c r="NX35" s="969">
        <v>40.849814140056033</v>
      </c>
      <c r="NY35" s="970">
        <v>4.9259187564002165</v>
      </c>
      <c r="NZ35" s="970">
        <v>26.242058263305324</v>
      </c>
      <c r="OA35" s="970">
        <v>24.897018676256131</v>
      </c>
      <c r="OB35" s="970">
        <v>31.792136605042021</v>
      </c>
      <c r="OC35" s="970">
        <v>2.9564406970976926</v>
      </c>
      <c r="OD35" s="970">
        <v>19.739104761904766</v>
      </c>
      <c r="OE35" s="970">
        <v>16.492097711505277</v>
      </c>
      <c r="OF35" s="970">
        <v>0</v>
      </c>
      <c r="OG35" s="970">
        <v>0</v>
      </c>
      <c r="OH35" s="970">
        <v>72.490445938375359</v>
      </c>
      <c r="OI35" s="971">
        <v>124.48295958948769</v>
      </c>
      <c r="OJ35" s="969">
        <v>42.551511484593853</v>
      </c>
      <c r="OK35" s="970">
        <v>0</v>
      </c>
      <c r="OL35" s="970">
        <v>30.186831372549015</v>
      </c>
      <c r="OM35" s="970">
        <v>22.054310796467323</v>
      </c>
      <c r="ON35" s="970">
        <v>33.137613445378157</v>
      </c>
      <c r="OO35" s="970">
        <v>0</v>
      </c>
      <c r="OP35" s="970">
        <v>22.766533333333339</v>
      </c>
      <c r="OQ35" s="970">
        <v>12.058457044295867</v>
      </c>
      <c r="OR35" s="970">
        <v>0</v>
      </c>
      <c r="OS35" s="970">
        <v>0</v>
      </c>
      <c r="OT35" s="970">
        <v>82.959286274509807</v>
      </c>
      <c r="OU35" s="971">
        <v>140.73713235737634</v>
      </c>
      <c r="OV35" s="969">
        <v>42.18298711484595</v>
      </c>
      <c r="OW35" s="970">
        <v>8.0038057498548021</v>
      </c>
      <c r="OX35" s="970">
        <v>24.927133893557425</v>
      </c>
      <c r="OY35" s="970">
        <v>17.123225769147144</v>
      </c>
      <c r="OZ35" s="970">
        <v>33.147994352941183</v>
      </c>
      <c r="PA35" s="970">
        <v>5.210149329096911</v>
      </c>
      <c r="PB35" s="970">
        <v>18.729961904761907</v>
      </c>
      <c r="PC35" s="970">
        <v>9.8842942518401635</v>
      </c>
      <c r="PD35" s="970">
        <v>65.482577030812337</v>
      </c>
      <c r="PE35" s="970">
        <v>0.34403256688181016</v>
      </c>
      <c r="PF35" s="970">
        <v>69.000832492997205</v>
      </c>
      <c r="PG35" s="971">
        <v>101.91933710054195</v>
      </c>
      <c r="PH35" s="969">
        <v>40.771632492997206</v>
      </c>
      <c r="PI35" s="970">
        <v>0</v>
      </c>
      <c r="PJ35" s="970">
        <v>33.868619607843137</v>
      </c>
      <c r="PK35" s="970">
        <v>27.175743340270699</v>
      </c>
      <c r="PL35" s="970">
        <v>31.80611764705883</v>
      </c>
      <c r="PM35" s="970">
        <v>0</v>
      </c>
      <c r="PN35" s="970">
        <v>25.592133333333344</v>
      </c>
      <c r="PO35" s="970">
        <v>14.971172771930272</v>
      </c>
      <c r="PP35" s="970">
        <v>0</v>
      </c>
      <c r="PQ35" s="970">
        <v>0</v>
      </c>
      <c r="PR35" s="970">
        <v>92.730203921568631</v>
      </c>
      <c r="PS35" s="971">
        <v>157.11137661524546</v>
      </c>
      <c r="PT35" s="969">
        <v>44.344649053221296</v>
      </c>
      <c r="PU35" s="970">
        <v>4.4221966351931243</v>
      </c>
      <c r="PV35" s="970">
        <v>26.505043137254905</v>
      </c>
      <c r="PW35" s="970">
        <v>18.910847040077861</v>
      </c>
      <c r="PX35" s="970">
        <v>35.598713546218491</v>
      </c>
      <c r="PY35" s="970">
        <v>2.6016142620857892</v>
      </c>
      <c r="PZ35" s="970">
        <v>19.940933333333337</v>
      </c>
      <c r="QA35" s="970">
        <v>11.580270962964182</v>
      </c>
      <c r="QB35" s="970">
        <v>0</v>
      </c>
      <c r="QC35" s="970">
        <v>0</v>
      </c>
      <c r="QD35" s="970">
        <v>73.188368627450984</v>
      </c>
      <c r="QE35" s="971">
        <v>108.70565037060943</v>
      </c>
      <c r="QF35" s="969">
        <v>42.896811742296919</v>
      </c>
      <c r="QG35" s="970">
        <v>5.1716765511357954</v>
      </c>
      <c r="QH35" s="970">
        <v>26.066735014005605</v>
      </c>
      <c r="QI35" s="970">
        <v>23.319143653183826</v>
      </c>
      <c r="QJ35" s="970">
        <v>33.416019361344539</v>
      </c>
      <c r="QK35" s="970">
        <v>3.1135031099750305</v>
      </c>
      <c r="QL35" s="970">
        <v>19.604552380952384</v>
      </c>
      <c r="QM35" s="970">
        <v>15.144697663411513</v>
      </c>
      <c r="QN35" s="970">
        <v>0</v>
      </c>
      <c r="QO35" s="970">
        <v>0</v>
      </c>
      <c r="QP35" s="970">
        <v>72.025164145658266</v>
      </c>
      <c r="QQ35" s="971">
        <v>120.95402835491127</v>
      </c>
      <c r="QR35" s="969">
        <v>32.535657142857147</v>
      </c>
      <c r="QS35" s="970">
        <v>0</v>
      </c>
      <c r="QT35" s="970">
        <v>29.397876750700281</v>
      </c>
      <c r="QU35" s="970">
        <v>21.238317820530256</v>
      </c>
      <c r="QV35" s="970">
        <v>27.566924369747902</v>
      </c>
      <c r="QW35" s="970">
        <v>0</v>
      </c>
      <c r="QX35" s="970">
        <v>22.161047619047626</v>
      </c>
      <c r="QY35" s="970">
        <v>10.508501118398511</v>
      </c>
      <c r="QZ35" s="970">
        <v>0</v>
      </c>
      <c r="RA35" s="970">
        <v>0</v>
      </c>
      <c r="RB35" s="970">
        <v>80.865518207282918</v>
      </c>
      <c r="RC35" s="971">
        <v>160.6688936862754</v>
      </c>
      <c r="RD35" s="969">
        <v>43.293933983193277</v>
      </c>
      <c r="RE35" s="970">
        <v>5.9434116832755457</v>
      </c>
      <c r="RF35" s="970">
        <v>26.417381512605044</v>
      </c>
      <c r="RG35" s="970">
        <v>21.192242319614419</v>
      </c>
      <c r="RH35" s="970">
        <v>33.707566789915965</v>
      </c>
      <c r="RI35" s="970">
        <v>3.6815265516326345</v>
      </c>
      <c r="RJ35" s="970">
        <v>19.873657142857148</v>
      </c>
      <c r="RK35" s="970">
        <v>13.322562269712652</v>
      </c>
      <c r="RL35" s="970">
        <v>0</v>
      </c>
      <c r="RM35" s="970">
        <v>0</v>
      </c>
      <c r="RN35" s="970">
        <v>72.955727731092438</v>
      </c>
      <c r="RO35" s="971">
        <v>115.24965397427174</v>
      </c>
      <c r="RP35" s="969">
        <v>42.965571854341732</v>
      </c>
      <c r="RQ35" s="970">
        <v>5.3191977705098026</v>
      </c>
      <c r="RR35" s="970">
        <v>26.242058263305324</v>
      </c>
      <c r="RS35" s="970">
        <v>20.439720165467186</v>
      </c>
      <c r="RT35" s="970">
        <v>33.351753142857142</v>
      </c>
      <c r="RU35" s="970">
        <v>3.2239598320844824</v>
      </c>
      <c r="RV35" s="970">
        <v>19.739104761904766</v>
      </c>
      <c r="RW35" s="970">
        <v>12.730999335260602</v>
      </c>
      <c r="RX35" s="970">
        <v>0</v>
      </c>
      <c r="RY35" s="970">
        <v>0</v>
      </c>
      <c r="RZ35" s="970">
        <v>72.490445938375359</v>
      </c>
      <c r="SA35" s="971">
        <v>113.61783360263072</v>
      </c>
    </row>
    <row r="36" spans="1:495">
      <c r="A36" s="966">
        <f>[3]Eingabedaten!A38</f>
        <v>10.01</v>
      </c>
      <c r="B36" s="169" t="str">
        <f>[3]Eingabedaten!C38</f>
        <v>Lagerhalle</v>
      </c>
      <c r="C36" s="987">
        <f t="shared" si="1"/>
        <v>30</v>
      </c>
      <c r="D36" s="954" cm="1">
        <f t="array" ref="D36">INDEX($P$7:$SA$51,$C36,$G$3-1+D$2)</f>
        <v>0</v>
      </c>
      <c r="E36" s="955" cm="1">
        <f t="array" ref="E36">INDEX($P$7:$SA$51,$C36,$G$3-1+E$2)</f>
        <v>0</v>
      </c>
      <c r="F36" s="955" cm="1">
        <f t="array" ref="F36">INDEX($P$7:$SA$51,$C36,$G$3-1+F$2)</f>
        <v>18.805633333333336</v>
      </c>
      <c r="G36" s="955" cm="1">
        <f t="array" ref="G36">INDEX($P$7:$SA$51,$C36,$G$3-1+G$2)</f>
        <v>9.6329444067037233</v>
      </c>
      <c r="H36" s="955" cm="1">
        <f t="array" ref="H36">INDEX($P$7:$SA$51,$C36,$G$3-1+H$2)</f>
        <v>0</v>
      </c>
      <c r="I36" s="955" cm="1">
        <f t="array" ref="I36">INDEX($P$7:$SA$51,$C36,$G$3-1+I$2)</f>
        <v>0</v>
      </c>
      <c r="J36" s="955" cm="1">
        <f t="array" ref="J36">INDEX($P$7:$SA$51,$C36,$G$3-1+J$2)</f>
        <v>14.922266666666669</v>
      </c>
      <c r="K36" s="955" cm="1">
        <f t="array" ref="K36">INDEX($P$7:$SA$51,$C36,$G$3-1+K$2)</f>
        <v>7.9670791010373421</v>
      </c>
      <c r="L36" s="955" cm="1">
        <f t="array" ref="L36">INDEX($P$7:$SA$51,$C36,$G$3-1+L$2)</f>
        <v>0</v>
      </c>
      <c r="M36" s="955" cm="1">
        <f t="array" ref="M36">INDEX($P$7:$SA$51,$C36,$G$3-1+M$2)</f>
        <v>0</v>
      </c>
      <c r="N36" s="955" cm="1">
        <f t="array" ref="N36">INDEX($P$7:$SA$51,$C36,$G$3-1+N$2)</f>
        <v>68.305666666666681</v>
      </c>
      <c r="O36" s="956" cm="1">
        <f t="array" ref="O36">INDEX($P$7:$SA$51,$C36,$G$3-1+O$2)</f>
        <v>71.863972588285904</v>
      </c>
      <c r="P36" s="969">
        <v>0</v>
      </c>
      <c r="Q36" s="970">
        <v>0</v>
      </c>
      <c r="R36" s="970">
        <v>20.710827450980393</v>
      </c>
      <c r="S36" s="970">
        <v>8.7590170374790883</v>
      </c>
      <c r="T36" s="970">
        <v>0</v>
      </c>
      <c r="U36" s="970">
        <v>0</v>
      </c>
      <c r="V36" s="970">
        <v>16.464654901960788</v>
      </c>
      <c r="W36" s="970">
        <v>5.8242665310459332</v>
      </c>
      <c r="X36" s="970">
        <v>0</v>
      </c>
      <c r="Y36" s="970">
        <v>0</v>
      </c>
      <c r="Z36" s="970">
        <v>74.835431372549039</v>
      </c>
      <c r="AA36" s="971">
        <v>90.750682805486534</v>
      </c>
      <c r="AB36" s="969">
        <v>0</v>
      </c>
      <c r="AC36" s="970">
        <v>0</v>
      </c>
      <c r="AD36" s="970">
        <v>17.394378431372552</v>
      </c>
      <c r="AE36" s="970">
        <v>8.5655195150470185</v>
      </c>
      <c r="AF36" s="970">
        <v>0</v>
      </c>
      <c r="AG36" s="970">
        <v>0</v>
      </c>
      <c r="AH36" s="970">
        <v>13.779756862745103</v>
      </c>
      <c r="AI36" s="970">
        <v>7.493013371296847</v>
      </c>
      <c r="AJ36" s="970">
        <v>0</v>
      </c>
      <c r="AK36" s="970">
        <v>0</v>
      </c>
      <c r="AL36" s="970">
        <v>63.468803921568636</v>
      </c>
      <c r="AM36" s="971">
        <v>68.679440878024366</v>
      </c>
      <c r="AN36" s="969">
        <v>0</v>
      </c>
      <c r="AO36" s="970">
        <v>0</v>
      </c>
      <c r="AP36" s="970">
        <v>17.464941176470592</v>
      </c>
      <c r="AQ36" s="970">
        <v>11.169959472041597</v>
      </c>
      <c r="AR36" s="970">
        <v>0</v>
      </c>
      <c r="AS36" s="970">
        <v>0</v>
      </c>
      <c r="AT36" s="970">
        <v>13.836882352941181</v>
      </c>
      <c r="AU36" s="970">
        <v>9.9783155229574731</v>
      </c>
      <c r="AV36" s="970">
        <v>0</v>
      </c>
      <c r="AW36" s="970">
        <v>0</v>
      </c>
      <c r="AX36" s="970">
        <v>63.71064705882354</v>
      </c>
      <c r="AY36" s="971">
        <v>75.492374315329172</v>
      </c>
      <c r="AZ36" s="969">
        <v>0</v>
      </c>
      <c r="BA36" s="970">
        <v>0</v>
      </c>
      <c r="BB36" s="970">
        <v>18.100005882352946</v>
      </c>
      <c r="BC36" s="970">
        <v>6.6085019444314321</v>
      </c>
      <c r="BD36" s="970">
        <v>0</v>
      </c>
      <c r="BE36" s="970">
        <v>0</v>
      </c>
      <c r="BF36" s="970">
        <v>14.351011764705888</v>
      </c>
      <c r="BG36" s="970">
        <v>5.8622670321695161</v>
      </c>
      <c r="BH36" s="970">
        <v>0</v>
      </c>
      <c r="BI36" s="970">
        <v>0</v>
      </c>
      <c r="BJ36" s="970">
        <v>65.887235294117659</v>
      </c>
      <c r="BK36" s="971">
        <v>62.37245295468513</v>
      </c>
      <c r="BL36" s="969">
        <v>0</v>
      </c>
      <c r="BM36" s="970">
        <v>0</v>
      </c>
      <c r="BN36" s="970">
        <v>18.735070588235295</v>
      </c>
      <c r="BO36" s="970">
        <v>9.8264124381669813</v>
      </c>
      <c r="BP36" s="970">
        <v>0</v>
      </c>
      <c r="BQ36" s="970">
        <v>0</v>
      </c>
      <c r="BR36" s="970">
        <v>14.865141176470592</v>
      </c>
      <c r="BS36" s="970">
        <v>7.9705789366163424</v>
      </c>
      <c r="BT36" s="970">
        <v>0</v>
      </c>
      <c r="BU36" s="970">
        <v>0</v>
      </c>
      <c r="BV36" s="970">
        <v>68.063823529411764</v>
      </c>
      <c r="BW36" s="971">
        <v>73.683108668169425</v>
      </c>
      <c r="BX36" s="969">
        <v>0</v>
      </c>
      <c r="BY36" s="970">
        <v>0</v>
      </c>
      <c r="BZ36" s="970">
        <v>18.523382352941184</v>
      </c>
      <c r="CA36" s="970">
        <v>11.048226141516833</v>
      </c>
      <c r="CB36" s="970">
        <v>0</v>
      </c>
      <c r="CC36" s="970">
        <v>0</v>
      </c>
      <c r="CD36" s="970">
        <v>14.693764705882357</v>
      </c>
      <c r="CE36" s="970">
        <v>9.6652555983962039</v>
      </c>
      <c r="CF36" s="970">
        <v>0</v>
      </c>
      <c r="CG36" s="970">
        <v>0</v>
      </c>
      <c r="CH36" s="970">
        <v>67.338294117647081</v>
      </c>
      <c r="CI36" s="971">
        <v>75.468985322685299</v>
      </c>
      <c r="CJ36" s="969">
        <v>0</v>
      </c>
      <c r="CK36" s="970">
        <v>0</v>
      </c>
      <c r="CL36" s="970">
        <v>18.593945098039217</v>
      </c>
      <c r="CM36" s="970">
        <v>7.4271106521918737</v>
      </c>
      <c r="CN36" s="970">
        <v>0</v>
      </c>
      <c r="CO36" s="970">
        <v>0</v>
      </c>
      <c r="CP36" s="970">
        <v>14.750890196078435</v>
      </c>
      <c r="CQ36" s="970">
        <v>5.9195472334014001</v>
      </c>
      <c r="CR36" s="970">
        <v>0</v>
      </c>
      <c r="CS36" s="970">
        <v>0</v>
      </c>
      <c r="CT36" s="970">
        <v>67.580137254901985</v>
      </c>
      <c r="CU36" s="971">
        <v>67.31170314313313</v>
      </c>
      <c r="CV36" s="969">
        <v>0</v>
      </c>
      <c r="CW36" s="970">
        <v>0</v>
      </c>
      <c r="CX36" s="970">
        <v>22.757147058823534</v>
      </c>
      <c r="CY36" s="970">
        <v>11.070615710935618</v>
      </c>
      <c r="CZ36" s="970">
        <v>0</v>
      </c>
      <c r="DA36" s="970">
        <v>0</v>
      </c>
      <c r="DB36" s="970">
        <v>18.121294117647064</v>
      </c>
      <c r="DC36" s="970">
        <v>6.9118814697235109</v>
      </c>
      <c r="DD36" s="970">
        <v>0</v>
      </c>
      <c r="DE36" s="970">
        <v>0</v>
      </c>
      <c r="DF36" s="970">
        <v>81.848882352941189</v>
      </c>
      <c r="DG36" s="971">
        <v>102.29277245574761</v>
      </c>
      <c r="DH36" s="969">
        <v>0</v>
      </c>
      <c r="DI36" s="970">
        <v>0</v>
      </c>
      <c r="DJ36" s="970">
        <v>20.358013725490199</v>
      </c>
      <c r="DK36" s="970">
        <v>7.9890988465166783</v>
      </c>
      <c r="DL36" s="970">
        <v>0</v>
      </c>
      <c r="DM36" s="970">
        <v>0</v>
      </c>
      <c r="DN36" s="970">
        <v>16.179027450980396</v>
      </c>
      <c r="DO36" s="970">
        <v>5.3664071183032682</v>
      </c>
      <c r="DP36" s="970">
        <v>0</v>
      </c>
      <c r="DQ36" s="970">
        <v>0</v>
      </c>
      <c r="DR36" s="970">
        <v>73.62621568627452</v>
      </c>
      <c r="DS36" s="971">
        <v>82.152806198371124</v>
      </c>
      <c r="DT36" s="969">
        <v>0</v>
      </c>
      <c r="DU36" s="970">
        <v>0</v>
      </c>
      <c r="DV36" s="970">
        <v>21.416454901960783</v>
      </c>
      <c r="DW36" s="970">
        <v>15.236960799115691</v>
      </c>
      <c r="DX36" s="970">
        <v>0</v>
      </c>
      <c r="DY36" s="970">
        <v>0</v>
      </c>
      <c r="DZ36" s="970">
        <v>17.035909803921573</v>
      </c>
      <c r="EA36" s="970">
        <v>11.95079155477282</v>
      </c>
      <c r="EB36" s="970">
        <v>0</v>
      </c>
      <c r="EC36" s="970">
        <v>0</v>
      </c>
      <c r="ED36" s="970">
        <v>77.253862745098047</v>
      </c>
      <c r="EE36" s="971">
        <v>98.344264415224742</v>
      </c>
      <c r="EF36" s="969">
        <v>0</v>
      </c>
      <c r="EG36" s="970">
        <v>0</v>
      </c>
      <c r="EH36" s="970">
        <v>16.477062745098038</v>
      </c>
      <c r="EI36" s="970">
        <v>5.6799927711232412</v>
      </c>
      <c r="EJ36" s="970">
        <v>0</v>
      </c>
      <c r="EK36" s="970">
        <v>0</v>
      </c>
      <c r="EL36" s="970">
        <v>13.037125490196082</v>
      </c>
      <c r="EM36" s="970">
        <v>5.1212191615820704</v>
      </c>
      <c r="EN36" s="970">
        <v>0</v>
      </c>
      <c r="EO36" s="970">
        <v>0</v>
      </c>
      <c r="EP36" s="970">
        <v>60.324843137254916</v>
      </c>
      <c r="EQ36" s="971">
        <v>58.735605565979498</v>
      </c>
      <c r="ER36" s="969">
        <v>0</v>
      </c>
      <c r="ES36" s="970">
        <v>0</v>
      </c>
      <c r="ET36" s="970">
        <v>19.299572549019608</v>
      </c>
      <c r="EU36" s="970">
        <v>15.617672927591132</v>
      </c>
      <c r="EV36" s="970">
        <v>0</v>
      </c>
      <c r="EW36" s="970">
        <v>0</v>
      </c>
      <c r="EX36" s="970">
        <v>15.322145098039218</v>
      </c>
      <c r="EY36" s="970">
        <v>13.217045697201041</v>
      </c>
      <c r="EZ36" s="970">
        <v>0</v>
      </c>
      <c r="FA36" s="970">
        <v>0</v>
      </c>
      <c r="FB36" s="970">
        <v>69.998568627450993</v>
      </c>
      <c r="FC36" s="971">
        <v>90.040395759058043</v>
      </c>
      <c r="FD36" s="969">
        <v>0</v>
      </c>
      <c r="FE36" s="970">
        <v>0</v>
      </c>
      <c r="FF36" s="970">
        <v>24.380090196078434</v>
      </c>
      <c r="FG36" s="970">
        <v>14.492073421459578</v>
      </c>
      <c r="FH36" s="970">
        <v>0</v>
      </c>
      <c r="FI36" s="970">
        <v>0</v>
      </c>
      <c r="FJ36" s="970">
        <v>19.435180392156866</v>
      </c>
      <c r="FK36" s="970">
        <v>9.1982605666492585</v>
      </c>
      <c r="FL36" s="970">
        <v>0</v>
      </c>
      <c r="FM36" s="970">
        <v>0</v>
      </c>
      <c r="FN36" s="970">
        <v>87.411274509803931</v>
      </c>
      <c r="FO36" s="971">
        <v>123.38082037246356</v>
      </c>
      <c r="FP36" s="969">
        <v>0</v>
      </c>
      <c r="FQ36" s="970">
        <v>0</v>
      </c>
      <c r="FR36" s="970">
        <v>18.452819607843143</v>
      </c>
      <c r="FS36" s="970">
        <v>11.523714509637328</v>
      </c>
      <c r="FT36" s="970">
        <v>0</v>
      </c>
      <c r="FU36" s="970">
        <v>0</v>
      </c>
      <c r="FV36" s="970">
        <v>14.636639215686277</v>
      </c>
      <c r="FW36" s="970">
        <v>9.7482696977715833</v>
      </c>
      <c r="FX36" s="970">
        <v>0</v>
      </c>
      <c r="FY36" s="970">
        <v>0</v>
      </c>
      <c r="FZ36" s="970">
        <v>67.096450980392177</v>
      </c>
      <c r="GA36" s="971">
        <v>76.542538610906092</v>
      </c>
      <c r="GB36" s="969">
        <v>0</v>
      </c>
      <c r="GC36" s="970">
        <v>0</v>
      </c>
      <c r="GD36" s="970">
        <v>18.452819607843143</v>
      </c>
      <c r="GE36" s="970">
        <v>11.731590726247555</v>
      </c>
      <c r="GF36" s="970">
        <v>0</v>
      </c>
      <c r="GG36" s="970">
        <v>0</v>
      </c>
      <c r="GH36" s="970">
        <v>14.636639215686277</v>
      </c>
      <c r="GI36" s="970">
        <v>9.320951162096879</v>
      </c>
      <c r="GJ36" s="970">
        <v>0</v>
      </c>
      <c r="GK36" s="970">
        <v>0</v>
      </c>
      <c r="GL36" s="970">
        <v>67.096450980392177</v>
      </c>
      <c r="GM36" s="971">
        <v>79.40476763992838</v>
      </c>
      <c r="GN36" s="969">
        <v>0</v>
      </c>
      <c r="GO36" s="970">
        <v>0</v>
      </c>
      <c r="GP36" s="970">
        <v>20.216888235294121</v>
      </c>
      <c r="GQ36" s="970">
        <v>9.831218504576837</v>
      </c>
      <c r="GR36" s="970">
        <v>0</v>
      </c>
      <c r="GS36" s="970">
        <v>0</v>
      </c>
      <c r="GT36" s="970">
        <v>16.064776470588239</v>
      </c>
      <c r="GU36" s="970">
        <v>6.9739341901240159</v>
      </c>
      <c r="GV36" s="970">
        <v>0</v>
      </c>
      <c r="GW36" s="970">
        <v>0</v>
      </c>
      <c r="GX36" s="970">
        <v>73.142529411764713</v>
      </c>
      <c r="GY36" s="971">
        <v>85.671112927337262</v>
      </c>
      <c r="GZ36" s="969">
        <v>0</v>
      </c>
      <c r="HA36" s="970">
        <v>0</v>
      </c>
      <c r="HB36" s="970">
        <v>20.287450980392162</v>
      </c>
      <c r="HC36" s="970">
        <v>13.406496244317898</v>
      </c>
      <c r="HD36" s="970">
        <v>0</v>
      </c>
      <c r="HE36" s="970">
        <v>0</v>
      </c>
      <c r="HF36" s="970">
        <v>16.121901960784321</v>
      </c>
      <c r="HG36" s="970">
        <v>10.204445976314146</v>
      </c>
      <c r="HH36" s="970">
        <v>0</v>
      </c>
      <c r="HI36" s="970">
        <v>0</v>
      </c>
      <c r="HJ36" s="970">
        <v>73.384372549019616</v>
      </c>
      <c r="HK36" s="971">
        <v>97.082163282942318</v>
      </c>
      <c r="HL36" s="969">
        <v>0</v>
      </c>
      <c r="HM36" s="970">
        <v>0</v>
      </c>
      <c r="HN36" s="970">
        <v>14.430743137254904</v>
      </c>
      <c r="HO36" s="970">
        <v>0</v>
      </c>
      <c r="HP36" s="970">
        <v>0</v>
      </c>
      <c r="HQ36" s="970">
        <v>0</v>
      </c>
      <c r="HR36" s="970">
        <v>11.380486274509808</v>
      </c>
      <c r="HS36" s="970">
        <v>0.63375287200284436</v>
      </c>
      <c r="HT36" s="970">
        <v>0</v>
      </c>
      <c r="HU36" s="970">
        <v>0</v>
      </c>
      <c r="HV36" s="970">
        <v>53.311392156862766</v>
      </c>
      <c r="HW36" s="971">
        <v>41.072078445841051</v>
      </c>
      <c r="HX36" s="969">
        <v>0</v>
      </c>
      <c r="HY36" s="970">
        <v>0</v>
      </c>
      <c r="HZ36" s="970">
        <v>14.077929411764707</v>
      </c>
      <c r="IA36" s="970">
        <v>0</v>
      </c>
      <c r="IB36" s="970">
        <v>0</v>
      </c>
      <c r="IC36" s="970">
        <v>0</v>
      </c>
      <c r="ID36" s="970">
        <v>11.094858823529416</v>
      </c>
      <c r="IE36" s="970">
        <v>0</v>
      </c>
      <c r="IF36" s="970">
        <v>0</v>
      </c>
      <c r="IG36" s="970">
        <v>0</v>
      </c>
      <c r="IH36" s="970">
        <v>52.102176470588255</v>
      </c>
      <c r="II36" s="971">
        <v>39.414408917286217</v>
      </c>
      <c r="IJ36" s="969">
        <v>0</v>
      </c>
      <c r="IK36" s="970">
        <v>0</v>
      </c>
      <c r="IL36" s="970">
        <v>18.029443137254905</v>
      </c>
      <c r="IM36" s="970">
        <v>10.455419499926666</v>
      </c>
      <c r="IN36" s="970">
        <v>0</v>
      </c>
      <c r="IO36" s="970">
        <v>0</v>
      </c>
      <c r="IP36" s="970">
        <v>14.293886274509807</v>
      </c>
      <c r="IQ36" s="970">
        <v>9.1091533336377566</v>
      </c>
      <c r="IR36" s="970">
        <v>0</v>
      </c>
      <c r="IS36" s="970">
        <v>0</v>
      </c>
      <c r="IT36" s="970">
        <v>65.645392156862755</v>
      </c>
      <c r="IU36" s="971">
        <v>74.617708736438686</v>
      </c>
      <c r="IV36" s="969">
        <v>0</v>
      </c>
      <c r="IW36" s="970">
        <v>0</v>
      </c>
      <c r="IX36" s="970">
        <v>15.630309803921573</v>
      </c>
      <c r="IY36" s="970">
        <v>2.3064551076649944</v>
      </c>
      <c r="IZ36" s="970">
        <v>0</v>
      </c>
      <c r="JA36" s="970">
        <v>0</v>
      </c>
      <c r="JB36" s="970">
        <v>12.351619607843141</v>
      </c>
      <c r="JC36" s="970">
        <v>2.3984291909527933</v>
      </c>
      <c r="JD36" s="970">
        <v>0</v>
      </c>
      <c r="JE36" s="970">
        <v>0</v>
      </c>
      <c r="JF36" s="970">
        <v>57.422725490196086</v>
      </c>
      <c r="JG36" s="971">
        <v>50.487782320302685</v>
      </c>
      <c r="JH36" s="969">
        <v>0</v>
      </c>
      <c r="JI36" s="970">
        <v>0</v>
      </c>
      <c r="JJ36" s="970">
        <v>20.287450980392162</v>
      </c>
      <c r="JK36" s="970">
        <v>6.7607813495918183</v>
      </c>
      <c r="JL36" s="970">
        <v>0</v>
      </c>
      <c r="JM36" s="970">
        <v>0</v>
      </c>
      <c r="JN36" s="970">
        <v>16.121901960784321</v>
      </c>
      <c r="JO36" s="970">
        <v>4.1242915481605831</v>
      </c>
      <c r="JP36" s="970">
        <v>0</v>
      </c>
      <c r="JQ36" s="970">
        <v>0</v>
      </c>
      <c r="JR36" s="970">
        <v>73.384372549019616</v>
      </c>
      <c r="JS36" s="971">
        <v>78.108132088328077</v>
      </c>
      <c r="JT36" s="969">
        <v>0</v>
      </c>
      <c r="JU36" s="970">
        <v>0</v>
      </c>
      <c r="JV36" s="970">
        <v>17.323815686274514</v>
      </c>
      <c r="JW36" s="970">
        <v>8.4784533006936691</v>
      </c>
      <c r="JX36" s="970">
        <v>0</v>
      </c>
      <c r="JY36" s="970">
        <v>0</v>
      </c>
      <c r="JZ36" s="970">
        <v>13.722631372549023</v>
      </c>
      <c r="KA36" s="970">
        <v>7.6630263737973552</v>
      </c>
      <c r="KB36" s="970">
        <v>0</v>
      </c>
      <c r="KC36" s="970">
        <v>0</v>
      </c>
      <c r="KD36" s="970">
        <v>63.226960784313732</v>
      </c>
      <c r="KE36" s="971">
        <v>68.069025343904499</v>
      </c>
      <c r="KF36" s="969">
        <v>0</v>
      </c>
      <c r="KG36" s="970">
        <v>0</v>
      </c>
      <c r="KH36" s="970">
        <v>18.24113137254902</v>
      </c>
      <c r="KI36" s="970">
        <v>9.8368255365009318</v>
      </c>
      <c r="KJ36" s="970">
        <v>0</v>
      </c>
      <c r="KK36" s="970">
        <v>0</v>
      </c>
      <c r="KL36" s="970">
        <v>14.465262745098045</v>
      </c>
      <c r="KM36" s="970">
        <v>8.341077879037325</v>
      </c>
      <c r="KN36" s="970">
        <v>0</v>
      </c>
      <c r="KO36" s="970">
        <v>0</v>
      </c>
      <c r="KP36" s="970">
        <v>66.370921568627466</v>
      </c>
      <c r="KQ36" s="971">
        <v>71.628924288460084</v>
      </c>
      <c r="KR36" s="969">
        <v>0</v>
      </c>
      <c r="KS36" s="970">
        <v>0</v>
      </c>
      <c r="KT36" s="970">
        <v>18.593945098039217</v>
      </c>
      <c r="KU36" s="970">
        <v>14.834395346503264</v>
      </c>
      <c r="KV36" s="970">
        <v>0</v>
      </c>
      <c r="KW36" s="970">
        <v>0</v>
      </c>
      <c r="KX36" s="970">
        <v>14.750890196078435</v>
      </c>
      <c r="KY36" s="970">
        <v>12.1466318370093</v>
      </c>
      <c r="KZ36" s="970">
        <v>0</v>
      </c>
      <c r="LA36" s="970">
        <v>0</v>
      </c>
      <c r="LB36" s="970">
        <v>67.580137254901985</v>
      </c>
      <c r="LC36" s="971">
        <v>88.943592129142061</v>
      </c>
      <c r="LD36" s="969">
        <v>0</v>
      </c>
      <c r="LE36" s="970">
        <v>0</v>
      </c>
      <c r="LF36" s="970">
        <v>16.547625490196079</v>
      </c>
      <c r="LG36" s="970">
        <v>4.7123798084062285</v>
      </c>
      <c r="LH36" s="970">
        <v>0</v>
      </c>
      <c r="LI36" s="970">
        <v>0</v>
      </c>
      <c r="LJ36" s="970">
        <v>13.094250980392161</v>
      </c>
      <c r="LK36" s="970">
        <v>4.3480252182611121</v>
      </c>
      <c r="LL36" s="970">
        <v>0</v>
      </c>
      <c r="LM36" s="970">
        <v>0</v>
      </c>
      <c r="LN36" s="970">
        <v>60.56668627450982</v>
      </c>
      <c r="LO36" s="971">
        <v>55.586937404796856</v>
      </c>
      <c r="LP36" s="969">
        <v>0</v>
      </c>
      <c r="LQ36" s="970">
        <v>0</v>
      </c>
      <c r="LR36" s="970">
        <v>19.017321568627452</v>
      </c>
      <c r="LS36" s="970">
        <v>11.400329952341906</v>
      </c>
      <c r="LT36" s="970">
        <v>0</v>
      </c>
      <c r="LU36" s="970">
        <v>0</v>
      </c>
      <c r="LV36" s="970">
        <v>15.093643137254904</v>
      </c>
      <c r="LW36" s="970">
        <v>8.4114991125536811</v>
      </c>
      <c r="LX36" s="970">
        <v>0</v>
      </c>
      <c r="LY36" s="970">
        <v>0</v>
      </c>
      <c r="LZ36" s="970">
        <v>69.031196078431392</v>
      </c>
      <c r="MA36" s="971">
        <v>89.804857559074279</v>
      </c>
      <c r="MB36" s="969">
        <v>0</v>
      </c>
      <c r="MC36" s="970">
        <v>0</v>
      </c>
      <c r="MD36" s="970">
        <v>19.229009803921574</v>
      </c>
      <c r="ME36" s="970">
        <v>11.294292424767606</v>
      </c>
      <c r="MF36" s="970">
        <v>0</v>
      </c>
      <c r="MG36" s="970">
        <v>0</v>
      </c>
      <c r="MH36" s="970">
        <v>15.265019607843142</v>
      </c>
      <c r="MI36" s="970">
        <v>9.2784221747555016</v>
      </c>
      <c r="MJ36" s="970">
        <v>0</v>
      </c>
      <c r="MK36" s="970">
        <v>0</v>
      </c>
      <c r="ML36" s="970">
        <v>69.756725490196089</v>
      </c>
      <c r="MM36" s="971">
        <v>75.92509676077465</v>
      </c>
      <c r="MN36" s="969">
        <v>0</v>
      </c>
      <c r="MO36" s="970">
        <v>0</v>
      </c>
      <c r="MP36" s="970">
        <v>25.932470588235297</v>
      </c>
      <c r="MQ36" s="970">
        <v>14.403678339422916</v>
      </c>
      <c r="MR36" s="970">
        <v>0</v>
      </c>
      <c r="MS36" s="970">
        <v>0</v>
      </c>
      <c r="MT36" s="970">
        <v>20.691941176470593</v>
      </c>
      <c r="MU36" s="970">
        <v>8.6575750099919802</v>
      </c>
      <c r="MV36" s="970">
        <v>0</v>
      </c>
      <c r="MW36" s="970">
        <v>0</v>
      </c>
      <c r="MX36" s="970">
        <v>92.73182352941177</v>
      </c>
      <c r="MY36" s="971">
        <v>116.28057143955174</v>
      </c>
      <c r="MZ36" s="969">
        <v>0</v>
      </c>
      <c r="NA36" s="970">
        <v>0</v>
      </c>
      <c r="NB36" s="970">
        <v>21.204766666666671</v>
      </c>
      <c r="NC36" s="970">
        <v>14.111161982351238</v>
      </c>
      <c r="ND36" s="970">
        <v>0</v>
      </c>
      <c r="NE36" s="970">
        <v>0</v>
      </c>
      <c r="NF36" s="970">
        <v>16.864533333333338</v>
      </c>
      <c r="NG36" s="970">
        <v>9.9903263828043887</v>
      </c>
      <c r="NH36" s="970">
        <v>0</v>
      </c>
      <c r="NI36" s="970">
        <v>0</v>
      </c>
      <c r="NJ36" s="970">
        <v>76.528333333333336</v>
      </c>
      <c r="NK36" s="971">
        <v>112.28483457328052</v>
      </c>
      <c r="NL36" s="969">
        <v>0</v>
      </c>
      <c r="NM36" s="970">
        <v>0</v>
      </c>
      <c r="NN36" s="970">
        <v>20.075762745098039</v>
      </c>
      <c r="NO36" s="970">
        <v>10.811318652887985</v>
      </c>
      <c r="NP36" s="970">
        <v>0</v>
      </c>
      <c r="NQ36" s="970">
        <v>0</v>
      </c>
      <c r="NR36" s="970">
        <v>15.950525490196082</v>
      </c>
      <c r="NS36" s="970">
        <v>8.442319701744319</v>
      </c>
      <c r="NT36" s="970">
        <v>0</v>
      </c>
      <c r="NU36" s="970">
        <v>0</v>
      </c>
      <c r="NV36" s="970">
        <v>72.658843137254934</v>
      </c>
      <c r="NW36" s="971">
        <v>78.486640551546358</v>
      </c>
      <c r="NX36" s="969">
        <v>0</v>
      </c>
      <c r="NY36" s="970">
        <v>0</v>
      </c>
      <c r="NZ36" s="970">
        <v>18.805633333333336</v>
      </c>
      <c r="OA36" s="970">
        <v>11.901486072169313</v>
      </c>
      <c r="OB36" s="970">
        <v>0</v>
      </c>
      <c r="OC36" s="970">
        <v>0</v>
      </c>
      <c r="OD36" s="970">
        <v>14.922266666666669</v>
      </c>
      <c r="OE36" s="970">
        <v>10.272386953409523</v>
      </c>
      <c r="OF36" s="970">
        <v>0</v>
      </c>
      <c r="OG36" s="970">
        <v>0</v>
      </c>
      <c r="OH36" s="970">
        <v>68.305666666666681</v>
      </c>
      <c r="OI36" s="971">
        <v>78.592386909884524</v>
      </c>
      <c r="OJ36" s="969">
        <v>0</v>
      </c>
      <c r="OK36" s="970">
        <v>0</v>
      </c>
      <c r="OL36" s="970">
        <v>21.980956862745103</v>
      </c>
      <c r="OM36" s="970">
        <v>11.707003249750716</v>
      </c>
      <c r="ON36" s="970">
        <v>0</v>
      </c>
      <c r="OO36" s="970">
        <v>0</v>
      </c>
      <c r="OP36" s="970">
        <v>17.492913725490201</v>
      </c>
      <c r="OQ36" s="970">
        <v>7.9325397501707684</v>
      </c>
      <c r="OR36" s="970">
        <v>0</v>
      </c>
      <c r="OS36" s="970">
        <v>0</v>
      </c>
      <c r="OT36" s="970">
        <v>79.188607843137277</v>
      </c>
      <c r="OU36" s="971">
        <v>91.595082409333756</v>
      </c>
      <c r="OV36" s="969">
        <v>0</v>
      </c>
      <c r="OW36" s="970">
        <v>0</v>
      </c>
      <c r="OX36" s="970">
        <v>17.747192156862749</v>
      </c>
      <c r="OY36" s="970">
        <v>6.785983259285171</v>
      </c>
      <c r="OZ36" s="970">
        <v>0</v>
      </c>
      <c r="PA36" s="970">
        <v>0</v>
      </c>
      <c r="PB36" s="970">
        <v>14.065384313725495</v>
      </c>
      <c r="PC36" s="970">
        <v>5.4943508983003051</v>
      </c>
      <c r="PD36" s="970">
        <v>0</v>
      </c>
      <c r="PE36" s="970">
        <v>0</v>
      </c>
      <c r="PF36" s="970">
        <v>64.67801960784314</v>
      </c>
      <c r="PG36" s="971">
        <v>63.974151589143425</v>
      </c>
      <c r="PH36" s="969">
        <v>0</v>
      </c>
      <c r="PI36" s="970">
        <v>0</v>
      </c>
      <c r="PJ36" s="970">
        <v>24.944592156862754</v>
      </c>
      <c r="PK36" s="970">
        <v>15.075160029934253</v>
      </c>
      <c r="PL36" s="970">
        <v>0</v>
      </c>
      <c r="PM36" s="970">
        <v>0</v>
      </c>
      <c r="PN36" s="970">
        <v>19.892184313725494</v>
      </c>
      <c r="PO36" s="970">
        <v>10.029076345148288</v>
      </c>
      <c r="PP36" s="970">
        <v>0</v>
      </c>
      <c r="PQ36" s="970">
        <v>0</v>
      </c>
      <c r="PR36" s="970">
        <v>89.346019607843147</v>
      </c>
      <c r="PS36" s="971">
        <v>103.54863308735482</v>
      </c>
      <c r="PT36" s="969">
        <v>0</v>
      </c>
      <c r="PU36" s="970">
        <v>0</v>
      </c>
      <c r="PV36" s="970">
        <v>19.017321568627452</v>
      </c>
      <c r="PW36" s="970">
        <v>8.3727556625584256</v>
      </c>
      <c r="PX36" s="970">
        <v>0</v>
      </c>
      <c r="PY36" s="970">
        <v>0</v>
      </c>
      <c r="PZ36" s="970">
        <v>15.093643137254904</v>
      </c>
      <c r="QA36" s="970">
        <v>7.113155595094975</v>
      </c>
      <c r="QB36" s="970">
        <v>0</v>
      </c>
      <c r="QC36" s="970">
        <v>0</v>
      </c>
      <c r="QD36" s="970">
        <v>69.031196078431392</v>
      </c>
      <c r="QE36" s="971">
        <v>68.207750892197197</v>
      </c>
      <c r="QF36" s="969">
        <v>0</v>
      </c>
      <c r="QG36" s="970">
        <v>0</v>
      </c>
      <c r="QH36" s="970">
        <v>18.664507843137258</v>
      </c>
      <c r="QI36" s="970">
        <v>11.521172593208766</v>
      </c>
      <c r="QJ36" s="970">
        <v>0</v>
      </c>
      <c r="QK36" s="970">
        <v>0</v>
      </c>
      <c r="QL36" s="970">
        <v>14.808015686274514</v>
      </c>
      <c r="QM36" s="970">
        <v>9.5215535159432356</v>
      </c>
      <c r="QN36" s="970">
        <v>0</v>
      </c>
      <c r="QO36" s="970">
        <v>0</v>
      </c>
      <c r="QP36" s="970">
        <v>67.821980392156888</v>
      </c>
      <c r="QQ36" s="971">
        <v>76.764817474758047</v>
      </c>
      <c r="QR36" s="969">
        <v>0</v>
      </c>
      <c r="QS36" s="970">
        <v>0</v>
      </c>
      <c r="QT36" s="970">
        <v>21.34589215686275</v>
      </c>
      <c r="QU36" s="970">
        <v>10.696711527616527</v>
      </c>
      <c r="QV36" s="970">
        <v>0</v>
      </c>
      <c r="QW36" s="970">
        <v>0</v>
      </c>
      <c r="QX36" s="970">
        <v>16.978784313725495</v>
      </c>
      <c r="QY36" s="970">
        <v>6.8349677203420987</v>
      </c>
      <c r="QZ36" s="970">
        <v>0</v>
      </c>
      <c r="RA36" s="970">
        <v>0</v>
      </c>
      <c r="RB36" s="970">
        <v>77.012019607843143</v>
      </c>
      <c r="RC36" s="971">
        <v>104.01055965946549</v>
      </c>
      <c r="RD36" s="969">
        <v>0</v>
      </c>
      <c r="RE36" s="970">
        <v>0</v>
      </c>
      <c r="RF36" s="970">
        <v>18.946758823529414</v>
      </c>
      <c r="RG36" s="970">
        <v>9.9236059934570289</v>
      </c>
      <c r="RH36" s="970">
        <v>0</v>
      </c>
      <c r="RI36" s="970">
        <v>0</v>
      </c>
      <c r="RJ36" s="970">
        <v>15.036517647058826</v>
      </c>
      <c r="RK36" s="970">
        <v>8.3240008569955215</v>
      </c>
      <c r="RL36" s="970">
        <v>0</v>
      </c>
      <c r="RM36" s="970">
        <v>0</v>
      </c>
      <c r="RN36" s="970">
        <v>68.789352941176489</v>
      </c>
      <c r="RO36" s="971">
        <v>72.99580439228869</v>
      </c>
      <c r="RP36" s="969">
        <v>0</v>
      </c>
      <c r="RQ36" s="970">
        <v>0</v>
      </c>
      <c r="RR36" s="970">
        <v>18.805633333333336</v>
      </c>
      <c r="RS36" s="970">
        <v>9.6329444067037233</v>
      </c>
      <c r="RT36" s="970">
        <v>0</v>
      </c>
      <c r="RU36" s="970">
        <v>0</v>
      </c>
      <c r="RV36" s="970">
        <v>14.922266666666669</v>
      </c>
      <c r="RW36" s="970">
        <v>7.9670791010373421</v>
      </c>
      <c r="RX36" s="970">
        <v>0</v>
      </c>
      <c r="RY36" s="970">
        <v>0</v>
      </c>
      <c r="RZ36" s="970">
        <v>68.305666666666681</v>
      </c>
      <c r="SA36" s="971">
        <v>71.863972588285904</v>
      </c>
    </row>
    <row r="37" spans="1:495">
      <c r="A37" s="967">
        <f>[3]Eingabedaten!A39</f>
        <v>11.01</v>
      </c>
      <c r="B37" s="930" t="str">
        <f>[3]Eingabedaten!C39</f>
        <v>Turnhalle</v>
      </c>
      <c r="C37" s="988">
        <f t="shared" si="1"/>
        <v>31</v>
      </c>
      <c r="D37" s="954" cm="1">
        <f t="array" ref="D37">INDEX($P$7:$SA$51,$C37,$G$3-1+D$2)</f>
        <v>0</v>
      </c>
      <c r="E37" s="955" cm="1">
        <f t="array" ref="E37">INDEX($P$7:$SA$51,$C37,$G$3-1+E$2)</f>
        <v>0</v>
      </c>
      <c r="F37" s="955" cm="1">
        <f t="array" ref="F37">INDEX($P$7:$SA$51,$C37,$G$3-1+F$2)</f>
        <v>18.132866666666665</v>
      </c>
      <c r="G37" s="955" cm="1">
        <f t="array" ref="G37">INDEX($P$7:$SA$51,$C37,$G$3-1+G$2)</f>
        <v>29.411197237886949</v>
      </c>
      <c r="H37" s="955" cm="1">
        <f t="array" ref="H37">INDEX($P$7:$SA$51,$C37,$G$3-1+H$2)</f>
        <v>0</v>
      </c>
      <c r="I37" s="955" cm="1">
        <f t="array" ref="I37">INDEX($P$7:$SA$51,$C37,$G$3-1+I$2)</f>
        <v>0</v>
      </c>
      <c r="J37" s="955" cm="1">
        <f t="array" ref="J37">INDEX($P$7:$SA$51,$C37,$G$3-1+J$2)</f>
        <v>14.554933333333334</v>
      </c>
      <c r="K37" s="955" cm="1">
        <f t="array" ref="K37">INDEX($P$7:$SA$51,$C37,$G$3-1+K$2)</f>
        <v>24.031142924194953</v>
      </c>
      <c r="L37" s="955" cm="1">
        <f t="array" ref="L37">INDEX($P$7:$SA$51,$C37,$G$3-1+L$2)</f>
        <v>0</v>
      </c>
      <c r="M37" s="955" cm="1">
        <f t="array" ref="M37">INDEX($P$7:$SA$51,$C37,$G$3-1+M$2)</f>
        <v>0</v>
      </c>
      <c r="N37" s="955" cm="1">
        <f t="array" ref="N37">INDEX($P$7:$SA$51,$C37,$G$3-1+N$2)</f>
        <v>64.884000000000015</v>
      </c>
      <c r="O37" s="956" cm="1">
        <f t="array" ref="O37">INDEX($P$7:$SA$51,$C37,$G$3-1+O$2)</f>
        <v>79.66891557091931</v>
      </c>
      <c r="P37" s="969">
        <v>0</v>
      </c>
      <c r="Q37" s="970">
        <v>0</v>
      </c>
      <c r="R37" s="970">
        <v>19.968760784313723</v>
      </c>
      <c r="S37" s="970">
        <v>35.654076438986742</v>
      </c>
      <c r="T37" s="970">
        <v>0</v>
      </c>
      <c r="U37" s="970">
        <v>0</v>
      </c>
      <c r="V37" s="970">
        <v>16.056556862745101</v>
      </c>
      <c r="W37" s="970">
        <v>26.677288123734982</v>
      </c>
      <c r="X37" s="970">
        <v>0</v>
      </c>
      <c r="Y37" s="970">
        <v>0</v>
      </c>
      <c r="Z37" s="970">
        <v>71.087647058823535</v>
      </c>
      <c r="AA37" s="971">
        <v>102.11630730995886</v>
      </c>
      <c r="AB37" s="969">
        <v>0</v>
      </c>
      <c r="AC37" s="970">
        <v>0</v>
      </c>
      <c r="AD37" s="970">
        <v>16.772945098039216</v>
      </c>
      <c r="AE37" s="970">
        <v>26.839708660248711</v>
      </c>
      <c r="AF37" s="970">
        <v>0</v>
      </c>
      <c r="AG37" s="970">
        <v>0</v>
      </c>
      <c r="AH37" s="970">
        <v>13.442619607843138</v>
      </c>
      <c r="AI37" s="970">
        <v>22.378808777574822</v>
      </c>
      <c r="AJ37" s="970">
        <v>0</v>
      </c>
      <c r="AK37" s="970">
        <v>0</v>
      </c>
      <c r="AL37" s="970">
        <v>60.288705882352943</v>
      </c>
      <c r="AM37" s="971">
        <v>76.039792365086853</v>
      </c>
      <c r="AN37" s="969">
        <v>0</v>
      </c>
      <c r="AO37" s="970">
        <v>0</v>
      </c>
      <c r="AP37" s="970">
        <v>16.84094117647059</v>
      </c>
      <c r="AQ37" s="970">
        <v>31.235665480817008</v>
      </c>
      <c r="AR37" s="970">
        <v>0</v>
      </c>
      <c r="AS37" s="970">
        <v>0</v>
      </c>
      <c r="AT37" s="970">
        <v>13.498235294117649</v>
      </c>
      <c r="AU37" s="970">
        <v>26.658325903679241</v>
      </c>
      <c r="AV37" s="970">
        <v>0</v>
      </c>
      <c r="AW37" s="970">
        <v>0</v>
      </c>
      <c r="AX37" s="970">
        <v>60.518470588235303</v>
      </c>
      <c r="AY37" s="971">
        <v>83.00606033348646</v>
      </c>
      <c r="AZ37" s="969">
        <v>0</v>
      </c>
      <c r="BA37" s="970">
        <v>0</v>
      </c>
      <c r="BB37" s="970">
        <v>17.45290588235294</v>
      </c>
      <c r="BC37" s="970">
        <v>23.200230934235606</v>
      </c>
      <c r="BD37" s="970">
        <v>0</v>
      </c>
      <c r="BE37" s="970">
        <v>0</v>
      </c>
      <c r="BF37" s="970">
        <v>13.998776470588236</v>
      </c>
      <c r="BG37" s="970">
        <v>19.376994509905533</v>
      </c>
      <c r="BH37" s="970">
        <v>0</v>
      </c>
      <c r="BI37" s="970">
        <v>0</v>
      </c>
      <c r="BJ37" s="970">
        <v>62.586352941176472</v>
      </c>
      <c r="BK37" s="971">
        <v>68.808721350123719</v>
      </c>
      <c r="BL37" s="969">
        <v>0</v>
      </c>
      <c r="BM37" s="970">
        <v>0</v>
      </c>
      <c r="BN37" s="970">
        <v>18.064870588235294</v>
      </c>
      <c r="BO37" s="970">
        <v>30.247061651239921</v>
      </c>
      <c r="BP37" s="970">
        <v>0</v>
      </c>
      <c r="BQ37" s="970">
        <v>0</v>
      </c>
      <c r="BR37" s="970">
        <v>14.499317647058824</v>
      </c>
      <c r="BS37" s="970">
        <v>24.489170545234551</v>
      </c>
      <c r="BT37" s="970">
        <v>0</v>
      </c>
      <c r="BU37" s="970">
        <v>0</v>
      </c>
      <c r="BV37" s="970">
        <v>64.654235294117655</v>
      </c>
      <c r="BW37" s="971">
        <v>81.698163438498383</v>
      </c>
      <c r="BX37" s="969">
        <v>0</v>
      </c>
      <c r="BY37" s="970">
        <v>0</v>
      </c>
      <c r="BZ37" s="970">
        <v>17.860882352941175</v>
      </c>
      <c r="CA37" s="970">
        <v>31.096823722424549</v>
      </c>
      <c r="CB37" s="970">
        <v>0</v>
      </c>
      <c r="CC37" s="970">
        <v>0</v>
      </c>
      <c r="CD37" s="970">
        <v>14.332470588235298</v>
      </c>
      <c r="CE37" s="970">
        <v>26.052309143221283</v>
      </c>
      <c r="CF37" s="970">
        <v>0</v>
      </c>
      <c r="CG37" s="970">
        <v>0</v>
      </c>
      <c r="CH37" s="970">
        <v>63.964941176470603</v>
      </c>
      <c r="CI37" s="971">
        <v>83.09654802214699</v>
      </c>
      <c r="CJ37" s="969">
        <v>0</v>
      </c>
      <c r="CK37" s="970">
        <v>0</v>
      </c>
      <c r="CL37" s="970">
        <v>17.928878431372549</v>
      </c>
      <c r="CM37" s="970">
        <v>26.374627559473321</v>
      </c>
      <c r="CN37" s="970">
        <v>0</v>
      </c>
      <c r="CO37" s="970">
        <v>0</v>
      </c>
      <c r="CP37" s="970">
        <v>14.388086274509805</v>
      </c>
      <c r="CQ37" s="970">
        <v>21.215086397356796</v>
      </c>
      <c r="CR37" s="970">
        <v>0</v>
      </c>
      <c r="CS37" s="970">
        <v>0</v>
      </c>
      <c r="CT37" s="970">
        <v>64.194705882352949</v>
      </c>
      <c r="CU37" s="971">
        <v>75.015922778898343</v>
      </c>
      <c r="CV37" s="969">
        <v>0</v>
      </c>
      <c r="CW37" s="970">
        <v>0</v>
      </c>
      <c r="CX37" s="970">
        <v>21.940647058823526</v>
      </c>
      <c r="CY37" s="970">
        <v>42.296776741789003</v>
      </c>
      <c r="CZ37" s="970">
        <v>0</v>
      </c>
      <c r="DA37" s="970">
        <v>0</v>
      </c>
      <c r="DB37" s="970">
        <v>17.669411764705885</v>
      </c>
      <c r="DC37" s="970">
        <v>30.175449108878979</v>
      </c>
      <c r="DD37" s="970">
        <v>0</v>
      </c>
      <c r="DE37" s="970">
        <v>0</v>
      </c>
      <c r="DF37" s="970">
        <v>77.750823529411775</v>
      </c>
      <c r="DG37" s="971">
        <v>116.27346947526286</v>
      </c>
      <c r="DH37" s="969">
        <v>0</v>
      </c>
      <c r="DI37" s="970">
        <v>0</v>
      </c>
      <c r="DJ37" s="970">
        <v>19.628780392156862</v>
      </c>
      <c r="DK37" s="970">
        <v>32.41537917102054</v>
      </c>
      <c r="DL37" s="970">
        <v>0</v>
      </c>
      <c r="DM37" s="970">
        <v>0</v>
      </c>
      <c r="DN37" s="970">
        <v>15.778478431372552</v>
      </c>
      <c r="DO37" s="970">
        <v>24.134772708200149</v>
      </c>
      <c r="DP37" s="970">
        <v>0</v>
      </c>
      <c r="DQ37" s="970">
        <v>0</v>
      </c>
      <c r="DR37" s="970">
        <v>69.938823529411764</v>
      </c>
      <c r="DS37" s="971">
        <v>92.739837137505702</v>
      </c>
      <c r="DT37" s="969">
        <v>0</v>
      </c>
      <c r="DU37" s="970">
        <v>0</v>
      </c>
      <c r="DV37" s="970">
        <v>20.648721568627451</v>
      </c>
      <c r="DW37" s="970">
        <v>43.114325047559284</v>
      </c>
      <c r="DX37" s="970">
        <v>0</v>
      </c>
      <c r="DY37" s="970">
        <v>0</v>
      </c>
      <c r="DZ37" s="970">
        <v>16.612713725490199</v>
      </c>
      <c r="EA37" s="970">
        <v>34.197167737244328</v>
      </c>
      <c r="EB37" s="970">
        <v>0</v>
      </c>
      <c r="EC37" s="970">
        <v>0</v>
      </c>
      <c r="ED37" s="970">
        <v>73.385294117647064</v>
      </c>
      <c r="EE37" s="971">
        <v>109.22428873279971</v>
      </c>
      <c r="EF37" s="969">
        <v>0</v>
      </c>
      <c r="EG37" s="970">
        <v>0</v>
      </c>
      <c r="EH37" s="970">
        <v>15.888996078431372</v>
      </c>
      <c r="EI37" s="970">
        <v>21.402411425795755</v>
      </c>
      <c r="EJ37" s="970">
        <v>0</v>
      </c>
      <c r="EK37" s="970">
        <v>0</v>
      </c>
      <c r="EL37" s="970">
        <v>12.719615686274512</v>
      </c>
      <c r="EM37" s="970">
        <v>17.875691727258225</v>
      </c>
      <c r="EN37" s="970">
        <v>0</v>
      </c>
      <c r="EO37" s="970">
        <v>0</v>
      </c>
      <c r="EP37" s="970">
        <v>57.301764705882356</v>
      </c>
      <c r="EQ37" s="971">
        <v>65.094943484787009</v>
      </c>
      <c r="ER37" s="969">
        <v>0</v>
      </c>
      <c r="ES37" s="970">
        <v>0</v>
      </c>
      <c r="ET37" s="970">
        <v>18.608839215686274</v>
      </c>
      <c r="EU37" s="970">
        <v>40.215085319120007</v>
      </c>
      <c r="EV37" s="970">
        <v>0</v>
      </c>
      <c r="EW37" s="970">
        <v>0</v>
      </c>
      <c r="EX37" s="970">
        <v>14.944243137254903</v>
      </c>
      <c r="EY37" s="970">
        <v>33.724684768921932</v>
      </c>
      <c r="EZ37" s="970">
        <v>0</v>
      </c>
      <c r="FA37" s="970">
        <v>0</v>
      </c>
      <c r="FB37" s="970">
        <v>66.492352941176478</v>
      </c>
      <c r="FC37" s="971">
        <v>98.550363509998974</v>
      </c>
      <c r="FD37" s="969">
        <v>0</v>
      </c>
      <c r="FE37" s="970">
        <v>0</v>
      </c>
      <c r="FF37" s="970">
        <v>23.504556862745094</v>
      </c>
      <c r="FG37" s="970">
        <v>52.661942789186561</v>
      </c>
      <c r="FH37" s="970">
        <v>0</v>
      </c>
      <c r="FI37" s="970">
        <v>0</v>
      </c>
      <c r="FJ37" s="970">
        <v>18.948572549019609</v>
      </c>
      <c r="FK37" s="970">
        <v>36.193157424755704</v>
      </c>
      <c r="FL37" s="970">
        <v>0</v>
      </c>
      <c r="FM37" s="970">
        <v>0</v>
      </c>
      <c r="FN37" s="970">
        <v>83.035411764705884</v>
      </c>
      <c r="FO37" s="971">
        <v>142.36158488521539</v>
      </c>
      <c r="FP37" s="969">
        <v>0</v>
      </c>
      <c r="FQ37" s="970">
        <v>0</v>
      </c>
      <c r="FR37" s="970">
        <v>17.792886274509804</v>
      </c>
      <c r="FS37" s="970">
        <v>32.319679897552334</v>
      </c>
      <c r="FT37" s="970">
        <v>0</v>
      </c>
      <c r="FU37" s="970">
        <v>0</v>
      </c>
      <c r="FV37" s="970">
        <v>14.276854901960785</v>
      </c>
      <c r="FW37" s="970">
        <v>26.752859222499065</v>
      </c>
      <c r="FX37" s="970">
        <v>0</v>
      </c>
      <c r="FY37" s="970">
        <v>0</v>
      </c>
      <c r="FZ37" s="970">
        <v>63.735176470588243</v>
      </c>
      <c r="GA37" s="971">
        <v>84.451933962405377</v>
      </c>
      <c r="GB37" s="969">
        <v>0</v>
      </c>
      <c r="GC37" s="970">
        <v>0</v>
      </c>
      <c r="GD37" s="970">
        <v>17.792886274509804</v>
      </c>
      <c r="GE37" s="970">
        <v>34.04731601047132</v>
      </c>
      <c r="GF37" s="970">
        <v>0</v>
      </c>
      <c r="GG37" s="970">
        <v>0</v>
      </c>
      <c r="GH37" s="970">
        <v>14.276854901960785</v>
      </c>
      <c r="GI37" s="970">
        <v>27.416086084012392</v>
      </c>
      <c r="GJ37" s="970">
        <v>0</v>
      </c>
      <c r="GK37" s="970">
        <v>0</v>
      </c>
      <c r="GL37" s="970">
        <v>63.735176470588243</v>
      </c>
      <c r="GM37" s="971">
        <v>87.829202370811117</v>
      </c>
      <c r="GN37" s="969">
        <v>0</v>
      </c>
      <c r="GO37" s="970">
        <v>0</v>
      </c>
      <c r="GP37" s="970">
        <v>19.492788235294118</v>
      </c>
      <c r="GQ37" s="970">
        <v>35.29436602639985</v>
      </c>
      <c r="GR37" s="970">
        <v>0</v>
      </c>
      <c r="GS37" s="970">
        <v>0</v>
      </c>
      <c r="GT37" s="970">
        <v>15.667247058823531</v>
      </c>
      <c r="GU37" s="970">
        <v>26.817681199251215</v>
      </c>
      <c r="GV37" s="970">
        <v>0</v>
      </c>
      <c r="GW37" s="970">
        <v>0</v>
      </c>
      <c r="GX37" s="970">
        <v>69.479294117647072</v>
      </c>
      <c r="GY37" s="971">
        <v>96.265878200181362</v>
      </c>
      <c r="GZ37" s="969">
        <v>0</v>
      </c>
      <c r="HA37" s="970">
        <v>0</v>
      </c>
      <c r="HB37" s="970">
        <v>19.560784313725492</v>
      </c>
      <c r="HC37" s="970">
        <v>41.87450821017071</v>
      </c>
      <c r="HD37" s="970">
        <v>0</v>
      </c>
      <c r="HE37" s="970">
        <v>0</v>
      </c>
      <c r="HF37" s="970">
        <v>15.722862745098041</v>
      </c>
      <c r="HG37" s="970">
        <v>32.793708283694073</v>
      </c>
      <c r="HH37" s="970">
        <v>0</v>
      </c>
      <c r="HI37" s="970">
        <v>0</v>
      </c>
      <c r="HJ37" s="970">
        <v>69.709058823529432</v>
      </c>
      <c r="HK37" s="971">
        <v>108.16570849205422</v>
      </c>
      <c r="HL37" s="969">
        <v>0</v>
      </c>
      <c r="HM37" s="970">
        <v>0</v>
      </c>
      <c r="HN37" s="970">
        <v>13.917109803921569</v>
      </c>
      <c r="HO37" s="970">
        <v>10.969469480361431</v>
      </c>
      <c r="HP37" s="970">
        <v>0</v>
      </c>
      <c r="HQ37" s="970">
        <v>0</v>
      </c>
      <c r="HR37" s="970">
        <v>11.106760784313728</v>
      </c>
      <c r="HS37" s="970">
        <v>9.7900227278863934</v>
      </c>
      <c r="HT37" s="970">
        <v>0</v>
      </c>
      <c r="HU37" s="970">
        <v>0</v>
      </c>
      <c r="HV37" s="970">
        <v>50.638588235294122</v>
      </c>
      <c r="HW37" s="971">
        <v>46.091838547722688</v>
      </c>
      <c r="HX37" s="969">
        <v>0</v>
      </c>
      <c r="HY37" s="970">
        <v>0</v>
      </c>
      <c r="HZ37" s="970">
        <v>13.577129411764705</v>
      </c>
      <c r="IA37" s="970">
        <v>9.5598944744726371</v>
      </c>
      <c r="IB37" s="970">
        <v>0</v>
      </c>
      <c r="IC37" s="970">
        <v>0</v>
      </c>
      <c r="ID37" s="970">
        <v>10.828682352941179</v>
      </c>
      <c r="IE37" s="970">
        <v>8.5236378767734404</v>
      </c>
      <c r="IF37" s="970">
        <v>0</v>
      </c>
      <c r="IG37" s="970">
        <v>0</v>
      </c>
      <c r="IH37" s="970">
        <v>49.489764705882358</v>
      </c>
      <c r="II37" s="971">
        <v>44.259355578561198</v>
      </c>
      <c r="IJ37" s="969">
        <v>0</v>
      </c>
      <c r="IK37" s="970">
        <v>0</v>
      </c>
      <c r="IL37" s="970">
        <v>17.384909803921566</v>
      </c>
      <c r="IM37" s="970">
        <v>30.277268610979519</v>
      </c>
      <c r="IN37" s="970">
        <v>0</v>
      </c>
      <c r="IO37" s="970">
        <v>0</v>
      </c>
      <c r="IP37" s="970">
        <v>13.943160784313728</v>
      </c>
      <c r="IQ37" s="970">
        <v>25.274323570682693</v>
      </c>
      <c r="IR37" s="970">
        <v>0</v>
      </c>
      <c r="IS37" s="970">
        <v>0</v>
      </c>
      <c r="IT37" s="970">
        <v>62.356588235294119</v>
      </c>
      <c r="IU37" s="971">
        <v>82.25675178494896</v>
      </c>
      <c r="IV37" s="969">
        <v>0</v>
      </c>
      <c r="IW37" s="970">
        <v>0</v>
      </c>
      <c r="IX37" s="970">
        <v>15.073043137254901</v>
      </c>
      <c r="IY37" s="970">
        <v>15.890649358766938</v>
      </c>
      <c r="IZ37" s="970">
        <v>0</v>
      </c>
      <c r="JA37" s="970">
        <v>0</v>
      </c>
      <c r="JB37" s="970">
        <v>12.052227450980393</v>
      </c>
      <c r="JC37" s="970">
        <v>13.494147151052236</v>
      </c>
      <c r="JD37" s="970">
        <v>0</v>
      </c>
      <c r="JE37" s="970">
        <v>0</v>
      </c>
      <c r="JF37" s="970">
        <v>54.544588235294128</v>
      </c>
      <c r="JG37" s="971">
        <v>55.863513604811736</v>
      </c>
      <c r="JH37" s="969">
        <v>0</v>
      </c>
      <c r="JI37" s="970">
        <v>0</v>
      </c>
      <c r="JJ37" s="970">
        <v>19.560784313725492</v>
      </c>
      <c r="JK37" s="970">
        <v>30.643680180059651</v>
      </c>
      <c r="JL37" s="970">
        <v>0</v>
      </c>
      <c r="JM37" s="970">
        <v>0</v>
      </c>
      <c r="JN37" s="970">
        <v>15.722862745098041</v>
      </c>
      <c r="JO37" s="970">
        <v>21.877309105565615</v>
      </c>
      <c r="JP37" s="970">
        <v>0</v>
      </c>
      <c r="JQ37" s="970">
        <v>0</v>
      </c>
      <c r="JR37" s="970">
        <v>69.709058823529432</v>
      </c>
      <c r="JS37" s="971">
        <v>89.244676360043727</v>
      </c>
      <c r="JT37" s="969">
        <v>0</v>
      </c>
      <c r="JU37" s="970">
        <v>0</v>
      </c>
      <c r="JV37" s="970">
        <v>16.704949019607842</v>
      </c>
      <c r="JW37" s="970">
        <v>26.100803506378391</v>
      </c>
      <c r="JX37" s="970">
        <v>0</v>
      </c>
      <c r="JY37" s="970">
        <v>0</v>
      </c>
      <c r="JZ37" s="970">
        <v>13.387003921568628</v>
      </c>
      <c r="KA37" s="970">
        <v>22.039318638682385</v>
      </c>
      <c r="KB37" s="970">
        <v>0</v>
      </c>
      <c r="KC37" s="970">
        <v>0</v>
      </c>
      <c r="KD37" s="970">
        <v>60.05894117647059</v>
      </c>
      <c r="KE37" s="971">
        <v>74.569614087993656</v>
      </c>
      <c r="KF37" s="969">
        <v>0</v>
      </c>
      <c r="KG37" s="970">
        <v>0</v>
      </c>
      <c r="KH37" s="970">
        <v>17.588898039215685</v>
      </c>
      <c r="KI37" s="970">
        <v>29.202720386736626</v>
      </c>
      <c r="KJ37" s="970">
        <v>0</v>
      </c>
      <c r="KK37" s="970">
        <v>0</v>
      </c>
      <c r="KL37" s="970">
        <v>14.110007843137256</v>
      </c>
      <c r="KM37" s="970">
        <v>23.91169624058076</v>
      </c>
      <c r="KN37" s="970">
        <v>0</v>
      </c>
      <c r="KO37" s="970">
        <v>0</v>
      </c>
      <c r="KP37" s="970">
        <v>63.045882352941177</v>
      </c>
      <c r="KQ37" s="971">
        <v>79.44959328278533</v>
      </c>
      <c r="KR37" s="969">
        <v>0</v>
      </c>
      <c r="KS37" s="970">
        <v>0</v>
      </c>
      <c r="KT37" s="970">
        <v>17.928878431372549</v>
      </c>
      <c r="KU37" s="970">
        <v>39.250480967378074</v>
      </c>
      <c r="KV37" s="970">
        <v>0</v>
      </c>
      <c r="KW37" s="970">
        <v>0</v>
      </c>
      <c r="KX37" s="970">
        <v>14.388086274509805</v>
      </c>
      <c r="KY37" s="970">
        <v>31.745023248307128</v>
      </c>
      <c r="KZ37" s="970">
        <v>0</v>
      </c>
      <c r="LA37" s="970">
        <v>0</v>
      </c>
      <c r="LB37" s="970">
        <v>64.194705882352949</v>
      </c>
      <c r="LC37" s="971">
        <v>98.643786404436341</v>
      </c>
      <c r="LD37" s="969">
        <v>0</v>
      </c>
      <c r="LE37" s="970">
        <v>0</v>
      </c>
      <c r="LF37" s="970">
        <v>15.956992156862745</v>
      </c>
      <c r="LG37" s="970">
        <v>19.650473101623447</v>
      </c>
      <c r="LH37" s="970">
        <v>0</v>
      </c>
      <c r="LI37" s="970">
        <v>0</v>
      </c>
      <c r="LJ37" s="970">
        <v>12.775231372549023</v>
      </c>
      <c r="LK37" s="970">
        <v>16.529738218476247</v>
      </c>
      <c r="LL37" s="970">
        <v>0</v>
      </c>
      <c r="LM37" s="970">
        <v>0</v>
      </c>
      <c r="LN37" s="970">
        <v>57.531529411764708</v>
      </c>
      <c r="LO37" s="971">
        <v>61.726934476592291</v>
      </c>
      <c r="LP37" s="969">
        <v>0</v>
      </c>
      <c r="LQ37" s="970">
        <v>0</v>
      </c>
      <c r="LR37" s="970">
        <v>18.336854901960784</v>
      </c>
      <c r="LS37" s="970">
        <v>37.571146512071564</v>
      </c>
      <c r="LT37" s="970">
        <v>0</v>
      </c>
      <c r="LU37" s="970">
        <v>0</v>
      </c>
      <c r="LV37" s="970">
        <v>14.721780392156866</v>
      </c>
      <c r="LW37" s="970">
        <v>29.269057946553804</v>
      </c>
      <c r="LX37" s="970">
        <v>0</v>
      </c>
      <c r="LY37" s="970">
        <v>0</v>
      </c>
      <c r="LZ37" s="970">
        <v>65.573294117647066</v>
      </c>
      <c r="MA37" s="971">
        <v>100.05566878007284</v>
      </c>
      <c r="MB37" s="969">
        <v>0</v>
      </c>
      <c r="MC37" s="970">
        <v>0</v>
      </c>
      <c r="MD37" s="970">
        <v>18.540843137254903</v>
      </c>
      <c r="ME37" s="970">
        <v>32.205573087310896</v>
      </c>
      <c r="MF37" s="970">
        <v>0</v>
      </c>
      <c r="MG37" s="970">
        <v>0</v>
      </c>
      <c r="MH37" s="970">
        <v>14.888627450980394</v>
      </c>
      <c r="MI37" s="970">
        <v>26.2798518291908</v>
      </c>
      <c r="MJ37" s="970">
        <v>0</v>
      </c>
      <c r="MK37" s="970">
        <v>0</v>
      </c>
      <c r="ML37" s="970">
        <v>66.262588235294132</v>
      </c>
      <c r="MM37" s="971">
        <v>83.918485557940897</v>
      </c>
      <c r="MN37" s="969">
        <v>0</v>
      </c>
      <c r="MO37" s="970">
        <v>0</v>
      </c>
      <c r="MP37" s="970">
        <v>25.000470588235292</v>
      </c>
      <c r="MQ37" s="970">
        <v>50.655584356343162</v>
      </c>
      <c r="MR37" s="970">
        <v>0</v>
      </c>
      <c r="MS37" s="970">
        <v>0</v>
      </c>
      <c r="MT37" s="970">
        <v>20.172117647058826</v>
      </c>
      <c r="MU37" s="970">
        <v>35.467194673382117</v>
      </c>
      <c r="MV37" s="970">
        <v>0</v>
      </c>
      <c r="MW37" s="970">
        <v>0</v>
      </c>
      <c r="MX37" s="970">
        <v>88.090235294117647</v>
      </c>
      <c r="MY37" s="971">
        <v>131.98221293763618</v>
      </c>
      <c r="MZ37" s="969">
        <v>0</v>
      </c>
      <c r="NA37" s="970">
        <v>0</v>
      </c>
      <c r="NB37" s="970">
        <v>20.444733333333332</v>
      </c>
      <c r="NC37" s="970">
        <v>47.324335179596268</v>
      </c>
      <c r="ND37" s="970">
        <v>0</v>
      </c>
      <c r="NE37" s="970">
        <v>0</v>
      </c>
      <c r="NF37" s="970">
        <v>16.445866666666667</v>
      </c>
      <c r="NG37" s="970">
        <v>35.257100228698796</v>
      </c>
      <c r="NH37" s="970">
        <v>0</v>
      </c>
      <c r="NI37" s="970">
        <v>0</v>
      </c>
      <c r="NJ37" s="970">
        <v>72.695999999999998</v>
      </c>
      <c r="NK37" s="971">
        <v>126.06911118352052</v>
      </c>
      <c r="NL37" s="969">
        <v>0</v>
      </c>
      <c r="NM37" s="970">
        <v>0</v>
      </c>
      <c r="NN37" s="970">
        <v>19.356796078431373</v>
      </c>
      <c r="NO37" s="970">
        <v>33.110475729078104</v>
      </c>
      <c r="NP37" s="970">
        <v>0</v>
      </c>
      <c r="NQ37" s="970">
        <v>0</v>
      </c>
      <c r="NR37" s="970">
        <v>15.556015686274513</v>
      </c>
      <c r="NS37" s="970">
        <v>26.27816053674173</v>
      </c>
      <c r="NT37" s="970">
        <v>0</v>
      </c>
      <c r="NU37" s="970">
        <v>0</v>
      </c>
      <c r="NV37" s="970">
        <v>69.019764705882352</v>
      </c>
      <c r="NW37" s="971">
        <v>87.23732528814287</v>
      </c>
      <c r="NX37" s="969">
        <v>0</v>
      </c>
      <c r="NY37" s="970">
        <v>0</v>
      </c>
      <c r="NZ37" s="970">
        <v>18.132866666666665</v>
      </c>
      <c r="OA37" s="970">
        <v>33.081488906420709</v>
      </c>
      <c r="OB37" s="970">
        <v>0</v>
      </c>
      <c r="OC37" s="970">
        <v>0</v>
      </c>
      <c r="OD37" s="970">
        <v>14.554933333333334</v>
      </c>
      <c r="OE37" s="970">
        <v>27.576973914126391</v>
      </c>
      <c r="OF37" s="970">
        <v>0</v>
      </c>
      <c r="OG37" s="970">
        <v>0</v>
      </c>
      <c r="OH37" s="970">
        <v>64.884000000000015</v>
      </c>
      <c r="OI37" s="971">
        <v>86.477486890793386</v>
      </c>
      <c r="OJ37" s="969">
        <v>0</v>
      </c>
      <c r="OK37" s="970">
        <v>0</v>
      </c>
      <c r="OL37" s="970">
        <v>21.192690196078431</v>
      </c>
      <c r="OM37" s="970">
        <v>39.150171867152373</v>
      </c>
      <c r="ON37" s="970">
        <v>0</v>
      </c>
      <c r="OO37" s="970">
        <v>0</v>
      </c>
      <c r="OP37" s="970">
        <v>17.057639215686276</v>
      </c>
      <c r="OQ37" s="970">
        <v>28.819583497194948</v>
      </c>
      <c r="OR37" s="970">
        <v>0</v>
      </c>
      <c r="OS37" s="970">
        <v>0</v>
      </c>
      <c r="OT37" s="970">
        <v>75.223411764705901</v>
      </c>
      <c r="OU37" s="971">
        <v>103.23932950740577</v>
      </c>
      <c r="OV37" s="969">
        <v>0</v>
      </c>
      <c r="OW37" s="970">
        <v>0</v>
      </c>
      <c r="OX37" s="970">
        <v>17.112925490196076</v>
      </c>
      <c r="OY37" s="970">
        <v>24.440678665687759</v>
      </c>
      <c r="OZ37" s="970">
        <v>0</v>
      </c>
      <c r="PA37" s="970">
        <v>0</v>
      </c>
      <c r="PB37" s="970">
        <v>13.720698039215687</v>
      </c>
      <c r="PC37" s="970">
        <v>19.663823247976289</v>
      </c>
      <c r="PD37" s="970">
        <v>0</v>
      </c>
      <c r="PE37" s="970">
        <v>0</v>
      </c>
      <c r="PF37" s="970">
        <v>61.437529411764714</v>
      </c>
      <c r="PG37" s="971">
        <v>70.859431781206681</v>
      </c>
      <c r="PH37" s="969">
        <v>0</v>
      </c>
      <c r="PI37" s="970">
        <v>0</v>
      </c>
      <c r="PJ37" s="970">
        <v>24.048525490196084</v>
      </c>
      <c r="PK37" s="970">
        <v>46.18909999217567</v>
      </c>
      <c r="PL37" s="970">
        <v>0</v>
      </c>
      <c r="PM37" s="970">
        <v>0</v>
      </c>
      <c r="PN37" s="970">
        <v>19.393498039215689</v>
      </c>
      <c r="PO37" s="970">
        <v>33.834196293074818</v>
      </c>
      <c r="PP37" s="970">
        <v>0</v>
      </c>
      <c r="PQ37" s="970">
        <v>0</v>
      </c>
      <c r="PR37" s="970">
        <v>84.873529411764736</v>
      </c>
      <c r="PS37" s="971">
        <v>117.15011762521812</v>
      </c>
      <c r="PT37" s="969">
        <v>0</v>
      </c>
      <c r="PU37" s="970">
        <v>0</v>
      </c>
      <c r="PV37" s="970">
        <v>18.336854901960784</v>
      </c>
      <c r="PW37" s="970">
        <v>27.03800643680362</v>
      </c>
      <c r="PX37" s="970">
        <v>0</v>
      </c>
      <c r="PY37" s="970">
        <v>0</v>
      </c>
      <c r="PZ37" s="970">
        <v>14.721780392156866</v>
      </c>
      <c r="QA37" s="970">
        <v>22.297249004678726</v>
      </c>
      <c r="QB37" s="970">
        <v>0</v>
      </c>
      <c r="QC37" s="970">
        <v>0</v>
      </c>
      <c r="QD37" s="970">
        <v>65.573294117647066</v>
      </c>
      <c r="QE37" s="971">
        <v>75.630830378594979</v>
      </c>
      <c r="QF37" s="969">
        <v>0</v>
      </c>
      <c r="QG37" s="970">
        <v>0</v>
      </c>
      <c r="QH37" s="970">
        <v>17.996874509803924</v>
      </c>
      <c r="QI37" s="970">
        <v>32.530170144070908</v>
      </c>
      <c r="QJ37" s="970">
        <v>0</v>
      </c>
      <c r="QK37" s="970">
        <v>0</v>
      </c>
      <c r="QL37" s="970">
        <v>14.443701960784317</v>
      </c>
      <c r="QM37" s="970">
        <v>26.530923158446384</v>
      </c>
      <c r="QN37" s="970">
        <v>0</v>
      </c>
      <c r="QO37" s="970">
        <v>0</v>
      </c>
      <c r="QP37" s="970">
        <v>64.424470588235295</v>
      </c>
      <c r="QQ37" s="971">
        <v>84.834015828790825</v>
      </c>
      <c r="QR37" s="969">
        <v>0</v>
      </c>
      <c r="QS37" s="970">
        <v>0</v>
      </c>
      <c r="QT37" s="970">
        <v>20.580725490196077</v>
      </c>
      <c r="QU37" s="970">
        <v>42.293032395236686</v>
      </c>
      <c r="QV37" s="970">
        <v>0</v>
      </c>
      <c r="QW37" s="970">
        <v>0</v>
      </c>
      <c r="QX37" s="970">
        <v>16.557098039215688</v>
      </c>
      <c r="QY37" s="970">
        <v>30.71744357442531</v>
      </c>
      <c r="QZ37" s="970">
        <v>0</v>
      </c>
      <c r="RA37" s="970">
        <v>0</v>
      </c>
      <c r="RB37" s="970">
        <v>73.155529411764718</v>
      </c>
      <c r="RC37" s="971">
        <v>117.25514569609452</v>
      </c>
      <c r="RD37" s="969">
        <v>0</v>
      </c>
      <c r="RE37" s="970">
        <v>0</v>
      </c>
      <c r="RF37" s="970">
        <v>18.26885882352941</v>
      </c>
      <c r="RG37" s="970">
        <v>29.917856093307979</v>
      </c>
      <c r="RH37" s="970">
        <v>0</v>
      </c>
      <c r="RI37" s="970">
        <v>0</v>
      </c>
      <c r="RJ37" s="970">
        <v>14.666164705882354</v>
      </c>
      <c r="RK37" s="970">
        <v>24.471731638104117</v>
      </c>
      <c r="RL37" s="970">
        <v>0</v>
      </c>
      <c r="RM37" s="970">
        <v>0</v>
      </c>
      <c r="RN37" s="970">
        <v>65.343529411764706</v>
      </c>
      <c r="RO37" s="971">
        <v>80.8635370336291</v>
      </c>
      <c r="RP37" s="969">
        <v>0</v>
      </c>
      <c r="RQ37" s="970">
        <v>0</v>
      </c>
      <c r="RR37" s="970">
        <v>18.132866666666665</v>
      </c>
      <c r="RS37" s="970">
        <v>29.411197237886949</v>
      </c>
      <c r="RT37" s="970">
        <v>0</v>
      </c>
      <c r="RU37" s="970">
        <v>0</v>
      </c>
      <c r="RV37" s="970">
        <v>14.554933333333334</v>
      </c>
      <c r="RW37" s="970">
        <v>24.031142924194953</v>
      </c>
      <c r="RX37" s="970">
        <v>0</v>
      </c>
      <c r="RY37" s="970">
        <v>0</v>
      </c>
      <c r="RZ37" s="970">
        <v>64.884000000000015</v>
      </c>
      <c r="SA37" s="971">
        <v>79.66891557091931</v>
      </c>
    </row>
    <row r="38" spans="1:495">
      <c r="A38" s="966">
        <f>[3]Eingabedaten!A40</f>
        <v>11.02</v>
      </c>
      <c r="B38" s="169" t="str">
        <f>[3]Eingabedaten!C40</f>
        <v>Fitnessraum</v>
      </c>
      <c r="C38" s="987">
        <f t="shared" si="1"/>
        <v>32</v>
      </c>
      <c r="D38" s="954" cm="1">
        <f t="array" ref="D38">INDEX($P$7:$SA$51,$C38,$G$3-1+D$2)</f>
        <v>27.008675686274511</v>
      </c>
      <c r="E38" s="955" cm="1">
        <f t="array" ref="E38">INDEX($P$7:$SA$51,$C38,$G$3-1+E$2)</f>
        <v>3.7457334694669875</v>
      </c>
      <c r="F38" s="955" cm="1">
        <f t="array" ref="F38">INDEX($P$7:$SA$51,$C38,$G$3-1+F$2)</f>
        <v>11.236066666666666</v>
      </c>
      <c r="G38" s="955" cm="1">
        <f t="array" ref="G38">INDEX($P$7:$SA$51,$C38,$G$3-1+G$2)</f>
        <v>11.86218645716934</v>
      </c>
      <c r="H38" s="955" cm="1">
        <f t="array" ref="H38">INDEX($P$7:$SA$51,$C38,$G$3-1+H$2)</f>
        <v>21.157991372549017</v>
      </c>
      <c r="I38" s="955" cm="1">
        <f t="array" ref="I38">INDEX($P$7:$SA$51,$C38,$G$3-1+I$2)</f>
        <v>1.2699722726479281</v>
      </c>
      <c r="J38" s="955" cm="1">
        <f t="array" ref="J38">INDEX($P$7:$SA$51,$C38,$G$3-1+J$2)</f>
        <v>8.7729999999999997</v>
      </c>
      <c r="K38" s="955" cm="1">
        <f t="array" ref="K38">INDEX($P$7:$SA$51,$C38,$G$3-1+K$2)</f>
        <v>10.668333904630339</v>
      </c>
      <c r="L38" s="955" cm="1">
        <f t="array" ref="L38">INDEX($P$7:$SA$51,$C38,$G$3-1+L$2)</f>
        <v>0</v>
      </c>
      <c r="M38" s="955" cm="1">
        <f t="array" ref="M38">INDEX($P$7:$SA$51,$C38,$G$3-1+M$2)</f>
        <v>0</v>
      </c>
      <c r="N38" s="955" cm="1">
        <f t="array" ref="N38">INDEX($P$7:$SA$51,$C38,$G$3-1+N$2)</f>
        <v>33.646033333333335</v>
      </c>
      <c r="O38" s="956" cm="1">
        <f t="array" ref="O38">INDEX($P$7:$SA$51,$C38,$G$3-1+O$2)</f>
        <v>79.46091601919322</v>
      </c>
      <c r="P38" s="969">
        <v>14.770768627450979</v>
      </c>
      <c r="Q38" s="970">
        <v>0</v>
      </c>
      <c r="R38" s="970">
        <v>12.424119607843135</v>
      </c>
      <c r="S38" s="970">
        <v>13.831253425407903</v>
      </c>
      <c r="T38" s="970">
        <v>12.121827450980394</v>
      </c>
      <c r="U38" s="970">
        <v>0</v>
      </c>
      <c r="V38" s="970">
        <v>9.7019058823529427</v>
      </c>
      <c r="W38" s="970">
        <v>11.069592917733491</v>
      </c>
      <c r="X38" s="970">
        <v>0</v>
      </c>
      <c r="Y38" s="970">
        <v>0</v>
      </c>
      <c r="Z38" s="970">
        <v>36.927750980392155</v>
      </c>
      <c r="AA38" s="971">
        <v>105.40543945189357</v>
      </c>
      <c r="AB38" s="969">
        <v>28.611120784313734</v>
      </c>
      <c r="AC38" s="970">
        <v>4.0156114986086502</v>
      </c>
      <c r="AD38" s="970">
        <v>10.356027450980392</v>
      </c>
      <c r="AE38" s="970">
        <v>10.285724288573379</v>
      </c>
      <c r="AF38" s="970">
        <v>22.342093333333334</v>
      </c>
      <c r="AG38" s="970">
        <v>1.419049073337695</v>
      </c>
      <c r="AH38" s="970">
        <v>8.0849215686274505</v>
      </c>
      <c r="AI38" s="970">
        <v>9.5420149241101502</v>
      </c>
      <c r="AJ38" s="970">
        <v>0</v>
      </c>
      <c r="AK38" s="970">
        <v>0</v>
      </c>
      <c r="AL38" s="970">
        <v>31.215131372549017</v>
      </c>
      <c r="AM38" s="971">
        <v>74.789734171622612</v>
      </c>
      <c r="AN38" s="969">
        <v>25.960996078431378</v>
      </c>
      <c r="AO38" s="970">
        <v>2.495110998274082</v>
      </c>
      <c r="AP38" s="970">
        <v>10.400029411764706</v>
      </c>
      <c r="AQ38" s="970">
        <v>12.530987098350984</v>
      </c>
      <c r="AR38" s="970">
        <v>21.722498823529413</v>
      </c>
      <c r="AS38" s="970">
        <v>0.63706650032883338</v>
      </c>
      <c r="AT38" s="970">
        <v>8.1193254901960792</v>
      </c>
      <c r="AU38" s="970">
        <v>11.745255769520272</v>
      </c>
      <c r="AV38" s="970">
        <v>0</v>
      </c>
      <c r="AW38" s="970">
        <v>0</v>
      </c>
      <c r="AX38" s="970">
        <v>31.336676470588234</v>
      </c>
      <c r="AY38" s="971">
        <v>80.137603730686322</v>
      </c>
      <c r="AZ38" s="969">
        <v>30.546118039215688</v>
      </c>
      <c r="BA38" s="970">
        <v>5.6613255552900359</v>
      </c>
      <c r="BB38" s="970">
        <v>10.796047058823529</v>
      </c>
      <c r="BC38" s="970">
        <v>8.2592747663593489</v>
      </c>
      <c r="BD38" s="970">
        <v>23.874327843137255</v>
      </c>
      <c r="BE38" s="970">
        <v>2.5031669417363123</v>
      </c>
      <c r="BF38" s="970">
        <v>8.4289607843137269</v>
      </c>
      <c r="BG38" s="970">
        <v>7.8090569411930684</v>
      </c>
      <c r="BH38" s="970">
        <v>0</v>
      </c>
      <c r="BI38" s="970">
        <v>0</v>
      </c>
      <c r="BJ38" s="970">
        <v>32.43058235294118</v>
      </c>
      <c r="BK38" s="971">
        <v>67.788747976629267</v>
      </c>
      <c r="BL38" s="969">
        <v>27.786352549019615</v>
      </c>
      <c r="BM38" s="970">
        <v>3.7466797202389448</v>
      </c>
      <c r="BN38" s="970">
        <v>11.192064705882352</v>
      </c>
      <c r="BO38" s="970">
        <v>12.327955323083508</v>
      </c>
      <c r="BP38" s="970">
        <v>21.776672156862748</v>
      </c>
      <c r="BQ38" s="970">
        <v>1.2957075667655755</v>
      </c>
      <c r="BR38" s="970">
        <v>8.7385960784313728</v>
      </c>
      <c r="BS38" s="970">
        <v>10.950354588375818</v>
      </c>
      <c r="BT38" s="970">
        <v>0</v>
      </c>
      <c r="BU38" s="970">
        <v>0</v>
      </c>
      <c r="BV38" s="970">
        <v>33.524488235294115</v>
      </c>
      <c r="BW38" s="971">
        <v>81.839597929199428</v>
      </c>
      <c r="BX38" s="969">
        <v>27.405871372549022</v>
      </c>
      <c r="BY38" s="970">
        <v>4.2040473506105807</v>
      </c>
      <c r="BZ38" s="970">
        <v>11.060058823529411</v>
      </c>
      <c r="CA38" s="970">
        <v>12.691041494847664</v>
      </c>
      <c r="CB38" s="970">
        <v>21.575996862745104</v>
      </c>
      <c r="CC38" s="970">
        <v>1.4600430809509095</v>
      </c>
      <c r="CD38" s="970">
        <v>8.635384313725492</v>
      </c>
      <c r="CE38" s="970">
        <v>11.68374273184881</v>
      </c>
      <c r="CF38" s="970">
        <v>0</v>
      </c>
      <c r="CG38" s="970">
        <v>0</v>
      </c>
      <c r="CH38" s="970">
        <v>33.159852941176467</v>
      </c>
      <c r="CI38" s="971">
        <v>81.411689855914403</v>
      </c>
      <c r="CJ38" s="969">
        <v>26.128179607843141</v>
      </c>
      <c r="CK38" s="970">
        <v>2.9509855521377379</v>
      </c>
      <c r="CL38" s="970">
        <v>11.104060784313724</v>
      </c>
      <c r="CM38" s="970">
        <v>10.055290265947878</v>
      </c>
      <c r="CN38" s="970">
        <v>20.568563921568629</v>
      </c>
      <c r="CO38" s="970">
        <v>0.825900241332861</v>
      </c>
      <c r="CP38" s="970">
        <v>8.6697882352941189</v>
      </c>
      <c r="CQ38" s="970">
        <v>8.9213914145232049</v>
      </c>
      <c r="CR38" s="970">
        <v>0</v>
      </c>
      <c r="CS38" s="970">
        <v>0</v>
      </c>
      <c r="CT38" s="970">
        <v>33.281398039215688</v>
      </c>
      <c r="CU38" s="971">
        <v>75.442680544256916</v>
      </c>
      <c r="CV38" s="969">
        <v>11.784184313725493</v>
      </c>
      <c r="CW38" s="970">
        <v>0</v>
      </c>
      <c r="CX38" s="970">
        <v>13.700176470588236</v>
      </c>
      <c r="CY38" s="970">
        <v>17.999944791861939</v>
      </c>
      <c r="CZ38" s="970">
        <v>7.6448509803921576</v>
      </c>
      <c r="DA38" s="970">
        <v>0</v>
      </c>
      <c r="DB38" s="970">
        <v>10.69961960784314</v>
      </c>
      <c r="DC38" s="970">
        <v>13.726555708318394</v>
      </c>
      <c r="DD38" s="970">
        <v>0</v>
      </c>
      <c r="DE38" s="970">
        <v>0</v>
      </c>
      <c r="DF38" s="970">
        <v>40.452558823529415</v>
      </c>
      <c r="DG38" s="971">
        <v>124.81719044571005</v>
      </c>
      <c r="DH38" s="969">
        <v>24.008865490196079</v>
      </c>
      <c r="DI38" s="970">
        <v>0</v>
      </c>
      <c r="DJ38" s="970">
        <v>12.204109803921567</v>
      </c>
      <c r="DK38" s="970">
        <v>12.490116544002232</v>
      </c>
      <c r="DL38" s="970">
        <v>18.794079215686274</v>
      </c>
      <c r="DM38" s="970">
        <v>0</v>
      </c>
      <c r="DN38" s="970">
        <v>9.5298862745098045</v>
      </c>
      <c r="DO38" s="970">
        <v>9.9819646806650297</v>
      </c>
      <c r="DP38" s="970">
        <v>0</v>
      </c>
      <c r="DQ38" s="970">
        <v>0</v>
      </c>
      <c r="DR38" s="970">
        <v>36.320025490196073</v>
      </c>
      <c r="DS38" s="971">
        <v>96.556479117295368</v>
      </c>
      <c r="DT38" s="969">
        <v>25.731681960784314</v>
      </c>
      <c r="DU38" s="970">
        <v>0</v>
      </c>
      <c r="DV38" s="970">
        <v>12.864139215686274</v>
      </c>
      <c r="DW38" s="970">
        <v>18.923165188192268</v>
      </c>
      <c r="DX38" s="970">
        <v>20.072060392156864</v>
      </c>
      <c r="DY38" s="970">
        <v>0</v>
      </c>
      <c r="DZ38" s="970">
        <v>10.045945098039216</v>
      </c>
      <c r="EA38" s="970">
        <v>16.095648828853832</v>
      </c>
      <c r="EB38" s="970">
        <v>0</v>
      </c>
      <c r="EC38" s="970">
        <v>0</v>
      </c>
      <c r="ED38" s="970">
        <v>38.14320196078431</v>
      </c>
      <c r="EE38" s="971">
        <v>109.47635026974821</v>
      </c>
      <c r="EF38" s="969">
        <v>29.249338431372546</v>
      </c>
      <c r="EG38" s="970">
        <v>6.5936037599694881</v>
      </c>
      <c r="EH38" s="970">
        <v>9.7840019607843125</v>
      </c>
      <c r="EI38" s="970">
        <v>7.254782033422071</v>
      </c>
      <c r="EJ38" s="970">
        <v>22.916458039215687</v>
      </c>
      <c r="EK38" s="970">
        <v>3.2353881363809545</v>
      </c>
      <c r="EL38" s="970">
        <v>7.6376705882352951</v>
      </c>
      <c r="EM38" s="970">
        <v>6.9622525628607006</v>
      </c>
      <c r="EN38" s="970">
        <v>0</v>
      </c>
      <c r="EO38" s="970">
        <v>0</v>
      </c>
      <c r="EP38" s="970">
        <v>29.635045098039214</v>
      </c>
      <c r="EQ38" s="971">
        <v>64.534456816976302</v>
      </c>
      <c r="ER38" s="969">
        <v>26.489712549019615</v>
      </c>
      <c r="ES38" s="970">
        <v>1.4332003997006721</v>
      </c>
      <c r="ET38" s="970">
        <v>11.544080392156861</v>
      </c>
      <c r="EU38" s="970">
        <v>17.513154370359391</v>
      </c>
      <c r="EV38" s="970">
        <v>20.803102745098037</v>
      </c>
      <c r="EW38" s="970">
        <v>1.9225649647090687E-2</v>
      </c>
      <c r="EX38" s="970">
        <v>9.0138274509803935</v>
      </c>
      <c r="EY38" s="970">
        <v>15.753639073489044</v>
      </c>
      <c r="EZ38" s="970">
        <v>0</v>
      </c>
      <c r="FA38" s="970">
        <v>0</v>
      </c>
      <c r="FB38" s="970">
        <v>34.496849019607843</v>
      </c>
      <c r="FC38" s="971">
        <v>94.733619771841319</v>
      </c>
      <c r="FD38" s="969">
        <v>0.38325490196078515</v>
      </c>
      <c r="FE38" s="970">
        <v>0</v>
      </c>
      <c r="FF38" s="970">
        <v>14.712221568627449</v>
      </c>
      <c r="FG38" s="970">
        <v>23.644305743324601</v>
      </c>
      <c r="FH38" s="970">
        <v>0</v>
      </c>
      <c r="FI38" s="970">
        <v>0</v>
      </c>
      <c r="FJ38" s="970">
        <v>11.49090980392157</v>
      </c>
      <c r="FK38" s="970">
        <v>17.531314654191895</v>
      </c>
      <c r="FL38" s="970">
        <v>0</v>
      </c>
      <c r="FM38" s="970">
        <v>0</v>
      </c>
      <c r="FN38" s="970">
        <v>43.248096078431374</v>
      </c>
      <c r="FO38" s="971">
        <v>160.31497312423582</v>
      </c>
      <c r="FP38" s="969">
        <v>26.453212156862751</v>
      </c>
      <c r="FQ38" s="970">
        <v>3.6214661638921291</v>
      </c>
      <c r="FR38" s="970">
        <v>11.016056862745097</v>
      </c>
      <c r="FS38" s="970">
        <v>13.445746595338772</v>
      </c>
      <c r="FT38" s="970">
        <v>20.713833725490201</v>
      </c>
      <c r="FU38" s="970">
        <v>1.1772795980806445</v>
      </c>
      <c r="FV38" s="970">
        <v>8.6009803921568633</v>
      </c>
      <c r="FW38" s="970">
        <v>12.175158367729573</v>
      </c>
      <c r="FX38" s="970">
        <v>0</v>
      </c>
      <c r="FY38" s="970">
        <v>0</v>
      </c>
      <c r="FZ38" s="970">
        <v>33.038307843137254</v>
      </c>
      <c r="GA38" s="971">
        <v>83.371260256551139</v>
      </c>
      <c r="GB38" s="969">
        <v>24.693755686274514</v>
      </c>
      <c r="GC38" s="970">
        <v>2.2192428099279082</v>
      </c>
      <c r="GD38" s="970">
        <v>11.016056862745097</v>
      </c>
      <c r="GE38" s="970">
        <v>14.331023693871098</v>
      </c>
      <c r="GF38" s="970">
        <v>19.362283137254906</v>
      </c>
      <c r="GG38" s="970">
        <v>0.48275140932802557</v>
      </c>
      <c r="GH38" s="970">
        <v>8.6009803921568633</v>
      </c>
      <c r="GI38" s="970">
        <v>12.417289937880128</v>
      </c>
      <c r="GJ38" s="970">
        <v>0</v>
      </c>
      <c r="GK38" s="970">
        <v>0</v>
      </c>
      <c r="GL38" s="970">
        <v>33.038307843137254</v>
      </c>
      <c r="GM38" s="971">
        <v>87.207683558295599</v>
      </c>
      <c r="GN38" s="969">
        <v>23.897549411764711</v>
      </c>
      <c r="GO38" s="970">
        <v>0</v>
      </c>
      <c r="GP38" s="970">
        <v>12.11610588235294</v>
      </c>
      <c r="GQ38" s="970">
        <v>14.214230061842331</v>
      </c>
      <c r="GR38" s="970">
        <v>19.917694117647059</v>
      </c>
      <c r="GS38" s="970">
        <v>0</v>
      </c>
      <c r="GT38" s="970">
        <v>9.4610784313725489</v>
      </c>
      <c r="GU38" s="970">
        <v>11.604468157388583</v>
      </c>
      <c r="GV38" s="970">
        <v>0</v>
      </c>
      <c r="GW38" s="970">
        <v>0</v>
      </c>
      <c r="GX38" s="970">
        <v>36.076935294117646</v>
      </c>
      <c r="GY38" s="971">
        <v>99.313441974292459</v>
      </c>
      <c r="GZ38" s="969">
        <v>23.011278431372546</v>
      </c>
      <c r="HA38" s="970">
        <v>0</v>
      </c>
      <c r="HB38" s="970">
        <v>12.160107843137256</v>
      </c>
      <c r="HC38" s="970">
        <v>17.691231036875447</v>
      </c>
      <c r="HD38" s="970">
        <v>18.108180392156857</v>
      </c>
      <c r="HE38" s="970">
        <v>0</v>
      </c>
      <c r="HF38" s="970">
        <v>9.4954823529411776</v>
      </c>
      <c r="HG38" s="970">
        <v>14.879987870759031</v>
      </c>
      <c r="HH38" s="970">
        <v>0</v>
      </c>
      <c r="HI38" s="970">
        <v>0</v>
      </c>
      <c r="HJ38" s="970">
        <v>36.198480392156867</v>
      </c>
      <c r="HK38" s="971">
        <v>109.62050713216361</v>
      </c>
      <c r="HL38" s="969">
        <v>26.221664313725491</v>
      </c>
      <c r="HM38" s="970">
        <v>9.0064788687896904</v>
      </c>
      <c r="HN38" s="970">
        <v>8.5079450980392153</v>
      </c>
      <c r="HO38" s="970">
        <v>1.0614674521707796</v>
      </c>
      <c r="HP38" s="970">
        <v>20.540542745098037</v>
      </c>
      <c r="HQ38" s="970">
        <v>4.7689652622794236</v>
      </c>
      <c r="HR38" s="970">
        <v>6.6399568627450982</v>
      </c>
      <c r="HS38" s="970">
        <v>1.8376947459892421</v>
      </c>
      <c r="HT38" s="970">
        <v>38.648062745098045</v>
      </c>
      <c r="HU38" s="970">
        <v>1.5512890874768301</v>
      </c>
      <c r="HV38" s="970">
        <v>26.110237254901961</v>
      </c>
      <c r="HW38" s="971">
        <v>44.975287169440854</v>
      </c>
      <c r="HX38" s="969">
        <v>28.055936470588236</v>
      </c>
      <c r="HY38" s="970">
        <v>9.7672017898630159</v>
      </c>
      <c r="HZ38" s="970">
        <v>8.2879352941176467</v>
      </c>
      <c r="IA38" s="970">
        <v>0.23802478269119445</v>
      </c>
      <c r="IB38" s="970">
        <v>21.866536470588237</v>
      </c>
      <c r="IC38" s="970">
        <v>5.2019192006919939</v>
      </c>
      <c r="ID38" s="970">
        <v>6.4679372549019609</v>
      </c>
      <c r="IE38" s="970">
        <v>1.0602419367537377</v>
      </c>
      <c r="IF38" s="970">
        <v>41.414164705882349</v>
      </c>
      <c r="IG38" s="970">
        <v>2.4160766899210953</v>
      </c>
      <c r="IH38" s="970">
        <v>25.502511764705879</v>
      </c>
      <c r="II38" s="971">
        <v>43.433476527522878</v>
      </c>
      <c r="IJ38" s="969">
        <v>29.212419215686278</v>
      </c>
      <c r="IK38" s="970">
        <v>3.8101458595910831</v>
      </c>
      <c r="IL38" s="970">
        <v>10.752045098039215</v>
      </c>
      <c r="IM38" s="970">
        <v>12.192201295707639</v>
      </c>
      <c r="IN38" s="970">
        <v>22.874287843137253</v>
      </c>
      <c r="IO38" s="970">
        <v>1.3439578418501859</v>
      </c>
      <c r="IP38" s="970">
        <v>8.3945568627450982</v>
      </c>
      <c r="IQ38" s="970">
        <v>11.204862918117643</v>
      </c>
      <c r="IR38" s="970">
        <v>0</v>
      </c>
      <c r="IS38" s="970">
        <v>0</v>
      </c>
      <c r="IT38" s="970">
        <v>32.309037254901959</v>
      </c>
      <c r="IU38" s="971">
        <v>80.646150983545283</v>
      </c>
      <c r="IV38" s="969">
        <v>27.379263921568629</v>
      </c>
      <c r="IW38" s="970">
        <v>9.0114175706514104</v>
      </c>
      <c r="IX38" s="970">
        <v>9.2559784313725491</v>
      </c>
      <c r="IY38" s="970">
        <v>3.9613867086623831</v>
      </c>
      <c r="IZ38" s="970">
        <v>21.422697254901959</v>
      </c>
      <c r="JA38" s="970">
        <v>4.8290378478410663</v>
      </c>
      <c r="JB38" s="970">
        <v>7.2248235294117649</v>
      </c>
      <c r="JC38" s="970">
        <v>4.1926274648644055</v>
      </c>
      <c r="JD38" s="970">
        <v>40.811772549019601</v>
      </c>
      <c r="JE38" s="970">
        <v>1.4253903905173912</v>
      </c>
      <c r="JF38" s="970">
        <v>28.176503921568628</v>
      </c>
      <c r="JG38" s="971">
        <v>54.991188322585387</v>
      </c>
      <c r="JH38" s="969">
        <v>25.292070588235294</v>
      </c>
      <c r="JI38" s="970">
        <v>0</v>
      </c>
      <c r="JJ38" s="970">
        <v>12.160107843137256</v>
      </c>
      <c r="JK38" s="970">
        <v>11.729124112480015</v>
      </c>
      <c r="JL38" s="970">
        <v>20.280423529411763</v>
      </c>
      <c r="JM38" s="970">
        <v>0</v>
      </c>
      <c r="JN38" s="970">
        <v>9.4954823529411776</v>
      </c>
      <c r="JO38" s="970">
        <v>9.0134524897512556</v>
      </c>
      <c r="JP38" s="970">
        <v>0</v>
      </c>
      <c r="JQ38" s="970">
        <v>0</v>
      </c>
      <c r="JR38" s="970">
        <v>36.198480392156867</v>
      </c>
      <c r="JS38" s="971">
        <v>96.009448839697995</v>
      </c>
      <c r="JT38" s="969">
        <v>24.184127058823528</v>
      </c>
      <c r="JU38" s="970">
        <v>5.1975789221715827</v>
      </c>
      <c r="JV38" s="970">
        <v>10.312025490196078</v>
      </c>
      <c r="JW38" s="970">
        <v>9.809595968908587</v>
      </c>
      <c r="JX38" s="970">
        <v>19.006162352941178</v>
      </c>
      <c r="JY38" s="970">
        <v>2.1877673847258374</v>
      </c>
      <c r="JZ38" s="970">
        <v>8.0505176470588236</v>
      </c>
      <c r="KA38" s="970">
        <v>9.3077761251983127</v>
      </c>
      <c r="KB38" s="970">
        <v>0</v>
      </c>
      <c r="KC38" s="970">
        <v>0</v>
      </c>
      <c r="KD38" s="970">
        <v>31.0935862745098</v>
      </c>
      <c r="KE38" s="971">
        <v>72.678915917741222</v>
      </c>
      <c r="KF38" s="969">
        <v>28.906893333333336</v>
      </c>
      <c r="KG38" s="970">
        <v>4.3651774957973686</v>
      </c>
      <c r="KH38" s="970">
        <v>10.884050980392155</v>
      </c>
      <c r="KI38" s="970">
        <v>11.894437418661742</v>
      </c>
      <c r="KJ38" s="970">
        <v>22.632356078431371</v>
      </c>
      <c r="KK38" s="970">
        <v>1.5937297631314113</v>
      </c>
      <c r="KL38" s="970">
        <v>8.4977686274509807</v>
      </c>
      <c r="KM38" s="970">
        <v>10.742933190745847</v>
      </c>
      <c r="KN38" s="970">
        <v>0</v>
      </c>
      <c r="KO38" s="970">
        <v>0</v>
      </c>
      <c r="KP38" s="970">
        <v>32.673672549019606</v>
      </c>
      <c r="KQ38" s="971">
        <v>79.371168741684215</v>
      </c>
      <c r="KR38" s="969">
        <v>25.158247450980394</v>
      </c>
      <c r="KS38" s="970">
        <v>1.1096371919333874</v>
      </c>
      <c r="KT38" s="970">
        <v>11.104060784313724</v>
      </c>
      <c r="KU38" s="970">
        <v>17.224348877837532</v>
      </c>
      <c r="KV38" s="970">
        <v>19.551869019607846</v>
      </c>
      <c r="KW38" s="970">
        <v>0</v>
      </c>
      <c r="KX38" s="970">
        <v>8.6697882352941189</v>
      </c>
      <c r="KY38" s="970">
        <v>15.030598462733405</v>
      </c>
      <c r="KZ38" s="970">
        <v>0</v>
      </c>
      <c r="LA38" s="970">
        <v>0</v>
      </c>
      <c r="LB38" s="970">
        <v>33.281398039215688</v>
      </c>
      <c r="LC38" s="971">
        <v>97.975987489414536</v>
      </c>
      <c r="LD38" s="969">
        <v>26.842329803921569</v>
      </c>
      <c r="LE38" s="970">
        <v>6.5842558930943893</v>
      </c>
      <c r="LF38" s="970">
        <v>9.8280039215686266</v>
      </c>
      <c r="LG38" s="970">
        <v>6.1847324871207752</v>
      </c>
      <c r="LH38" s="970">
        <v>20.991774901960788</v>
      </c>
      <c r="LI38" s="970">
        <v>3.2249075594752346</v>
      </c>
      <c r="LJ38" s="970">
        <v>7.672074509803922</v>
      </c>
      <c r="LK38" s="970">
        <v>6.0728152186674951</v>
      </c>
      <c r="LL38" s="970">
        <v>0</v>
      </c>
      <c r="LM38" s="970">
        <v>0</v>
      </c>
      <c r="LN38" s="970">
        <v>29.756590196078431</v>
      </c>
      <c r="LO38" s="971">
        <v>61.068193922417763</v>
      </c>
      <c r="LP38" s="969">
        <v>15.840423529411769</v>
      </c>
      <c r="LQ38" s="970">
        <v>0</v>
      </c>
      <c r="LR38" s="970">
        <v>11.368072549019608</v>
      </c>
      <c r="LS38" s="970">
        <v>15.499669398914019</v>
      </c>
      <c r="LT38" s="970">
        <v>11.492599999999999</v>
      </c>
      <c r="LU38" s="970">
        <v>0</v>
      </c>
      <c r="LV38" s="970">
        <v>8.8762117647058822</v>
      </c>
      <c r="LW38" s="970">
        <v>12.927723602761416</v>
      </c>
      <c r="LX38" s="970">
        <v>0</v>
      </c>
      <c r="LY38" s="970">
        <v>0</v>
      </c>
      <c r="LZ38" s="970">
        <v>34.010668627450983</v>
      </c>
      <c r="MA38" s="971">
        <v>101.14777892977745</v>
      </c>
      <c r="MB38" s="969">
        <v>28.036150588235305</v>
      </c>
      <c r="MC38" s="970">
        <v>3.0197725294998641</v>
      </c>
      <c r="MD38" s="970">
        <v>11.500078431372549</v>
      </c>
      <c r="ME38" s="970">
        <v>13.363847592650414</v>
      </c>
      <c r="MF38" s="970">
        <v>21.994597647058821</v>
      </c>
      <c r="MG38" s="970">
        <v>0.9181367584625949</v>
      </c>
      <c r="MH38" s="970">
        <v>8.9794235294117666</v>
      </c>
      <c r="MI38" s="970">
        <v>11.833419022672697</v>
      </c>
      <c r="MJ38" s="970">
        <v>0</v>
      </c>
      <c r="MK38" s="970">
        <v>0</v>
      </c>
      <c r="ML38" s="970">
        <v>34.37530392156863</v>
      </c>
      <c r="MM38" s="971">
        <v>82.975626420421619</v>
      </c>
      <c r="MN38" s="969">
        <v>17.287405882352939</v>
      </c>
      <c r="MO38" s="970">
        <v>0</v>
      </c>
      <c r="MP38" s="970">
        <v>15.680264705882353</v>
      </c>
      <c r="MQ38" s="970">
        <v>23.395408913761948</v>
      </c>
      <c r="MR38" s="970">
        <v>12.322494117647059</v>
      </c>
      <c r="MS38" s="970">
        <v>0</v>
      </c>
      <c r="MT38" s="970">
        <v>12.247796078431373</v>
      </c>
      <c r="MU38" s="970">
        <v>17.452869309716906</v>
      </c>
      <c r="MV38" s="970">
        <v>0</v>
      </c>
      <c r="MW38" s="970">
        <v>0</v>
      </c>
      <c r="MX38" s="970">
        <v>45.922088235294119</v>
      </c>
      <c r="MY38" s="971">
        <v>143.31407594393738</v>
      </c>
      <c r="MZ38" s="969">
        <v>15.362035294117652</v>
      </c>
      <c r="NA38" s="970">
        <v>0</v>
      </c>
      <c r="NB38" s="970">
        <v>12.732133333333332</v>
      </c>
      <c r="NC38" s="970">
        <v>20.27559715790812</v>
      </c>
      <c r="ND38" s="970">
        <v>10.743564705882356</v>
      </c>
      <c r="NE38" s="970">
        <v>0</v>
      </c>
      <c r="NF38" s="970">
        <v>9.942733333333333</v>
      </c>
      <c r="NG38" s="970">
        <v>16.239607615702706</v>
      </c>
      <c r="NH38" s="970">
        <v>0</v>
      </c>
      <c r="NI38" s="970">
        <v>0</v>
      </c>
      <c r="NJ38" s="970">
        <v>37.778566666666663</v>
      </c>
      <c r="NK38" s="971">
        <v>131.33140421694901</v>
      </c>
      <c r="NL38" s="969">
        <v>25.18930784313725</v>
      </c>
      <c r="NM38" s="970">
        <v>1.7478724860510337</v>
      </c>
      <c r="NN38" s="970">
        <v>12.028101960784314</v>
      </c>
      <c r="NO38" s="970">
        <v>13.657704844159207</v>
      </c>
      <c r="NP38" s="970">
        <v>20.682239215686277</v>
      </c>
      <c r="NQ38" s="970">
        <v>7.5312678881611639E-2</v>
      </c>
      <c r="NR38" s="970">
        <v>9.392270588235295</v>
      </c>
      <c r="NS38" s="970">
        <v>11.715646034280654</v>
      </c>
      <c r="NT38" s="970">
        <v>0</v>
      </c>
      <c r="NU38" s="970">
        <v>0</v>
      </c>
      <c r="NV38" s="970">
        <v>35.83384509803922</v>
      </c>
      <c r="NW38" s="971">
        <v>87.607175487783806</v>
      </c>
      <c r="NX38" s="969">
        <v>25.008755686274512</v>
      </c>
      <c r="NY38" s="970">
        <v>3.7620253626724689</v>
      </c>
      <c r="NZ38" s="970">
        <v>11.236066666666666</v>
      </c>
      <c r="OA38" s="970">
        <v>13.784029755973906</v>
      </c>
      <c r="OB38" s="970">
        <v>19.587283137254904</v>
      </c>
      <c r="OC38" s="970">
        <v>1.2481415278372932</v>
      </c>
      <c r="OD38" s="970">
        <v>8.7729999999999997</v>
      </c>
      <c r="OE38" s="970">
        <v>12.557467417973513</v>
      </c>
      <c r="OF38" s="970">
        <v>0</v>
      </c>
      <c r="OG38" s="970">
        <v>0</v>
      </c>
      <c r="OH38" s="970">
        <v>33.646033333333335</v>
      </c>
      <c r="OI38" s="971">
        <v>84.77338404601899</v>
      </c>
      <c r="OJ38" s="969">
        <v>26.654819607843141</v>
      </c>
      <c r="OK38" s="970">
        <v>0</v>
      </c>
      <c r="OL38" s="970">
        <v>13.216154901960783</v>
      </c>
      <c r="OM38" s="970">
        <v>17.158850409262563</v>
      </c>
      <c r="ON38" s="970">
        <v>21.525368627450987</v>
      </c>
      <c r="OO38" s="970">
        <v>0</v>
      </c>
      <c r="OP38" s="970">
        <v>10.321176470588236</v>
      </c>
      <c r="OQ38" s="970">
        <v>13.517643452287521</v>
      </c>
      <c r="OR38" s="970">
        <v>0</v>
      </c>
      <c r="OS38" s="970">
        <v>0</v>
      </c>
      <c r="OT38" s="970">
        <v>39.115562745098039</v>
      </c>
      <c r="OU38" s="971">
        <v>108.53831274298986</v>
      </c>
      <c r="OV38" s="969">
        <v>26.129156862745102</v>
      </c>
      <c r="OW38" s="970">
        <v>5.8850702141341928</v>
      </c>
      <c r="OX38" s="970">
        <v>10.57603725490196</v>
      </c>
      <c r="OY38" s="970">
        <v>9.2961184896567683</v>
      </c>
      <c r="OZ38" s="970">
        <v>20.458666666666673</v>
      </c>
      <c r="PA38" s="970">
        <v>2.7015269837927174</v>
      </c>
      <c r="PB38" s="970">
        <v>8.2569411764705887</v>
      </c>
      <c r="PC38" s="970">
        <v>8.2748335686045742</v>
      </c>
      <c r="PD38" s="970">
        <v>0</v>
      </c>
      <c r="PE38" s="970">
        <v>0</v>
      </c>
      <c r="PF38" s="970">
        <v>31.822856862745098</v>
      </c>
      <c r="PG38" s="971">
        <v>71.200711740635612</v>
      </c>
      <c r="PH38" s="969">
        <v>25.248272549019614</v>
      </c>
      <c r="PI38" s="970">
        <v>0</v>
      </c>
      <c r="PJ38" s="970">
        <v>15.064237254901961</v>
      </c>
      <c r="PK38" s="970">
        <v>21.735989569188447</v>
      </c>
      <c r="PL38" s="970">
        <v>20.317027450980397</v>
      </c>
      <c r="PM38" s="970">
        <v>0</v>
      </c>
      <c r="PN38" s="970">
        <v>11.76614117647059</v>
      </c>
      <c r="PO38" s="970">
        <v>16.987336667710263</v>
      </c>
      <c r="PP38" s="970">
        <v>0</v>
      </c>
      <c r="PQ38" s="970">
        <v>0</v>
      </c>
      <c r="PR38" s="970">
        <v>44.220456862745095</v>
      </c>
      <c r="PS38" s="971">
        <v>125.17000715923699</v>
      </c>
      <c r="PT38" s="969">
        <v>27.878161960784315</v>
      </c>
      <c r="PU38" s="970">
        <v>3.6116060490563524</v>
      </c>
      <c r="PV38" s="970">
        <v>11.368072549019608</v>
      </c>
      <c r="PW38" s="970">
        <v>10.46745271037878</v>
      </c>
      <c r="PX38" s="970">
        <v>21.937046274509807</v>
      </c>
      <c r="PY38" s="970">
        <v>1.1606871435810475</v>
      </c>
      <c r="PZ38" s="970">
        <v>8.8762117647058822</v>
      </c>
      <c r="QA38" s="970">
        <v>9.534967595172203</v>
      </c>
      <c r="QB38" s="970">
        <v>0</v>
      </c>
      <c r="QC38" s="970">
        <v>0</v>
      </c>
      <c r="QD38" s="970">
        <v>34.010668627450983</v>
      </c>
      <c r="QE38" s="971">
        <v>74.938080794388455</v>
      </c>
      <c r="QF38" s="969">
        <v>27.277003137254908</v>
      </c>
      <c r="QG38" s="970">
        <v>3.6096962586247643</v>
      </c>
      <c r="QH38" s="970">
        <v>11.14806274509804</v>
      </c>
      <c r="QI38" s="970">
        <v>13.686501816766906</v>
      </c>
      <c r="QJ38" s="970">
        <v>21.38915215686275</v>
      </c>
      <c r="QK38" s="970">
        <v>1.1426295430637228</v>
      </c>
      <c r="QL38" s="970">
        <v>8.7041921568627458</v>
      </c>
      <c r="QM38" s="970">
        <v>12.169026080872516</v>
      </c>
      <c r="QN38" s="970">
        <v>0</v>
      </c>
      <c r="QO38" s="970">
        <v>0</v>
      </c>
      <c r="QP38" s="970">
        <v>33.402943137254901</v>
      </c>
      <c r="QQ38" s="971">
        <v>84.295385140065576</v>
      </c>
      <c r="QR38" s="969">
        <v>16.113300000000006</v>
      </c>
      <c r="QS38" s="970">
        <v>0</v>
      </c>
      <c r="QT38" s="970">
        <v>12.820137254901962</v>
      </c>
      <c r="QU38" s="970">
        <v>17.376993864228663</v>
      </c>
      <c r="QV38" s="970">
        <v>12.298505882352945</v>
      </c>
      <c r="QW38" s="970">
        <v>0</v>
      </c>
      <c r="QX38" s="970">
        <v>10.01154117647059</v>
      </c>
      <c r="QY38" s="970">
        <v>13.44393099932724</v>
      </c>
      <c r="QZ38" s="970">
        <v>0</v>
      </c>
      <c r="RA38" s="970">
        <v>0</v>
      </c>
      <c r="RB38" s="970">
        <v>38.021656862745097</v>
      </c>
      <c r="RC38" s="971">
        <v>123.21926219145533</v>
      </c>
      <c r="RD38" s="969">
        <v>27.749154117647063</v>
      </c>
      <c r="RE38" s="970">
        <v>4.1833462923917271</v>
      </c>
      <c r="RF38" s="970">
        <v>11.324070588235292</v>
      </c>
      <c r="RG38" s="970">
        <v>12.144176466870512</v>
      </c>
      <c r="RH38" s="970">
        <v>21.765901176470592</v>
      </c>
      <c r="RI38" s="970">
        <v>1.4605959120935383</v>
      </c>
      <c r="RJ38" s="970">
        <v>8.8418078431372553</v>
      </c>
      <c r="RK38" s="970">
        <v>10.921861884959275</v>
      </c>
      <c r="RL38" s="970">
        <v>0</v>
      </c>
      <c r="RM38" s="970">
        <v>0</v>
      </c>
      <c r="RN38" s="970">
        <v>33.889123529411762</v>
      </c>
      <c r="RO38" s="971">
        <v>80.611676538734429</v>
      </c>
      <c r="RP38" s="969">
        <v>27.008675686274511</v>
      </c>
      <c r="RQ38" s="970">
        <v>3.7457334694669875</v>
      </c>
      <c r="RR38" s="970">
        <v>11.236066666666666</v>
      </c>
      <c r="RS38" s="970">
        <v>11.86218645716934</v>
      </c>
      <c r="RT38" s="970">
        <v>21.157991372549017</v>
      </c>
      <c r="RU38" s="970">
        <v>1.2699722726479281</v>
      </c>
      <c r="RV38" s="970">
        <v>8.7729999999999997</v>
      </c>
      <c r="RW38" s="970">
        <v>10.668333904630339</v>
      </c>
      <c r="RX38" s="970">
        <v>0</v>
      </c>
      <c r="RY38" s="970">
        <v>0</v>
      </c>
      <c r="RZ38" s="970">
        <v>33.646033333333335</v>
      </c>
      <c r="SA38" s="971">
        <v>79.46091601919322</v>
      </c>
    </row>
    <row r="39" spans="1:495">
      <c r="A39" s="968">
        <f>[3]Eingabedaten!A41</f>
        <v>11.03</v>
      </c>
      <c r="B39" s="964" t="str">
        <f>[3]Eingabedaten!C41</f>
        <v>Schwimmhalle</v>
      </c>
      <c r="C39" s="989">
        <f t="shared" si="1"/>
        <v>33</v>
      </c>
      <c r="D39" s="954" cm="1">
        <f t="array" ref="D39">INDEX($P$7:$SA$51,$C39,$G$3-1+D$2)</f>
        <v>0</v>
      </c>
      <c r="E39" s="955" cm="1">
        <f t="array" ref="E39">INDEX($P$7:$SA$51,$C39,$G$3-1+E$2)</f>
        <v>0</v>
      </c>
      <c r="F39" s="955" cm="1">
        <f t="array" ref="F39">INDEX($P$7:$SA$51,$C39,$G$3-1+F$2)</f>
        <v>23.039398039215691</v>
      </c>
      <c r="G39" s="955" cm="1">
        <f t="array" ref="G39">INDEX($P$7:$SA$51,$C39,$G$3-1+G$2)</f>
        <v>43.74080469575118</v>
      </c>
      <c r="H39" s="955" cm="1">
        <f t="array" ref="H39">INDEX($P$7:$SA$51,$C39,$G$3-1+H$2)</f>
        <v>0</v>
      </c>
      <c r="I39" s="955" cm="1">
        <f t="array" ref="I39">INDEX($P$7:$SA$51,$C39,$G$3-1+I$2)</f>
        <v>0</v>
      </c>
      <c r="J39" s="955" cm="1">
        <f t="array" ref="J39">INDEX($P$7:$SA$51,$C39,$G$3-1+J$2)</f>
        <v>18.349796078431375</v>
      </c>
      <c r="K39" s="955" cm="1">
        <f t="array" ref="K39">INDEX($P$7:$SA$51,$C39,$G$3-1+K$2)</f>
        <v>27.214400829162148</v>
      </c>
      <c r="L39" s="955" cm="1">
        <f t="array" ref="L39">INDEX($P$7:$SA$51,$C39,$G$3-1+L$2)</f>
        <v>0</v>
      </c>
      <c r="M39" s="955" cm="1">
        <f t="array" ref="M39">INDEX($P$7:$SA$51,$C39,$G$3-1+M$2)</f>
        <v>0</v>
      </c>
      <c r="N39" s="955" cm="1">
        <f t="array" ref="N39">INDEX($P$7:$SA$51,$C39,$G$3-1+N$2)</f>
        <v>67.181054901960806</v>
      </c>
      <c r="O39" s="956" cm="1">
        <f t="array" ref="O39">INDEX($P$7:$SA$51,$C39,$G$3-1+O$2)</f>
        <v>197.4876605048342</v>
      </c>
      <c r="P39" s="969">
        <v>0</v>
      </c>
      <c r="Q39" s="970">
        <v>0</v>
      </c>
      <c r="R39" s="970">
        <v>24.944592156862754</v>
      </c>
      <c r="S39" s="970">
        <v>53.243316058155962</v>
      </c>
      <c r="T39" s="970">
        <v>0</v>
      </c>
      <c r="U39" s="970">
        <v>0</v>
      </c>
      <c r="V39" s="970">
        <v>19.892184313725494</v>
      </c>
      <c r="W39" s="970">
        <v>29.772945858698023</v>
      </c>
      <c r="X39" s="970">
        <v>0</v>
      </c>
      <c r="Y39" s="970">
        <v>0</v>
      </c>
      <c r="Z39" s="970">
        <v>72.501219607843154</v>
      </c>
      <c r="AA39" s="971">
        <v>255.3554944196205</v>
      </c>
      <c r="AB39" s="969">
        <v>0</v>
      </c>
      <c r="AC39" s="970">
        <v>0</v>
      </c>
      <c r="AD39" s="970">
        <v>21.628143137254906</v>
      </c>
      <c r="AE39" s="970">
        <v>42.72927943426896</v>
      </c>
      <c r="AF39" s="970">
        <v>0</v>
      </c>
      <c r="AG39" s="970">
        <v>0</v>
      </c>
      <c r="AH39" s="970">
        <v>17.207286274509809</v>
      </c>
      <c r="AI39" s="970">
        <v>26.87317045775184</v>
      </c>
      <c r="AJ39" s="970">
        <v>0</v>
      </c>
      <c r="AK39" s="970">
        <v>0</v>
      </c>
      <c r="AL39" s="970">
        <v>63.240192156862761</v>
      </c>
      <c r="AM39" s="971">
        <v>195.01836762964697</v>
      </c>
      <c r="AN39" s="969">
        <v>0</v>
      </c>
      <c r="AO39" s="970">
        <v>0</v>
      </c>
      <c r="AP39" s="970">
        <v>21.698705882352947</v>
      </c>
      <c r="AQ39" s="970">
        <v>48.201337898368699</v>
      </c>
      <c r="AR39" s="970">
        <v>0</v>
      </c>
      <c r="AS39" s="970">
        <v>0</v>
      </c>
      <c r="AT39" s="970">
        <v>17.264411764705887</v>
      </c>
      <c r="AU39" s="970">
        <v>31.556861999291094</v>
      </c>
      <c r="AV39" s="970">
        <v>0</v>
      </c>
      <c r="AW39" s="970">
        <v>0</v>
      </c>
      <c r="AX39" s="970">
        <v>63.437235294117663</v>
      </c>
      <c r="AY39" s="971">
        <v>211.01987780269309</v>
      </c>
      <c r="AZ39" s="969">
        <v>0</v>
      </c>
      <c r="BA39" s="970">
        <v>0</v>
      </c>
      <c r="BB39" s="970">
        <v>22.333770588235296</v>
      </c>
      <c r="BC39" s="970">
        <v>38.892430584034358</v>
      </c>
      <c r="BD39" s="970">
        <v>0</v>
      </c>
      <c r="BE39" s="970">
        <v>0</v>
      </c>
      <c r="BF39" s="970">
        <v>17.778541176470593</v>
      </c>
      <c r="BG39" s="970">
        <v>24.147992341439814</v>
      </c>
      <c r="BH39" s="970">
        <v>0</v>
      </c>
      <c r="BI39" s="970">
        <v>0</v>
      </c>
      <c r="BJ39" s="970">
        <v>65.210623529411777</v>
      </c>
      <c r="BK39" s="971">
        <v>179.92474162862467</v>
      </c>
      <c r="BL39" s="969">
        <v>0</v>
      </c>
      <c r="BM39" s="970">
        <v>0</v>
      </c>
      <c r="BN39" s="970">
        <v>22.96883529411765</v>
      </c>
      <c r="BO39" s="970">
        <v>44.439412631731173</v>
      </c>
      <c r="BP39" s="970">
        <v>0</v>
      </c>
      <c r="BQ39" s="970">
        <v>0</v>
      </c>
      <c r="BR39" s="970">
        <v>18.292670588235296</v>
      </c>
      <c r="BS39" s="970">
        <v>27.434203583745955</v>
      </c>
      <c r="BT39" s="970">
        <v>0</v>
      </c>
      <c r="BU39" s="970">
        <v>0</v>
      </c>
      <c r="BV39" s="970">
        <v>66.984011764705897</v>
      </c>
      <c r="BW39" s="971">
        <v>200.29563839075934</v>
      </c>
      <c r="BX39" s="969">
        <v>0</v>
      </c>
      <c r="BY39" s="970">
        <v>0</v>
      </c>
      <c r="BZ39" s="970">
        <v>22.757147058823534</v>
      </c>
      <c r="CA39" s="970">
        <v>46.816411947272044</v>
      </c>
      <c r="CB39" s="970">
        <v>0</v>
      </c>
      <c r="CC39" s="970">
        <v>0</v>
      </c>
      <c r="CD39" s="970">
        <v>18.121294117647064</v>
      </c>
      <c r="CE39" s="970">
        <v>30.209824376254701</v>
      </c>
      <c r="CF39" s="970">
        <v>0</v>
      </c>
      <c r="CG39" s="970">
        <v>0</v>
      </c>
      <c r="CH39" s="970">
        <v>66.3928823529412</v>
      </c>
      <c r="CI39" s="971">
        <v>200.65900462576249</v>
      </c>
      <c r="CJ39" s="969">
        <v>0</v>
      </c>
      <c r="CK39" s="970">
        <v>0</v>
      </c>
      <c r="CL39" s="970">
        <v>22.827709803921572</v>
      </c>
      <c r="CM39" s="970">
        <v>40.954769766563821</v>
      </c>
      <c r="CN39" s="970">
        <v>0</v>
      </c>
      <c r="CO39" s="970">
        <v>0</v>
      </c>
      <c r="CP39" s="970">
        <v>18.178419607843143</v>
      </c>
      <c r="CQ39" s="970">
        <v>24.580167789154732</v>
      </c>
      <c r="CR39" s="970">
        <v>0</v>
      </c>
      <c r="CS39" s="970">
        <v>0</v>
      </c>
      <c r="CT39" s="970">
        <v>66.589925490196094</v>
      </c>
      <c r="CU39" s="971">
        <v>198.2172225763899</v>
      </c>
      <c r="CV39" s="969">
        <v>0</v>
      </c>
      <c r="CW39" s="970">
        <v>0</v>
      </c>
      <c r="CX39" s="970">
        <v>26.990911764705888</v>
      </c>
      <c r="CY39" s="970">
        <v>55.781305876113485</v>
      </c>
      <c r="CZ39" s="970">
        <v>0</v>
      </c>
      <c r="DA39" s="970">
        <v>0</v>
      </c>
      <c r="DB39" s="970">
        <v>21.54882352941177</v>
      </c>
      <c r="DC39" s="970">
        <v>29.902785860011889</v>
      </c>
      <c r="DD39" s="970">
        <v>0</v>
      </c>
      <c r="DE39" s="970">
        <v>0</v>
      </c>
      <c r="DF39" s="970">
        <v>78.21547058823532</v>
      </c>
      <c r="DG39" s="971">
        <v>273.19672191054502</v>
      </c>
      <c r="DH39" s="969">
        <v>0</v>
      </c>
      <c r="DI39" s="970">
        <v>0</v>
      </c>
      <c r="DJ39" s="970">
        <v>24.591778431372553</v>
      </c>
      <c r="DK39" s="970">
        <v>47.583323625271227</v>
      </c>
      <c r="DL39" s="970">
        <v>0</v>
      </c>
      <c r="DM39" s="970">
        <v>0</v>
      </c>
      <c r="DN39" s="970">
        <v>19.606556862745101</v>
      </c>
      <c r="DO39" s="970">
        <v>26.478538865298347</v>
      </c>
      <c r="DP39" s="970">
        <v>0</v>
      </c>
      <c r="DQ39" s="970">
        <v>0</v>
      </c>
      <c r="DR39" s="970">
        <v>71.516003921568654</v>
      </c>
      <c r="DS39" s="971">
        <v>238.17352065044992</v>
      </c>
      <c r="DT39" s="969">
        <v>0</v>
      </c>
      <c r="DU39" s="970">
        <v>0</v>
      </c>
      <c r="DV39" s="970">
        <v>25.650219607843145</v>
      </c>
      <c r="DW39" s="970">
        <v>59.264437840170629</v>
      </c>
      <c r="DX39" s="970">
        <v>0</v>
      </c>
      <c r="DY39" s="970">
        <v>0</v>
      </c>
      <c r="DZ39" s="970">
        <v>20.463439215686279</v>
      </c>
      <c r="EA39" s="970">
        <v>36.822375158155758</v>
      </c>
      <c r="EB39" s="970">
        <v>0</v>
      </c>
      <c r="EC39" s="970">
        <v>0</v>
      </c>
      <c r="ED39" s="970">
        <v>74.471650980392184</v>
      </c>
      <c r="EE39" s="971">
        <v>258.38078068939257</v>
      </c>
      <c r="EF39" s="969">
        <v>0</v>
      </c>
      <c r="EG39" s="970">
        <v>0</v>
      </c>
      <c r="EH39" s="970">
        <v>20.710827450980393</v>
      </c>
      <c r="EI39" s="970">
        <v>37.356380360619859</v>
      </c>
      <c r="EJ39" s="970">
        <v>0</v>
      </c>
      <c r="EK39" s="970">
        <v>0</v>
      </c>
      <c r="EL39" s="970">
        <v>16.464654901960788</v>
      </c>
      <c r="EM39" s="970">
        <v>23.012153765536947</v>
      </c>
      <c r="EN39" s="970">
        <v>0</v>
      </c>
      <c r="EO39" s="970">
        <v>0</v>
      </c>
      <c r="EP39" s="970">
        <v>60.678631372549027</v>
      </c>
      <c r="EQ39" s="971">
        <v>174.79340860400731</v>
      </c>
      <c r="ER39" s="969">
        <v>0</v>
      </c>
      <c r="ES39" s="970">
        <v>0</v>
      </c>
      <c r="ET39" s="970">
        <v>23.533337254901969</v>
      </c>
      <c r="EU39" s="970">
        <v>56.937793960939111</v>
      </c>
      <c r="EV39" s="970">
        <v>0</v>
      </c>
      <c r="EW39" s="970">
        <v>0</v>
      </c>
      <c r="EX39" s="970">
        <v>18.749674509803924</v>
      </c>
      <c r="EY39" s="970">
        <v>38.114530670045795</v>
      </c>
      <c r="EZ39" s="970">
        <v>0</v>
      </c>
      <c r="FA39" s="970">
        <v>0</v>
      </c>
      <c r="FB39" s="970">
        <v>68.560356862745124</v>
      </c>
      <c r="FC39" s="971">
        <v>232.39148907983827</v>
      </c>
      <c r="FD39" s="969">
        <v>0</v>
      </c>
      <c r="FE39" s="970">
        <v>0</v>
      </c>
      <c r="FF39" s="970">
        <v>28.613854901960785</v>
      </c>
      <c r="FG39" s="970">
        <v>62.518008282346464</v>
      </c>
      <c r="FH39" s="970">
        <v>0</v>
      </c>
      <c r="FI39" s="970">
        <v>0</v>
      </c>
      <c r="FJ39" s="970">
        <v>22.862709803921572</v>
      </c>
      <c r="FK39" s="970">
        <v>32.85055410495147</v>
      </c>
      <c r="FL39" s="970">
        <v>0</v>
      </c>
      <c r="FM39" s="970">
        <v>0</v>
      </c>
      <c r="FN39" s="970">
        <v>82.747462745098062</v>
      </c>
      <c r="FO39" s="971">
        <v>307.97145310211818</v>
      </c>
      <c r="FP39" s="969">
        <v>0</v>
      </c>
      <c r="FQ39" s="970">
        <v>0</v>
      </c>
      <c r="FR39" s="970">
        <v>22.686584313725497</v>
      </c>
      <c r="FS39" s="970">
        <v>46.950229700203685</v>
      </c>
      <c r="FT39" s="970">
        <v>0</v>
      </c>
      <c r="FU39" s="970">
        <v>0</v>
      </c>
      <c r="FV39" s="970">
        <v>18.064168627450986</v>
      </c>
      <c r="FW39" s="970">
        <v>30.020616192022246</v>
      </c>
      <c r="FX39" s="970">
        <v>0</v>
      </c>
      <c r="FY39" s="970">
        <v>0</v>
      </c>
      <c r="FZ39" s="970">
        <v>66.195839215686291</v>
      </c>
      <c r="GA39" s="971">
        <v>203.25544769335716</v>
      </c>
      <c r="GB39" s="969">
        <v>0</v>
      </c>
      <c r="GC39" s="970">
        <v>0</v>
      </c>
      <c r="GD39" s="970">
        <v>22.686584313725497</v>
      </c>
      <c r="GE39" s="970">
        <v>48.367818073004855</v>
      </c>
      <c r="GF39" s="970">
        <v>0</v>
      </c>
      <c r="GG39" s="970">
        <v>0</v>
      </c>
      <c r="GH39" s="970">
        <v>18.064168627450986</v>
      </c>
      <c r="GI39" s="970">
        <v>30.416024531506348</v>
      </c>
      <c r="GJ39" s="970">
        <v>0</v>
      </c>
      <c r="GK39" s="970">
        <v>0</v>
      </c>
      <c r="GL39" s="970">
        <v>66.195839215686291</v>
      </c>
      <c r="GM39" s="971">
        <v>215.02616515941082</v>
      </c>
      <c r="GN39" s="969">
        <v>0</v>
      </c>
      <c r="GO39" s="970">
        <v>0</v>
      </c>
      <c r="GP39" s="970">
        <v>24.450652941176475</v>
      </c>
      <c r="GQ39" s="970">
        <v>49.836220385846879</v>
      </c>
      <c r="GR39" s="970">
        <v>0</v>
      </c>
      <c r="GS39" s="970">
        <v>0</v>
      </c>
      <c r="GT39" s="970">
        <v>19.492305882352944</v>
      </c>
      <c r="GU39" s="970">
        <v>28.873436911084848</v>
      </c>
      <c r="GV39" s="970">
        <v>0</v>
      </c>
      <c r="GW39" s="970">
        <v>0</v>
      </c>
      <c r="GX39" s="970">
        <v>71.121917647058837</v>
      </c>
      <c r="GY39" s="971">
        <v>237.03286119987095</v>
      </c>
      <c r="GZ39" s="969">
        <v>0</v>
      </c>
      <c r="HA39" s="970">
        <v>0</v>
      </c>
      <c r="HB39" s="970">
        <v>24.521215686274516</v>
      </c>
      <c r="HC39" s="970">
        <v>57.446201957030731</v>
      </c>
      <c r="HD39" s="970">
        <v>0</v>
      </c>
      <c r="HE39" s="970">
        <v>0</v>
      </c>
      <c r="HF39" s="970">
        <v>19.549431372549023</v>
      </c>
      <c r="HG39" s="970">
        <v>35.057651368191166</v>
      </c>
      <c r="HH39" s="970">
        <v>0</v>
      </c>
      <c r="HI39" s="970">
        <v>0</v>
      </c>
      <c r="HJ39" s="970">
        <v>71.318960784313745</v>
      </c>
      <c r="HK39" s="971">
        <v>254.24642500932589</v>
      </c>
      <c r="HL39" s="969">
        <v>0</v>
      </c>
      <c r="HM39" s="970">
        <v>0</v>
      </c>
      <c r="HN39" s="970">
        <v>18.664507843137258</v>
      </c>
      <c r="HO39" s="970">
        <v>29.639602379503042</v>
      </c>
      <c r="HP39" s="970">
        <v>0</v>
      </c>
      <c r="HQ39" s="970">
        <v>0</v>
      </c>
      <c r="HR39" s="970">
        <v>14.808015686274514</v>
      </c>
      <c r="HS39" s="970">
        <v>17.613101714571169</v>
      </c>
      <c r="HT39" s="970">
        <v>0</v>
      </c>
      <c r="HU39" s="970">
        <v>0</v>
      </c>
      <c r="HV39" s="970">
        <v>54.964380392156869</v>
      </c>
      <c r="HW39" s="971">
        <v>153.47367326697039</v>
      </c>
      <c r="HX39" s="969">
        <v>0</v>
      </c>
      <c r="HY39" s="970">
        <v>0</v>
      </c>
      <c r="HZ39" s="970">
        <v>18.311694117647061</v>
      </c>
      <c r="IA39" s="970">
        <v>28.853786513643097</v>
      </c>
      <c r="IB39" s="970">
        <v>0</v>
      </c>
      <c r="IC39" s="970">
        <v>0</v>
      </c>
      <c r="ID39" s="970">
        <v>14.522388235294121</v>
      </c>
      <c r="IE39" s="970">
        <v>16.746511112179313</v>
      </c>
      <c r="IF39" s="970">
        <v>0</v>
      </c>
      <c r="IG39" s="970">
        <v>0</v>
      </c>
      <c r="IH39" s="970">
        <v>53.979164705882354</v>
      </c>
      <c r="II39" s="971">
        <v>151.77592513799408</v>
      </c>
      <c r="IJ39" s="969">
        <v>0</v>
      </c>
      <c r="IK39" s="970">
        <v>0</v>
      </c>
      <c r="IL39" s="970">
        <v>22.263207843137259</v>
      </c>
      <c r="IM39" s="970">
        <v>46.314050413958782</v>
      </c>
      <c r="IN39" s="970">
        <v>0</v>
      </c>
      <c r="IO39" s="970">
        <v>0</v>
      </c>
      <c r="IP39" s="970">
        <v>17.721415686274515</v>
      </c>
      <c r="IQ39" s="970">
        <v>29.610262377577939</v>
      </c>
      <c r="IR39" s="970">
        <v>0</v>
      </c>
      <c r="IS39" s="970">
        <v>0</v>
      </c>
      <c r="IT39" s="970">
        <v>65.013580392156882</v>
      </c>
      <c r="IU39" s="971">
        <v>203.03437176002214</v>
      </c>
      <c r="IV39" s="969">
        <v>0</v>
      </c>
      <c r="IW39" s="970">
        <v>0</v>
      </c>
      <c r="IX39" s="970">
        <v>19.864074509803928</v>
      </c>
      <c r="IY39" s="970">
        <v>34.435315085259425</v>
      </c>
      <c r="IZ39" s="970">
        <v>0</v>
      </c>
      <c r="JA39" s="970">
        <v>0</v>
      </c>
      <c r="JB39" s="970">
        <v>15.779149019607846</v>
      </c>
      <c r="JC39" s="970">
        <v>20.768896896683557</v>
      </c>
      <c r="JD39" s="970">
        <v>0</v>
      </c>
      <c r="JE39" s="970">
        <v>0</v>
      </c>
      <c r="JF39" s="970">
        <v>58.314113725490209</v>
      </c>
      <c r="JG39" s="971">
        <v>165.41621531203822</v>
      </c>
      <c r="JH39" s="969">
        <v>0</v>
      </c>
      <c r="JI39" s="970">
        <v>0</v>
      </c>
      <c r="JJ39" s="970">
        <v>24.521215686274516</v>
      </c>
      <c r="JK39" s="970">
        <v>43.093561895029275</v>
      </c>
      <c r="JL39" s="970">
        <v>0</v>
      </c>
      <c r="JM39" s="970">
        <v>0</v>
      </c>
      <c r="JN39" s="970">
        <v>19.549431372549023</v>
      </c>
      <c r="JO39" s="970">
        <v>22.77530272863364</v>
      </c>
      <c r="JP39" s="970">
        <v>0</v>
      </c>
      <c r="JQ39" s="970">
        <v>0</v>
      </c>
      <c r="JR39" s="970">
        <v>71.318960784313745</v>
      </c>
      <c r="JS39" s="971">
        <v>230.1700737885707</v>
      </c>
      <c r="JT39" s="969">
        <v>0</v>
      </c>
      <c r="JU39" s="970">
        <v>0</v>
      </c>
      <c r="JV39" s="970">
        <v>21.557580392156865</v>
      </c>
      <c r="JW39" s="970">
        <v>42.917222493525728</v>
      </c>
      <c r="JX39" s="970">
        <v>0</v>
      </c>
      <c r="JY39" s="970">
        <v>0</v>
      </c>
      <c r="JZ39" s="970">
        <v>17.15016078431373</v>
      </c>
      <c r="KA39" s="970">
        <v>27.357198972820591</v>
      </c>
      <c r="KB39" s="970">
        <v>0</v>
      </c>
      <c r="KC39" s="970">
        <v>0</v>
      </c>
      <c r="KD39" s="970">
        <v>63.04314901960786</v>
      </c>
      <c r="KE39" s="971">
        <v>190.34456798331001</v>
      </c>
      <c r="KF39" s="969">
        <v>0</v>
      </c>
      <c r="KG39" s="970">
        <v>0</v>
      </c>
      <c r="KH39" s="970">
        <v>22.474896078431374</v>
      </c>
      <c r="KI39" s="970">
        <v>43.500685424043702</v>
      </c>
      <c r="KJ39" s="970">
        <v>0</v>
      </c>
      <c r="KK39" s="970">
        <v>0</v>
      </c>
      <c r="KL39" s="970">
        <v>17.89279215686275</v>
      </c>
      <c r="KM39" s="970">
        <v>27.172826097451352</v>
      </c>
      <c r="KN39" s="970">
        <v>0</v>
      </c>
      <c r="KO39" s="970">
        <v>0</v>
      </c>
      <c r="KP39" s="970">
        <v>65.60470980392158</v>
      </c>
      <c r="KQ39" s="971">
        <v>194.57902300522673</v>
      </c>
      <c r="KR39" s="969">
        <v>0</v>
      </c>
      <c r="KS39" s="970">
        <v>0</v>
      </c>
      <c r="KT39" s="970">
        <v>22.827709803921572</v>
      </c>
      <c r="KU39" s="970">
        <v>54.293884362962345</v>
      </c>
      <c r="KV39" s="970">
        <v>0</v>
      </c>
      <c r="KW39" s="970">
        <v>0</v>
      </c>
      <c r="KX39" s="970">
        <v>18.178419607843143</v>
      </c>
      <c r="KY39" s="970">
        <v>34.50515603802198</v>
      </c>
      <c r="KZ39" s="970">
        <v>0</v>
      </c>
      <c r="LA39" s="970">
        <v>0</v>
      </c>
      <c r="LB39" s="970">
        <v>66.589925490196094</v>
      </c>
      <c r="LC39" s="971">
        <v>234.76563064225803</v>
      </c>
      <c r="LD39" s="969">
        <v>0</v>
      </c>
      <c r="LE39" s="970">
        <v>0</v>
      </c>
      <c r="LF39" s="970">
        <v>20.781390196078434</v>
      </c>
      <c r="LG39" s="970">
        <v>35.725970536103183</v>
      </c>
      <c r="LH39" s="970">
        <v>0</v>
      </c>
      <c r="LI39" s="970">
        <v>0</v>
      </c>
      <c r="LJ39" s="970">
        <v>16.521780392156867</v>
      </c>
      <c r="LK39" s="970">
        <v>21.901186527634977</v>
      </c>
      <c r="LL39" s="970">
        <v>0</v>
      </c>
      <c r="LM39" s="970">
        <v>0</v>
      </c>
      <c r="LN39" s="970">
        <v>60.875674509803929</v>
      </c>
      <c r="LO39" s="971">
        <v>170.11121293741121</v>
      </c>
      <c r="LP39" s="969">
        <v>0</v>
      </c>
      <c r="LQ39" s="970">
        <v>0</v>
      </c>
      <c r="LR39" s="970">
        <v>23.251086274509806</v>
      </c>
      <c r="LS39" s="970">
        <v>53.672214155463408</v>
      </c>
      <c r="LT39" s="970">
        <v>0</v>
      </c>
      <c r="LU39" s="970">
        <v>0</v>
      </c>
      <c r="LV39" s="970">
        <v>18.52117254901961</v>
      </c>
      <c r="LW39" s="970">
        <v>32.190565685779617</v>
      </c>
      <c r="LX39" s="970">
        <v>0</v>
      </c>
      <c r="LY39" s="970">
        <v>0</v>
      </c>
      <c r="LZ39" s="970">
        <v>67.772184313725504</v>
      </c>
      <c r="MA39" s="971">
        <v>244.72322153180446</v>
      </c>
      <c r="MB39" s="969">
        <v>0</v>
      </c>
      <c r="MC39" s="970">
        <v>0</v>
      </c>
      <c r="MD39" s="970">
        <v>23.462774509803928</v>
      </c>
      <c r="ME39" s="970">
        <v>46.599753738089774</v>
      </c>
      <c r="MF39" s="970">
        <v>0</v>
      </c>
      <c r="MG39" s="970">
        <v>0</v>
      </c>
      <c r="MH39" s="970">
        <v>18.692549019607846</v>
      </c>
      <c r="MI39" s="970">
        <v>29.575777298197181</v>
      </c>
      <c r="MJ39" s="970">
        <v>0</v>
      </c>
      <c r="MK39" s="970">
        <v>0</v>
      </c>
      <c r="ML39" s="970">
        <v>68.363313725490215</v>
      </c>
      <c r="MM39" s="971">
        <v>205.04223922614941</v>
      </c>
      <c r="MN39" s="969">
        <v>0</v>
      </c>
      <c r="MO39" s="970">
        <v>0</v>
      </c>
      <c r="MP39" s="970">
        <v>30.166235294117651</v>
      </c>
      <c r="MQ39" s="970">
        <v>61.226069090538843</v>
      </c>
      <c r="MR39" s="970">
        <v>0</v>
      </c>
      <c r="MS39" s="970">
        <v>0</v>
      </c>
      <c r="MT39" s="970">
        <v>24.119470588235298</v>
      </c>
      <c r="MU39" s="970">
        <v>32.69934830062347</v>
      </c>
      <c r="MV39" s="970">
        <v>0</v>
      </c>
      <c r="MW39" s="970">
        <v>0</v>
      </c>
      <c r="MX39" s="970">
        <v>87.08241176470591</v>
      </c>
      <c r="MY39" s="971">
        <v>291.36011996005192</v>
      </c>
      <c r="MZ39" s="969">
        <v>0</v>
      </c>
      <c r="NA39" s="970">
        <v>0</v>
      </c>
      <c r="NB39" s="970">
        <v>25.438531372549022</v>
      </c>
      <c r="NC39" s="970">
        <v>63.654104537210962</v>
      </c>
      <c r="ND39" s="970">
        <v>0</v>
      </c>
      <c r="NE39" s="970">
        <v>0</v>
      </c>
      <c r="NF39" s="970">
        <v>20.29206274509804</v>
      </c>
      <c r="NG39" s="970">
        <v>36.368950104402558</v>
      </c>
      <c r="NH39" s="970">
        <v>0</v>
      </c>
      <c r="NI39" s="970">
        <v>0</v>
      </c>
      <c r="NJ39" s="970">
        <v>73.880521568627472</v>
      </c>
      <c r="NK39" s="971">
        <v>284.9269492473025</v>
      </c>
      <c r="NL39" s="969">
        <v>0</v>
      </c>
      <c r="NM39" s="970">
        <v>0</v>
      </c>
      <c r="NN39" s="970">
        <v>24.309527450980394</v>
      </c>
      <c r="NO39" s="970">
        <v>47.175042234301564</v>
      </c>
      <c r="NP39" s="970">
        <v>0</v>
      </c>
      <c r="NQ39" s="970">
        <v>0</v>
      </c>
      <c r="NR39" s="970">
        <v>19.378054901960788</v>
      </c>
      <c r="NS39" s="970">
        <v>29.020099834423696</v>
      </c>
      <c r="NT39" s="970">
        <v>0</v>
      </c>
      <c r="NU39" s="970">
        <v>0</v>
      </c>
      <c r="NV39" s="970">
        <v>70.727831372549034</v>
      </c>
      <c r="NW39" s="971">
        <v>214.52366933562044</v>
      </c>
      <c r="NX39" s="969">
        <v>0</v>
      </c>
      <c r="NY39" s="970">
        <v>0</v>
      </c>
      <c r="NZ39" s="970">
        <v>23.039398039215691</v>
      </c>
      <c r="OA39" s="970">
        <v>48.575847097950572</v>
      </c>
      <c r="OB39" s="970">
        <v>0</v>
      </c>
      <c r="OC39" s="970">
        <v>0</v>
      </c>
      <c r="OD39" s="970">
        <v>18.349796078431375</v>
      </c>
      <c r="OE39" s="970">
        <v>31.381190437385268</v>
      </c>
      <c r="OF39" s="970">
        <v>0</v>
      </c>
      <c r="OG39" s="970">
        <v>0</v>
      </c>
      <c r="OH39" s="970">
        <v>67.181054901960806</v>
      </c>
      <c r="OI39" s="971">
        <v>206.50478953349818</v>
      </c>
      <c r="OJ39" s="969">
        <v>0</v>
      </c>
      <c r="OK39" s="970">
        <v>0</v>
      </c>
      <c r="OL39" s="970">
        <v>26.214721568627457</v>
      </c>
      <c r="OM39" s="970">
        <v>51.397758873673212</v>
      </c>
      <c r="ON39" s="970">
        <v>0</v>
      </c>
      <c r="OO39" s="970">
        <v>0</v>
      </c>
      <c r="OP39" s="970">
        <v>20.920443137254907</v>
      </c>
      <c r="OQ39" s="970">
        <v>28.975473402046362</v>
      </c>
      <c r="OR39" s="970">
        <v>0</v>
      </c>
      <c r="OS39" s="970">
        <v>0</v>
      </c>
      <c r="OT39" s="970">
        <v>76.047996078431396</v>
      </c>
      <c r="OU39" s="971">
        <v>248.06162459126136</v>
      </c>
      <c r="OV39" s="969">
        <v>0</v>
      </c>
      <c r="OW39" s="970">
        <v>0</v>
      </c>
      <c r="OX39" s="970">
        <v>21.980956862745103</v>
      </c>
      <c r="OY39" s="970">
        <v>38.830706892107813</v>
      </c>
      <c r="OZ39" s="970">
        <v>0</v>
      </c>
      <c r="PA39" s="970">
        <v>0</v>
      </c>
      <c r="PB39" s="970">
        <v>17.492913725490201</v>
      </c>
      <c r="PC39" s="970">
        <v>23.472042566555057</v>
      </c>
      <c r="PD39" s="970">
        <v>0</v>
      </c>
      <c r="PE39" s="970">
        <v>0</v>
      </c>
      <c r="PF39" s="970">
        <v>64.225407843137276</v>
      </c>
      <c r="PG39" s="971">
        <v>181.00978981009513</v>
      </c>
      <c r="PH39" s="969">
        <v>0</v>
      </c>
      <c r="PI39" s="970">
        <v>0</v>
      </c>
      <c r="PJ39" s="970">
        <v>29.178356862745105</v>
      </c>
      <c r="PK39" s="970">
        <v>56.684062691437227</v>
      </c>
      <c r="PL39" s="970">
        <v>0</v>
      </c>
      <c r="PM39" s="970">
        <v>0</v>
      </c>
      <c r="PN39" s="970">
        <v>23.319713725490203</v>
      </c>
      <c r="PO39" s="970">
        <v>32.346977097944162</v>
      </c>
      <c r="PP39" s="970">
        <v>0</v>
      </c>
      <c r="PQ39" s="970">
        <v>0</v>
      </c>
      <c r="PR39" s="970">
        <v>84.323807843137274</v>
      </c>
      <c r="PS39" s="971">
        <v>267.81183263697676</v>
      </c>
      <c r="PT39" s="969">
        <v>0</v>
      </c>
      <c r="PU39" s="970">
        <v>0</v>
      </c>
      <c r="PV39" s="970">
        <v>23.251086274509806</v>
      </c>
      <c r="PW39" s="970">
        <v>42.214685042857241</v>
      </c>
      <c r="PX39" s="970">
        <v>0</v>
      </c>
      <c r="PY39" s="970">
        <v>0</v>
      </c>
      <c r="PZ39" s="970">
        <v>18.52117254901961</v>
      </c>
      <c r="QA39" s="970">
        <v>26.295231327207844</v>
      </c>
      <c r="QB39" s="970">
        <v>0</v>
      </c>
      <c r="QC39" s="970">
        <v>0</v>
      </c>
      <c r="QD39" s="970">
        <v>67.772184313725504</v>
      </c>
      <c r="QE39" s="971">
        <v>194.56986020758438</v>
      </c>
      <c r="QF39" s="969">
        <v>0</v>
      </c>
      <c r="QG39" s="970">
        <v>0</v>
      </c>
      <c r="QH39" s="970">
        <v>22.898272549019609</v>
      </c>
      <c r="QI39" s="970">
        <v>46.634647727182298</v>
      </c>
      <c r="QJ39" s="970">
        <v>0</v>
      </c>
      <c r="QK39" s="970">
        <v>0</v>
      </c>
      <c r="QL39" s="970">
        <v>18.235545098039218</v>
      </c>
      <c r="QM39" s="970">
        <v>29.478614636529635</v>
      </c>
      <c r="QN39" s="970">
        <v>0</v>
      </c>
      <c r="QO39" s="970">
        <v>0</v>
      </c>
      <c r="QP39" s="970">
        <v>66.786968627450989</v>
      </c>
      <c r="QQ39" s="971">
        <v>203.74686178087055</v>
      </c>
      <c r="QR39" s="969">
        <v>0</v>
      </c>
      <c r="QS39" s="970">
        <v>0</v>
      </c>
      <c r="QT39" s="970">
        <v>25.579656862745104</v>
      </c>
      <c r="QU39" s="970">
        <v>58.488368196205784</v>
      </c>
      <c r="QV39" s="970">
        <v>0</v>
      </c>
      <c r="QW39" s="970">
        <v>0</v>
      </c>
      <c r="QX39" s="970">
        <v>20.4063137254902</v>
      </c>
      <c r="QY39" s="970">
        <v>32.006780028540049</v>
      </c>
      <c r="QZ39" s="970">
        <v>0</v>
      </c>
      <c r="RA39" s="970">
        <v>0</v>
      </c>
      <c r="RB39" s="970">
        <v>74.274607843137275</v>
      </c>
      <c r="RC39" s="971">
        <v>274.77252405167013</v>
      </c>
      <c r="RD39" s="969">
        <v>0</v>
      </c>
      <c r="RE39" s="970">
        <v>0</v>
      </c>
      <c r="RF39" s="970">
        <v>23.180523529411765</v>
      </c>
      <c r="RG39" s="970">
        <v>44.366409613410482</v>
      </c>
      <c r="RH39" s="970">
        <v>0</v>
      </c>
      <c r="RI39" s="970">
        <v>0</v>
      </c>
      <c r="RJ39" s="970">
        <v>18.464047058823532</v>
      </c>
      <c r="RK39" s="970">
        <v>27.752206199277765</v>
      </c>
      <c r="RL39" s="970">
        <v>0</v>
      </c>
      <c r="RM39" s="970">
        <v>0</v>
      </c>
      <c r="RN39" s="970">
        <v>67.575141176470595</v>
      </c>
      <c r="RO39" s="971">
        <v>197.21022819031208</v>
      </c>
      <c r="RP39" s="969">
        <v>0</v>
      </c>
      <c r="RQ39" s="970">
        <v>0</v>
      </c>
      <c r="RR39" s="970">
        <v>23.039398039215691</v>
      </c>
      <c r="RS39" s="970">
        <v>43.74080469575118</v>
      </c>
      <c r="RT39" s="970">
        <v>0</v>
      </c>
      <c r="RU39" s="970">
        <v>0</v>
      </c>
      <c r="RV39" s="970">
        <v>18.349796078431375</v>
      </c>
      <c r="RW39" s="970">
        <v>27.214400829162148</v>
      </c>
      <c r="RX39" s="970">
        <v>0</v>
      </c>
      <c r="RY39" s="970">
        <v>0</v>
      </c>
      <c r="RZ39" s="970">
        <v>67.181054901960806</v>
      </c>
      <c r="SA39" s="971">
        <v>197.4876605048342</v>
      </c>
    </row>
    <row r="40" spans="1:495">
      <c r="A40" s="967">
        <f>[3]Eingabedaten!A42</f>
        <v>12.01</v>
      </c>
      <c r="B40" s="930" t="str">
        <f>[3]Eingabedaten!C42</f>
        <v>Verkehrsfläche</v>
      </c>
      <c r="C40" s="988">
        <f t="shared" si="1"/>
        <v>34</v>
      </c>
      <c r="D40" s="954" cm="1">
        <f t="array" ref="D40">INDEX($P$7:$SA$51,$C40,$G$3-1+D$2)</f>
        <v>0</v>
      </c>
      <c r="E40" s="955" cm="1">
        <f t="array" ref="E40">INDEX($P$7:$SA$51,$C40,$G$3-1+E$2)</f>
        <v>0</v>
      </c>
      <c r="F40" s="955" cm="1">
        <f t="array" ref="F40">INDEX($P$7:$SA$51,$C40,$G$3-1+F$2)</f>
        <v>19.551676470588237</v>
      </c>
      <c r="G40" s="955" cm="1">
        <f t="array" ref="G40">INDEX($P$7:$SA$51,$C40,$G$3-1+G$2)</f>
        <v>17.681625271928997</v>
      </c>
      <c r="H40" s="955" cm="1">
        <f t="array" ref="H40">INDEX($P$7:$SA$51,$C40,$G$3-1+H$2)</f>
        <v>0</v>
      </c>
      <c r="I40" s="955" cm="1">
        <f t="array" ref="I40">INDEX($P$7:$SA$51,$C40,$G$3-1+I$2)</f>
        <v>0</v>
      </c>
      <c r="J40" s="955" cm="1">
        <f t="array" ref="J40">INDEX($P$7:$SA$51,$C40,$G$3-1+J$2)</f>
        <v>16.145882352941179</v>
      </c>
      <c r="K40" s="955" cm="1">
        <f t="array" ref="K40">INDEX($P$7:$SA$51,$C40,$G$3-1+K$2)</f>
        <v>12.279819926368052</v>
      </c>
      <c r="L40" s="955" cm="1">
        <f t="array" ref="L40">INDEX($P$7:$SA$51,$C40,$G$3-1+L$2)</f>
        <v>0</v>
      </c>
      <c r="M40" s="955" cm="1">
        <f t="array" ref="M40">INDEX($P$7:$SA$51,$C40,$G$3-1+M$2)</f>
        <v>0</v>
      </c>
      <c r="N40" s="955" cm="1">
        <f t="array" ref="N40">INDEX($P$7:$SA$51,$C40,$G$3-1+N$2)</f>
        <v>33.578294117647062</v>
      </c>
      <c r="O40" s="956" cm="1">
        <f t="array" ref="O40">INDEX($P$7:$SA$51,$C40,$G$3-1+O$2)</f>
        <v>20.66006602052056</v>
      </c>
      <c r="P40" s="969">
        <v>0</v>
      </c>
      <c r="Q40" s="970">
        <v>0</v>
      </c>
      <c r="R40" s="970">
        <v>21.366235294117647</v>
      </c>
      <c r="S40" s="970">
        <v>11.356656543686787</v>
      </c>
      <c r="T40" s="970">
        <v>0</v>
      </c>
      <c r="U40" s="970">
        <v>0</v>
      </c>
      <c r="V40" s="970">
        <v>17.672176470588237</v>
      </c>
      <c r="W40" s="970">
        <v>6.0733072940497417</v>
      </c>
      <c r="X40" s="970">
        <v>0</v>
      </c>
      <c r="Y40" s="970">
        <v>0</v>
      </c>
      <c r="Z40" s="970">
        <v>36.580058823529413</v>
      </c>
      <c r="AA40" s="971">
        <v>12.420036567667507</v>
      </c>
      <c r="AB40" s="969">
        <v>0</v>
      </c>
      <c r="AC40" s="970">
        <v>0</v>
      </c>
      <c r="AD40" s="970">
        <v>18.207558823529414</v>
      </c>
      <c r="AE40" s="970">
        <v>17.86016880441537</v>
      </c>
      <c r="AF40" s="970">
        <v>0</v>
      </c>
      <c r="AG40" s="970">
        <v>0</v>
      </c>
      <c r="AH40" s="970">
        <v>15.015294117647061</v>
      </c>
      <c r="AI40" s="970">
        <v>12.588823545747665</v>
      </c>
      <c r="AJ40" s="970">
        <v>0</v>
      </c>
      <c r="AK40" s="970">
        <v>0</v>
      </c>
      <c r="AL40" s="970">
        <v>31.354764705882353</v>
      </c>
      <c r="AM40" s="971">
        <v>20.9425096313491</v>
      </c>
      <c r="AN40" s="969">
        <v>0</v>
      </c>
      <c r="AO40" s="970">
        <v>0</v>
      </c>
      <c r="AP40" s="970">
        <v>18.274764705882355</v>
      </c>
      <c r="AQ40" s="970">
        <v>23.177847480461683</v>
      </c>
      <c r="AR40" s="970">
        <v>0</v>
      </c>
      <c r="AS40" s="970">
        <v>0</v>
      </c>
      <c r="AT40" s="970">
        <v>15.071823529411766</v>
      </c>
      <c r="AU40" s="970">
        <v>17.297164327760949</v>
      </c>
      <c r="AV40" s="970">
        <v>0</v>
      </c>
      <c r="AW40" s="970">
        <v>0</v>
      </c>
      <c r="AX40" s="970">
        <v>31.465941176470594</v>
      </c>
      <c r="AY40" s="971">
        <v>27.456286642521732</v>
      </c>
      <c r="AZ40" s="969">
        <v>0</v>
      </c>
      <c r="BA40" s="970">
        <v>0</v>
      </c>
      <c r="BB40" s="970">
        <v>18.879617647058826</v>
      </c>
      <c r="BC40" s="970">
        <v>15.281726074619979</v>
      </c>
      <c r="BD40" s="970">
        <v>0</v>
      </c>
      <c r="BE40" s="970">
        <v>0</v>
      </c>
      <c r="BF40" s="970">
        <v>15.580588235294121</v>
      </c>
      <c r="BG40" s="970">
        <v>10.359618286858408</v>
      </c>
      <c r="BH40" s="970">
        <v>0</v>
      </c>
      <c r="BI40" s="970">
        <v>0</v>
      </c>
      <c r="BJ40" s="970">
        <v>32.466529411764711</v>
      </c>
      <c r="BK40" s="971">
        <v>17.701898614687742</v>
      </c>
      <c r="BL40" s="969">
        <v>0</v>
      </c>
      <c r="BM40" s="970">
        <v>0</v>
      </c>
      <c r="BN40" s="970">
        <v>19.484470588235293</v>
      </c>
      <c r="BO40" s="970">
        <v>17.334569731748363</v>
      </c>
      <c r="BP40" s="970">
        <v>0</v>
      </c>
      <c r="BQ40" s="970">
        <v>0</v>
      </c>
      <c r="BR40" s="970">
        <v>16.089352941176472</v>
      </c>
      <c r="BS40" s="970">
        <v>11.815206541162636</v>
      </c>
      <c r="BT40" s="970">
        <v>0</v>
      </c>
      <c r="BU40" s="970">
        <v>0</v>
      </c>
      <c r="BV40" s="970">
        <v>33.467117647058828</v>
      </c>
      <c r="BW40" s="971">
        <v>20.169319607943557</v>
      </c>
      <c r="BX40" s="969">
        <v>0</v>
      </c>
      <c r="BY40" s="970">
        <v>0</v>
      </c>
      <c r="BZ40" s="970">
        <v>19.282852941176476</v>
      </c>
      <c r="CA40" s="970">
        <v>21.896062185902629</v>
      </c>
      <c r="CB40" s="970">
        <v>0</v>
      </c>
      <c r="CC40" s="970">
        <v>0</v>
      </c>
      <c r="CD40" s="970">
        <v>15.919764705882356</v>
      </c>
      <c r="CE40" s="970">
        <v>16.264406221292631</v>
      </c>
      <c r="CF40" s="970">
        <v>0</v>
      </c>
      <c r="CG40" s="970">
        <v>0</v>
      </c>
      <c r="CH40" s="970">
        <v>33.13358823529412</v>
      </c>
      <c r="CI40" s="971">
        <v>26.033309047372981</v>
      </c>
      <c r="CJ40" s="969">
        <v>0</v>
      </c>
      <c r="CK40" s="970">
        <v>0</v>
      </c>
      <c r="CL40" s="970">
        <v>19.350058823529412</v>
      </c>
      <c r="CM40" s="970">
        <v>13.234538736952118</v>
      </c>
      <c r="CN40" s="970">
        <v>0</v>
      </c>
      <c r="CO40" s="970">
        <v>0</v>
      </c>
      <c r="CP40" s="970">
        <v>15.976294117647059</v>
      </c>
      <c r="CQ40" s="970">
        <v>8.4433904433047715</v>
      </c>
      <c r="CR40" s="970">
        <v>0</v>
      </c>
      <c r="CS40" s="970">
        <v>0</v>
      </c>
      <c r="CT40" s="970">
        <v>33.244764705882353</v>
      </c>
      <c r="CU40" s="971">
        <v>15.086319699362225</v>
      </c>
      <c r="CV40" s="969">
        <v>0</v>
      </c>
      <c r="CW40" s="970">
        <v>0</v>
      </c>
      <c r="CX40" s="970">
        <v>23.315205882352949</v>
      </c>
      <c r="CY40" s="970">
        <v>11.595559860706247</v>
      </c>
      <c r="CZ40" s="970">
        <v>0</v>
      </c>
      <c r="DA40" s="970">
        <v>0</v>
      </c>
      <c r="DB40" s="970">
        <v>19.311529411764706</v>
      </c>
      <c r="DC40" s="970">
        <v>5.9820991652361561</v>
      </c>
      <c r="DD40" s="970">
        <v>0</v>
      </c>
      <c r="DE40" s="970">
        <v>0</v>
      </c>
      <c r="DF40" s="970">
        <v>39.804176470588239</v>
      </c>
      <c r="DG40" s="971">
        <v>12.686267764868548</v>
      </c>
      <c r="DH40" s="969">
        <v>0</v>
      </c>
      <c r="DI40" s="970">
        <v>0</v>
      </c>
      <c r="DJ40" s="970">
        <v>21.030205882352941</v>
      </c>
      <c r="DK40" s="970">
        <v>10.708361261359956</v>
      </c>
      <c r="DL40" s="970">
        <v>0</v>
      </c>
      <c r="DM40" s="970">
        <v>0</v>
      </c>
      <c r="DN40" s="970">
        <v>17.389529411764709</v>
      </c>
      <c r="DO40" s="970">
        <v>5.891174361675735</v>
      </c>
      <c r="DP40" s="970">
        <v>0</v>
      </c>
      <c r="DQ40" s="970">
        <v>0</v>
      </c>
      <c r="DR40" s="970">
        <v>36.024176470588237</v>
      </c>
      <c r="DS40" s="971">
        <v>11.825571775432255</v>
      </c>
      <c r="DT40" s="969">
        <v>0</v>
      </c>
      <c r="DU40" s="970">
        <v>0</v>
      </c>
      <c r="DV40" s="970">
        <v>22.038294117647066</v>
      </c>
      <c r="DW40" s="970">
        <v>24.719594324886394</v>
      </c>
      <c r="DX40" s="970">
        <v>0</v>
      </c>
      <c r="DY40" s="970">
        <v>0</v>
      </c>
      <c r="DZ40" s="970">
        <v>18.237470588235297</v>
      </c>
      <c r="EA40" s="970">
        <v>17.735738126645362</v>
      </c>
      <c r="EB40" s="970">
        <v>0</v>
      </c>
      <c r="EC40" s="970">
        <v>0</v>
      </c>
      <c r="ED40" s="970">
        <v>37.691823529411764</v>
      </c>
      <c r="EE40" s="971">
        <v>29.109073310669263</v>
      </c>
      <c r="EF40" s="969">
        <v>0</v>
      </c>
      <c r="EG40" s="970">
        <v>0</v>
      </c>
      <c r="EH40" s="970">
        <v>17.333882352941178</v>
      </c>
      <c r="EI40" s="970">
        <v>14.586451922852307</v>
      </c>
      <c r="EJ40" s="970">
        <v>0</v>
      </c>
      <c r="EK40" s="970">
        <v>0</v>
      </c>
      <c r="EL40" s="970">
        <v>14.280411764705883</v>
      </c>
      <c r="EM40" s="970">
        <v>9.836130990607014</v>
      </c>
      <c r="EN40" s="970">
        <v>0</v>
      </c>
      <c r="EO40" s="970">
        <v>0</v>
      </c>
      <c r="EP40" s="970">
        <v>29.909470588235294</v>
      </c>
      <c r="EQ40" s="971">
        <v>16.852546277899716</v>
      </c>
      <c r="ER40" s="969">
        <v>0</v>
      </c>
      <c r="ES40" s="970">
        <v>0</v>
      </c>
      <c r="ET40" s="970">
        <v>20.022117647058824</v>
      </c>
      <c r="EU40" s="970">
        <v>30.468233731000357</v>
      </c>
      <c r="EV40" s="970">
        <v>0</v>
      </c>
      <c r="EW40" s="970">
        <v>0</v>
      </c>
      <c r="EX40" s="970">
        <v>16.541588235294121</v>
      </c>
      <c r="EY40" s="970">
        <v>22.694609389338055</v>
      </c>
      <c r="EZ40" s="970">
        <v>0</v>
      </c>
      <c r="FA40" s="970">
        <v>0</v>
      </c>
      <c r="FB40" s="970">
        <v>34.356529411764711</v>
      </c>
      <c r="FC40" s="971">
        <v>36.201653334449617</v>
      </c>
      <c r="FD40" s="969">
        <v>0</v>
      </c>
      <c r="FE40" s="970">
        <v>0</v>
      </c>
      <c r="FF40" s="970">
        <v>24.860941176470593</v>
      </c>
      <c r="FG40" s="970">
        <v>14.797793722830173</v>
      </c>
      <c r="FH40" s="970">
        <v>0</v>
      </c>
      <c r="FI40" s="970">
        <v>0</v>
      </c>
      <c r="FJ40" s="970">
        <v>20.61170588235294</v>
      </c>
      <c r="FK40" s="970">
        <v>8.9605394122076056</v>
      </c>
      <c r="FL40" s="970">
        <v>0</v>
      </c>
      <c r="FM40" s="970">
        <v>0</v>
      </c>
      <c r="FN40" s="970">
        <v>42.361235294117648</v>
      </c>
      <c r="FO40" s="971">
        <v>16.800988948778802</v>
      </c>
      <c r="FP40" s="969">
        <v>0</v>
      </c>
      <c r="FQ40" s="970">
        <v>0</v>
      </c>
      <c r="FR40" s="970">
        <v>19.215647058823532</v>
      </c>
      <c r="FS40" s="970">
        <v>21.539885817573865</v>
      </c>
      <c r="FT40" s="970">
        <v>0</v>
      </c>
      <c r="FU40" s="970">
        <v>0</v>
      </c>
      <c r="FV40" s="970">
        <v>15.863235294117649</v>
      </c>
      <c r="FW40" s="970">
        <v>15.869053113673768</v>
      </c>
      <c r="FX40" s="970">
        <v>0</v>
      </c>
      <c r="FY40" s="970">
        <v>0</v>
      </c>
      <c r="FZ40" s="970">
        <v>33.022411764705886</v>
      </c>
      <c r="GA40" s="971">
        <v>25.573325493318265</v>
      </c>
      <c r="GB40" s="969">
        <v>0</v>
      </c>
      <c r="GC40" s="970">
        <v>0</v>
      </c>
      <c r="GD40" s="970">
        <v>19.215647058823532</v>
      </c>
      <c r="GE40" s="970">
        <v>20.07935551199288</v>
      </c>
      <c r="GF40" s="970">
        <v>0</v>
      </c>
      <c r="GG40" s="970">
        <v>0</v>
      </c>
      <c r="GH40" s="970">
        <v>15.863235294117649</v>
      </c>
      <c r="GI40" s="970">
        <v>14.148933480042363</v>
      </c>
      <c r="GJ40" s="970">
        <v>0</v>
      </c>
      <c r="GK40" s="970">
        <v>0</v>
      </c>
      <c r="GL40" s="970">
        <v>33.022411764705886</v>
      </c>
      <c r="GM40" s="971">
        <v>23.556850054019474</v>
      </c>
      <c r="GN40" s="969">
        <v>0</v>
      </c>
      <c r="GO40" s="970">
        <v>0</v>
      </c>
      <c r="GP40" s="970">
        <v>20.895794117647064</v>
      </c>
      <c r="GQ40" s="970">
        <v>13.991305497521886</v>
      </c>
      <c r="GR40" s="970">
        <v>0</v>
      </c>
      <c r="GS40" s="970">
        <v>0</v>
      </c>
      <c r="GT40" s="970">
        <v>17.276470588235295</v>
      </c>
      <c r="GU40" s="970">
        <v>8.5894860149652406</v>
      </c>
      <c r="GV40" s="970">
        <v>0</v>
      </c>
      <c r="GW40" s="970">
        <v>0</v>
      </c>
      <c r="GX40" s="970">
        <v>35.801823529411763</v>
      </c>
      <c r="GY40" s="971">
        <v>15.831307815279558</v>
      </c>
      <c r="GZ40" s="969">
        <v>0</v>
      </c>
      <c r="HA40" s="970">
        <v>0</v>
      </c>
      <c r="HB40" s="970">
        <v>20.963000000000005</v>
      </c>
      <c r="HC40" s="970">
        <v>20.913805484126556</v>
      </c>
      <c r="HD40" s="970">
        <v>0</v>
      </c>
      <c r="HE40" s="970">
        <v>0</v>
      </c>
      <c r="HF40" s="970">
        <v>17.333000000000002</v>
      </c>
      <c r="HG40" s="970">
        <v>14.37534669946314</v>
      </c>
      <c r="HH40" s="970">
        <v>0</v>
      </c>
      <c r="HI40" s="970">
        <v>0</v>
      </c>
      <c r="HJ40" s="970">
        <v>35.912999999999997</v>
      </c>
      <c r="HK40" s="971">
        <v>24.362275494012767</v>
      </c>
      <c r="HL40" s="969">
        <v>0</v>
      </c>
      <c r="HM40" s="970">
        <v>0</v>
      </c>
      <c r="HN40" s="970">
        <v>15.384911764705885</v>
      </c>
      <c r="HO40" s="970">
        <v>7.9067988648827665</v>
      </c>
      <c r="HP40" s="970">
        <v>0</v>
      </c>
      <c r="HQ40" s="970">
        <v>0</v>
      </c>
      <c r="HR40" s="970">
        <v>12.641058823529415</v>
      </c>
      <c r="HS40" s="970">
        <v>4.3311075941679498</v>
      </c>
      <c r="HT40" s="970">
        <v>0</v>
      </c>
      <c r="HU40" s="970">
        <v>0</v>
      </c>
      <c r="HV40" s="970">
        <v>26.685352941176475</v>
      </c>
      <c r="HW40" s="971">
        <v>8.1382459617091456</v>
      </c>
      <c r="HX40" s="969">
        <v>0</v>
      </c>
      <c r="HY40" s="970">
        <v>0</v>
      </c>
      <c r="HZ40" s="970">
        <v>15.048882352941179</v>
      </c>
      <c r="IA40" s="970">
        <v>6.5280376896402803</v>
      </c>
      <c r="IB40" s="970">
        <v>0</v>
      </c>
      <c r="IC40" s="970">
        <v>0</v>
      </c>
      <c r="ID40" s="970">
        <v>12.358411764705885</v>
      </c>
      <c r="IE40" s="970">
        <v>3.2557757442887687</v>
      </c>
      <c r="IF40" s="970">
        <v>0</v>
      </c>
      <c r="IG40" s="970">
        <v>0</v>
      </c>
      <c r="IH40" s="970">
        <v>26.1294705882353</v>
      </c>
      <c r="II40" s="971">
        <v>6.184154482552449</v>
      </c>
      <c r="IJ40" s="969">
        <v>0</v>
      </c>
      <c r="IK40" s="970">
        <v>0</v>
      </c>
      <c r="IL40" s="970">
        <v>18.812411764705885</v>
      </c>
      <c r="IM40" s="970">
        <v>20.823420435024715</v>
      </c>
      <c r="IN40" s="970">
        <v>0</v>
      </c>
      <c r="IO40" s="970">
        <v>0</v>
      </c>
      <c r="IP40" s="970">
        <v>15.524058823529412</v>
      </c>
      <c r="IQ40" s="970">
        <v>15.255952573839547</v>
      </c>
      <c r="IR40" s="970">
        <v>0</v>
      </c>
      <c r="IS40" s="970">
        <v>0</v>
      </c>
      <c r="IT40" s="970">
        <v>32.35535294117647</v>
      </c>
      <c r="IU40" s="971">
        <v>24.67276672568611</v>
      </c>
      <c r="IV40" s="969">
        <v>0</v>
      </c>
      <c r="IW40" s="970">
        <v>0</v>
      </c>
      <c r="IX40" s="970">
        <v>16.527411764705885</v>
      </c>
      <c r="IY40" s="970">
        <v>10.862571111379419</v>
      </c>
      <c r="IZ40" s="970">
        <v>0</v>
      </c>
      <c r="JA40" s="970">
        <v>0</v>
      </c>
      <c r="JB40" s="970">
        <v>13.602058823529413</v>
      </c>
      <c r="JC40" s="970">
        <v>6.6158943471364804</v>
      </c>
      <c r="JD40" s="970">
        <v>0</v>
      </c>
      <c r="JE40" s="970">
        <v>0</v>
      </c>
      <c r="JF40" s="970">
        <v>28.575352941176476</v>
      </c>
      <c r="JG40" s="971">
        <v>11.7927083917497</v>
      </c>
      <c r="JH40" s="969">
        <v>0</v>
      </c>
      <c r="JI40" s="970">
        <v>0</v>
      </c>
      <c r="JJ40" s="970">
        <v>20.963000000000005</v>
      </c>
      <c r="JK40" s="970">
        <v>7.7038329459276742</v>
      </c>
      <c r="JL40" s="970">
        <v>0</v>
      </c>
      <c r="JM40" s="970">
        <v>0</v>
      </c>
      <c r="JN40" s="970">
        <v>17.333000000000002</v>
      </c>
      <c r="JO40" s="970">
        <v>3.461384228989838</v>
      </c>
      <c r="JP40" s="970">
        <v>0</v>
      </c>
      <c r="JQ40" s="970">
        <v>0</v>
      </c>
      <c r="JR40" s="970">
        <v>35.912999999999997</v>
      </c>
      <c r="JS40" s="971">
        <v>8.1254264772343632</v>
      </c>
      <c r="JT40" s="969">
        <v>0</v>
      </c>
      <c r="JU40" s="970">
        <v>0</v>
      </c>
      <c r="JV40" s="970">
        <v>18.14035294117647</v>
      </c>
      <c r="JW40" s="970">
        <v>19.394629589987186</v>
      </c>
      <c r="JX40" s="970">
        <v>0</v>
      </c>
      <c r="JY40" s="970">
        <v>0</v>
      </c>
      <c r="JZ40" s="970">
        <v>14.958764705882354</v>
      </c>
      <c r="KA40" s="970">
        <v>14.155906347450333</v>
      </c>
      <c r="KB40" s="970">
        <v>0</v>
      </c>
      <c r="KC40" s="970">
        <v>0</v>
      </c>
      <c r="KD40" s="970">
        <v>31.243588235294119</v>
      </c>
      <c r="KE40" s="971">
        <v>22.953503611303454</v>
      </c>
      <c r="KF40" s="969">
        <v>0</v>
      </c>
      <c r="KG40" s="970">
        <v>0</v>
      </c>
      <c r="KH40" s="970">
        <v>19.01402941176471</v>
      </c>
      <c r="KI40" s="970">
        <v>18.524091482418072</v>
      </c>
      <c r="KJ40" s="970">
        <v>0</v>
      </c>
      <c r="KK40" s="970">
        <v>0</v>
      </c>
      <c r="KL40" s="970">
        <v>15.693647058823531</v>
      </c>
      <c r="KM40" s="970">
        <v>13.062612771109514</v>
      </c>
      <c r="KN40" s="970">
        <v>0</v>
      </c>
      <c r="KO40" s="970">
        <v>0</v>
      </c>
      <c r="KP40" s="970">
        <v>32.688882352941178</v>
      </c>
      <c r="KQ40" s="971">
        <v>21.746975700619448</v>
      </c>
      <c r="KR40" s="969">
        <v>0</v>
      </c>
      <c r="KS40" s="970">
        <v>0</v>
      </c>
      <c r="KT40" s="970">
        <v>19.350058823529412</v>
      </c>
      <c r="KU40" s="970">
        <v>26.323089970403554</v>
      </c>
      <c r="KV40" s="970">
        <v>0</v>
      </c>
      <c r="KW40" s="970">
        <v>0</v>
      </c>
      <c r="KX40" s="970">
        <v>15.976294117647059</v>
      </c>
      <c r="KY40" s="970">
        <v>19.622820582882106</v>
      </c>
      <c r="KZ40" s="970">
        <v>0</v>
      </c>
      <c r="LA40" s="970">
        <v>0</v>
      </c>
      <c r="LB40" s="970">
        <v>33.244764705882353</v>
      </c>
      <c r="LC40" s="971">
        <v>31.304236610370069</v>
      </c>
      <c r="LD40" s="969">
        <v>0</v>
      </c>
      <c r="LE40" s="970">
        <v>0</v>
      </c>
      <c r="LF40" s="970">
        <v>17.401088235294122</v>
      </c>
      <c r="LG40" s="970">
        <v>13.263967628502643</v>
      </c>
      <c r="LH40" s="970">
        <v>0</v>
      </c>
      <c r="LI40" s="970">
        <v>0</v>
      </c>
      <c r="LJ40" s="970">
        <v>14.336941176470591</v>
      </c>
      <c r="LK40" s="970">
        <v>8.6934381008699102</v>
      </c>
      <c r="LL40" s="970">
        <v>0</v>
      </c>
      <c r="LM40" s="970">
        <v>0</v>
      </c>
      <c r="LN40" s="970">
        <v>30.020647058823535</v>
      </c>
      <c r="LO40" s="971">
        <v>15.189452811149703</v>
      </c>
      <c r="LP40" s="969">
        <v>0</v>
      </c>
      <c r="LQ40" s="970">
        <v>0</v>
      </c>
      <c r="LR40" s="970">
        <v>19.753294117647059</v>
      </c>
      <c r="LS40" s="970">
        <v>17.318575169248611</v>
      </c>
      <c r="LT40" s="970">
        <v>0</v>
      </c>
      <c r="LU40" s="970">
        <v>0</v>
      </c>
      <c r="LV40" s="970">
        <v>16.315470588235296</v>
      </c>
      <c r="LW40" s="970">
        <v>11.192301483938513</v>
      </c>
      <c r="LX40" s="970">
        <v>0</v>
      </c>
      <c r="LY40" s="970">
        <v>0</v>
      </c>
      <c r="LZ40" s="970">
        <v>33.911823529411762</v>
      </c>
      <c r="MA40" s="971">
        <v>19.774402169819922</v>
      </c>
      <c r="MB40" s="969">
        <v>0</v>
      </c>
      <c r="MC40" s="970">
        <v>0</v>
      </c>
      <c r="MD40" s="970">
        <v>19.954911764705884</v>
      </c>
      <c r="ME40" s="970">
        <v>20.570585352382675</v>
      </c>
      <c r="MF40" s="970">
        <v>0</v>
      </c>
      <c r="MG40" s="970">
        <v>0</v>
      </c>
      <c r="MH40" s="970">
        <v>16.485058823529414</v>
      </c>
      <c r="MI40" s="970">
        <v>14.931934082953155</v>
      </c>
      <c r="MJ40" s="970">
        <v>0</v>
      </c>
      <c r="MK40" s="970">
        <v>0</v>
      </c>
      <c r="ML40" s="970">
        <v>34.245352941176478</v>
      </c>
      <c r="MM40" s="971">
        <v>24.326845175902928</v>
      </c>
      <c r="MN40" s="969">
        <v>0</v>
      </c>
      <c r="MO40" s="970">
        <v>0</v>
      </c>
      <c r="MP40" s="970">
        <v>26.339470588235301</v>
      </c>
      <c r="MQ40" s="970">
        <v>12.860338659554403</v>
      </c>
      <c r="MR40" s="970">
        <v>0</v>
      </c>
      <c r="MS40" s="970">
        <v>0</v>
      </c>
      <c r="MT40" s="970">
        <v>21.85535294117647</v>
      </c>
      <c r="MU40" s="970">
        <v>6.4097521109064441</v>
      </c>
      <c r="MV40" s="970">
        <v>0</v>
      </c>
      <c r="MW40" s="970">
        <v>0</v>
      </c>
      <c r="MX40" s="970">
        <v>44.807117647058824</v>
      </c>
      <c r="MY40" s="971">
        <v>14.030062971075976</v>
      </c>
      <c r="MZ40" s="969">
        <v>0</v>
      </c>
      <c r="NA40" s="970">
        <v>0</v>
      </c>
      <c r="NB40" s="970">
        <v>21.836676470588237</v>
      </c>
      <c r="NC40" s="970">
        <v>19.121612599882539</v>
      </c>
      <c r="ND40" s="970">
        <v>0</v>
      </c>
      <c r="NE40" s="970">
        <v>0</v>
      </c>
      <c r="NF40" s="970">
        <v>18.067882352941179</v>
      </c>
      <c r="NG40" s="970">
        <v>12.005841052112112</v>
      </c>
      <c r="NH40" s="970">
        <v>0</v>
      </c>
      <c r="NI40" s="970">
        <v>0</v>
      </c>
      <c r="NJ40" s="970">
        <v>37.358294117647056</v>
      </c>
      <c r="NK40" s="971">
        <v>21.790316416631097</v>
      </c>
      <c r="NL40" s="969">
        <v>0</v>
      </c>
      <c r="NM40" s="970">
        <v>0</v>
      </c>
      <c r="NN40" s="970">
        <v>20.76138235294118</v>
      </c>
      <c r="NO40" s="970">
        <v>18.107889758296253</v>
      </c>
      <c r="NP40" s="970">
        <v>0</v>
      </c>
      <c r="NQ40" s="970">
        <v>0</v>
      </c>
      <c r="NR40" s="970">
        <v>17.163411764705884</v>
      </c>
      <c r="NS40" s="970">
        <v>12.502618426505508</v>
      </c>
      <c r="NT40" s="970">
        <v>0</v>
      </c>
      <c r="NU40" s="970">
        <v>0</v>
      </c>
      <c r="NV40" s="970">
        <v>35.579470588235296</v>
      </c>
      <c r="NW40" s="971">
        <v>21.11970083946775</v>
      </c>
      <c r="NX40" s="969">
        <v>0</v>
      </c>
      <c r="NY40" s="970">
        <v>0</v>
      </c>
      <c r="NZ40" s="970">
        <v>19.551676470588237</v>
      </c>
      <c r="OA40" s="970">
        <v>22.686592696846013</v>
      </c>
      <c r="OB40" s="970">
        <v>0</v>
      </c>
      <c r="OC40" s="970">
        <v>0</v>
      </c>
      <c r="OD40" s="970">
        <v>16.145882352941179</v>
      </c>
      <c r="OE40" s="970">
        <v>16.83024694350031</v>
      </c>
      <c r="OF40" s="970">
        <v>0</v>
      </c>
      <c r="OG40" s="970">
        <v>0</v>
      </c>
      <c r="OH40" s="970">
        <v>33.578294117647062</v>
      </c>
      <c r="OI40" s="971">
        <v>26.95257755532143</v>
      </c>
      <c r="OJ40" s="969">
        <v>0</v>
      </c>
      <c r="OK40" s="970">
        <v>0</v>
      </c>
      <c r="OL40" s="970">
        <v>22.575941176470593</v>
      </c>
      <c r="OM40" s="970">
        <v>14.258447546387687</v>
      </c>
      <c r="ON40" s="970">
        <v>0</v>
      </c>
      <c r="OO40" s="970">
        <v>0</v>
      </c>
      <c r="OP40" s="970">
        <v>18.689705882352939</v>
      </c>
      <c r="OQ40" s="970">
        <v>8.7184563772055075</v>
      </c>
      <c r="OR40" s="970">
        <v>0</v>
      </c>
      <c r="OS40" s="970">
        <v>0</v>
      </c>
      <c r="OT40" s="970">
        <v>38.581235294117647</v>
      </c>
      <c r="OU40" s="971">
        <v>16.239963464310332</v>
      </c>
      <c r="OV40" s="969">
        <v>0</v>
      </c>
      <c r="OW40" s="970">
        <v>0</v>
      </c>
      <c r="OX40" s="970">
        <v>18.54358823529412</v>
      </c>
      <c r="OY40" s="970">
        <v>13.343205715000259</v>
      </c>
      <c r="OZ40" s="970">
        <v>0</v>
      </c>
      <c r="PA40" s="970">
        <v>0</v>
      </c>
      <c r="PB40" s="970">
        <v>15.297941176470589</v>
      </c>
      <c r="PC40" s="970">
        <v>8.5922664745966539</v>
      </c>
      <c r="PD40" s="970">
        <v>0</v>
      </c>
      <c r="PE40" s="970">
        <v>0</v>
      </c>
      <c r="PF40" s="970">
        <v>31.910647058823532</v>
      </c>
      <c r="PG40" s="971">
        <v>15.260102971351317</v>
      </c>
      <c r="PH40" s="969">
        <v>0</v>
      </c>
      <c r="PI40" s="970">
        <v>0</v>
      </c>
      <c r="PJ40" s="970">
        <v>25.398588235294124</v>
      </c>
      <c r="PK40" s="970">
        <v>16.865909999519666</v>
      </c>
      <c r="PL40" s="970">
        <v>0</v>
      </c>
      <c r="PM40" s="970">
        <v>0</v>
      </c>
      <c r="PN40" s="970">
        <v>21.063941176470589</v>
      </c>
      <c r="PO40" s="970">
        <v>10.233539502072762</v>
      </c>
      <c r="PP40" s="970">
        <v>0</v>
      </c>
      <c r="PQ40" s="970">
        <v>0</v>
      </c>
      <c r="PR40" s="970">
        <v>43.250647058823532</v>
      </c>
      <c r="PS40" s="971">
        <v>19.148381213031104</v>
      </c>
      <c r="PT40" s="969">
        <v>0</v>
      </c>
      <c r="PU40" s="970">
        <v>0</v>
      </c>
      <c r="PV40" s="970">
        <v>19.753294117647059</v>
      </c>
      <c r="PW40" s="970">
        <v>16.29774511055636</v>
      </c>
      <c r="PX40" s="970">
        <v>0</v>
      </c>
      <c r="PY40" s="970">
        <v>0</v>
      </c>
      <c r="PZ40" s="970">
        <v>16.315470588235296</v>
      </c>
      <c r="QA40" s="970">
        <v>11.167368138324431</v>
      </c>
      <c r="QB40" s="970">
        <v>0</v>
      </c>
      <c r="QC40" s="970">
        <v>0</v>
      </c>
      <c r="QD40" s="970">
        <v>33.911823529411762</v>
      </c>
      <c r="QE40" s="971">
        <v>18.935743379732813</v>
      </c>
      <c r="QF40" s="969">
        <v>0</v>
      </c>
      <c r="QG40" s="970">
        <v>0</v>
      </c>
      <c r="QH40" s="970">
        <v>19.417264705882356</v>
      </c>
      <c r="QI40" s="970">
        <v>20.729186583951854</v>
      </c>
      <c r="QJ40" s="970">
        <v>0</v>
      </c>
      <c r="QK40" s="970">
        <v>0</v>
      </c>
      <c r="QL40" s="970">
        <v>16.032823529411768</v>
      </c>
      <c r="QM40" s="970">
        <v>15.054588307269475</v>
      </c>
      <c r="QN40" s="970">
        <v>0</v>
      </c>
      <c r="QO40" s="970">
        <v>0</v>
      </c>
      <c r="QP40" s="970">
        <v>33.355941176470594</v>
      </c>
      <c r="QQ40" s="971">
        <v>24.534509888038134</v>
      </c>
      <c r="QR40" s="969">
        <v>0</v>
      </c>
      <c r="QS40" s="970">
        <v>0</v>
      </c>
      <c r="QT40" s="970">
        <v>21.971088235294125</v>
      </c>
      <c r="QU40" s="970">
        <v>12.196718076887406</v>
      </c>
      <c r="QV40" s="970">
        <v>0</v>
      </c>
      <c r="QW40" s="970">
        <v>0</v>
      </c>
      <c r="QX40" s="970">
        <v>18.18094117647059</v>
      </c>
      <c r="QY40" s="970">
        <v>6.395562614750494</v>
      </c>
      <c r="QZ40" s="970">
        <v>0</v>
      </c>
      <c r="RA40" s="970">
        <v>0</v>
      </c>
      <c r="RB40" s="970">
        <v>37.58064705882353</v>
      </c>
      <c r="RC40" s="971">
        <v>13.314942522197839</v>
      </c>
      <c r="RD40" s="969">
        <v>0</v>
      </c>
      <c r="RE40" s="970">
        <v>0</v>
      </c>
      <c r="RF40" s="970">
        <v>19.686088235294118</v>
      </c>
      <c r="RG40" s="970">
        <v>18.390667195422782</v>
      </c>
      <c r="RH40" s="970">
        <v>0</v>
      </c>
      <c r="RI40" s="970">
        <v>0</v>
      </c>
      <c r="RJ40" s="970">
        <v>16.258941176470589</v>
      </c>
      <c r="RK40" s="970">
        <v>12.903897791157066</v>
      </c>
      <c r="RL40" s="970">
        <v>0</v>
      </c>
      <c r="RM40" s="970">
        <v>0</v>
      </c>
      <c r="RN40" s="970">
        <v>33.800647058823529</v>
      </c>
      <c r="RO40" s="971">
        <v>21.553308133571079</v>
      </c>
      <c r="RP40" s="969">
        <v>0</v>
      </c>
      <c r="RQ40" s="970">
        <v>0</v>
      </c>
      <c r="RR40" s="970">
        <v>19.551676470588237</v>
      </c>
      <c r="RS40" s="970">
        <v>17.681625271928997</v>
      </c>
      <c r="RT40" s="970">
        <v>0</v>
      </c>
      <c r="RU40" s="970">
        <v>0</v>
      </c>
      <c r="RV40" s="970">
        <v>16.145882352941179</v>
      </c>
      <c r="RW40" s="970">
        <v>12.279819926368052</v>
      </c>
      <c r="RX40" s="970">
        <v>0</v>
      </c>
      <c r="RY40" s="970">
        <v>0</v>
      </c>
      <c r="RZ40" s="970">
        <v>33.578294117647062</v>
      </c>
      <c r="SA40" s="971">
        <v>20.66006602052056</v>
      </c>
    </row>
    <row r="41" spans="1:495">
      <c r="A41" s="966">
        <f>[3]Eingabedaten!A43</f>
        <v>12.02</v>
      </c>
      <c r="B41" s="169" t="str">
        <f>[3]Eingabedaten!C43</f>
        <v>Verkehrsfläche 24 h</v>
      </c>
      <c r="C41" s="987">
        <f t="shared" si="1"/>
        <v>35</v>
      </c>
      <c r="D41" s="954" cm="1">
        <f t="array" ref="D41">INDEX($P$7:$SA$51,$C41,$G$3-1+D$2)</f>
        <v>41.831227058823536</v>
      </c>
      <c r="E41" s="955" cm="1">
        <f t="array" ref="E41">INDEX($P$7:$SA$51,$C41,$G$3-1+E$2)</f>
        <v>7.8931048002870812</v>
      </c>
      <c r="F41" s="955" cm="1">
        <f t="array" ref="F41">INDEX($P$7:$SA$51,$C41,$G$3-1+F$2)</f>
        <v>19.551676470588237</v>
      </c>
      <c r="G41" s="955" cm="1">
        <f t="array" ref="G41">INDEX($P$7:$SA$51,$C41,$G$3-1+G$2)</f>
        <v>14.006695748053533</v>
      </c>
      <c r="H41" s="955" cm="1">
        <f t="array" ref="H41">INDEX($P$7:$SA$51,$C41,$G$3-1+H$2)</f>
        <v>30.28495785411765</v>
      </c>
      <c r="I41" s="955" cm="1">
        <f t="array" ref="I41">INDEX($P$7:$SA$51,$C41,$G$3-1+I$2)</f>
        <v>2.2200684682971303</v>
      </c>
      <c r="J41" s="955" cm="1">
        <f t="array" ref="J41">INDEX($P$7:$SA$51,$C41,$G$3-1+J$2)</f>
        <v>16.145882352941179</v>
      </c>
      <c r="K41" s="955" cm="1">
        <f t="array" ref="K41">INDEX($P$7:$SA$51,$C41,$G$3-1+K$2)</f>
        <v>11.647262414573472</v>
      </c>
      <c r="L41" s="955" cm="1">
        <f t="array" ref="L41">INDEX($P$7:$SA$51,$C41,$G$3-1+L$2)</f>
        <v>59.143411764705888</v>
      </c>
      <c r="M41" s="955" cm="1">
        <f t="array" ref="M41">INDEX($P$7:$SA$51,$C41,$G$3-1+M$2)</f>
        <v>7.9744367502117166</v>
      </c>
      <c r="N41" s="955" cm="1">
        <f t="array" ref="N41">INDEX($P$7:$SA$51,$C41,$G$3-1+N$2)</f>
        <v>33.578294117647062</v>
      </c>
      <c r="O41" s="956" cm="1">
        <f t="array" ref="O41">INDEX($P$7:$SA$51,$C41,$G$3-1+O$2)</f>
        <v>19.958937658470898</v>
      </c>
      <c r="P41" s="969">
        <v>31.648400000000006</v>
      </c>
      <c r="Q41" s="970">
        <v>0</v>
      </c>
      <c r="R41" s="970">
        <v>21.366235294117647</v>
      </c>
      <c r="S41" s="970">
        <v>8.1564012509705854</v>
      </c>
      <c r="T41" s="970">
        <v>28.492858352941177</v>
      </c>
      <c r="U41" s="970">
        <v>0</v>
      </c>
      <c r="V41" s="970">
        <v>17.672176470588237</v>
      </c>
      <c r="W41" s="970">
        <v>5.603576851643508</v>
      </c>
      <c r="X41" s="970">
        <v>0</v>
      </c>
      <c r="Y41" s="970">
        <v>0</v>
      </c>
      <c r="Z41" s="970">
        <v>36.580058823529413</v>
      </c>
      <c r="AA41" s="971">
        <v>11.833594591661871</v>
      </c>
      <c r="AB41" s="969">
        <v>45.452562352941193</v>
      </c>
      <c r="AC41" s="970">
        <v>6.5655843669370579</v>
      </c>
      <c r="AD41" s="970">
        <v>18.207558823529414</v>
      </c>
      <c r="AE41" s="970">
        <v>14.100309686261248</v>
      </c>
      <c r="AF41" s="970">
        <v>32.905991171764711</v>
      </c>
      <c r="AG41" s="970">
        <v>1.5147068378643254</v>
      </c>
      <c r="AH41" s="970">
        <v>15.015294117647061</v>
      </c>
      <c r="AI41" s="970">
        <v>11.920667427264378</v>
      </c>
      <c r="AJ41" s="970">
        <v>64.264588235294127</v>
      </c>
      <c r="AK41" s="970">
        <v>6.0775938194526518</v>
      </c>
      <c r="AL41" s="970">
        <v>31.354764705882353</v>
      </c>
      <c r="AM41" s="971">
        <v>20.219324309714555</v>
      </c>
      <c r="AN41" s="969">
        <v>36.078988235294126</v>
      </c>
      <c r="AO41" s="970">
        <v>3.2774824770237658</v>
      </c>
      <c r="AP41" s="970">
        <v>18.274764705882355</v>
      </c>
      <c r="AQ41" s="970">
        <v>18.873971114667693</v>
      </c>
      <c r="AR41" s="970">
        <v>34.073878211764715</v>
      </c>
      <c r="AS41" s="970">
        <v>2.1314365463455727E-2</v>
      </c>
      <c r="AT41" s="970">
        <v>15.071823529411766</v>
      </c>
      <c r="AU41" s="970">
        <v>16.562917478846536</v>
      </c>
      <c r="AV41" s="970">
        <v>50.811176470588244</v>
      </c>
      <c r="AW41" s="970">
        <v>1.6783210068420364</v>
      </c>
      <c r="AX41" s="970">
        <v>31.465941176470594</v>
      </c>
      <c r="AY41" s="971">
        <v>26.63315248533646</v>
      </c>
      <c r="AZ41" s="969">
        <v>48.52147764705883</v>
      </c>
      <c r="BA41" s="970">
        <v>10.821160798065646</v>
      </c>
      <c r="BB41" s="970">
        <v>18.879617647058826</v>
      </c>
      <c r="BC41" s="970">
        <v>11.662443356762665</v>
      </c>
      <c r="BD41" s="970">
        <v>35.194296225882361</v>
      </c>
      <c r="BE41" s="970">
        <v>4.1392066928837545</v>
      </c>
      <c r="BF41" s="970">
        <v>15.580588235294121</v>
      </c>
      <c r="BG41" s="970">
        <v>9.7347368896786808</v>
      </c>
      <c r="BH41" s="970">
        <v>68.502705882352956</v>
      </c>
      <c r="BI41" s="970">
        <v>11.31931882396419</v>
      </c>
      <c r="BJ41" s="970">
        <v>32.466529411764711</v>
      </c>
      <c r="BK41" s="971">
        <v>17.002754784635492</v>
      </c>
      <c r="BL41" s="969">
        <v>42.266657647058835</v>
      </c>
      <c r="BM41" s="970">
        <v>7.8765079502717894</v>
      </c>
      <c r="BN41" s="970">
        <v>19.484470588235293</v>
      </c>
      <c r="BO41" s="970">
        <v>13.680096209116597</v>
      </c>
      <c r="BP41" s="970">
        <v>30.650964103529422</v>
      </c>
      <c r="BQ41" s="970">
        <v>2.2910457371448341</v>
      </c>
      <c r="BR41" s="970">
        <v>16.089352941176472</v>
      </c>
      <c r="BS41" s="970">
        <v>11.191762395256006</v>
      </c>
      <c r="BT41" s="970">
        <v>59.682000000000023</v>
      </c>
      <c r="BU41" s="970">
        <v>8.13588711353162</v>
      </c>
      <c r="BV41" s="970">
        <v>33.467117647058828</v>
      </c>
      <c r="BW41" s="971">
        <v>19.474686254663471</v>
      </c>
      <c r="BX41" s="969">
        <v>38.990414117647077</v>
      </c>
      <c r="BY41" s="970">
        <v>7.8669830814435686</v>
      </c>
      <c r="BZ41" s="970">
        <v>19.282852941176476</v>
      </c>
      <c r="CA41" s="970">
        <v>17.99707320131327</v>
      </c>
      <c r="CB41" s="970">
        <v>31.633622607058832</v>
      </c>
      <c r="CC41" s="970">
        <v>2.2184888445012669</v>
      </c>
      <c r="CD41" s="970">
        <v>15.919764705882356</v>
      </c>
      <c r="CE41" s="970">
        <v>15.566753407449777</v>
      </c>
      <c r="CF41" s="970">
        <v>54.907764705882371</v>
      </c>
      <c r="CG41" s="970">
        <v>7.6931370570438435</v>
      </c>
      <c r="CH41" s="970">
        <v>33.13358823529412</v>
      </c>
      <c r="CI41" s="971">
        <v>25.292244043548916</v>
      </c>
      <c r="CJ41" s="969">
        <v>38.003738823529417</v>
      </c>
      <c r="CK41" s="970">
        <v>4.9669163664174789</v>
      </c>
      <c r="CL41" s="970">
        <v>19.350058823529412</v>
      </c>
      <c r="CM41" s="970">
        <v>9.9382464995618491</v>
      </c>
      <c r="CN41" s="970">
        <v>29.95821240470589</v>
      </c>
      <c r="CO41" s="970">
        <v>0.64868767611949507</v>
      </c>
      <c r="CP41" s="970">
        <v>15.976294117647059</v>
      </c>
      <c r="CQ41" s="970">
        <v>7.8967543553181105</v>
      </c>
      <c r="CR41" s="970">
        <v>53.623411764705892</v>
      </c>
      <c r="CS41" s="970">
        <v>3.9335477358018314</v>
      </c>
      <c r="CT41" s="970">
        <v>33.244764705882353</v>
      </c>
      <c r="CU41" s="971">
        <v>14.463760512867756</v>
      </c>
      <c r="CV41" s="969">
        <v>33.627752941176482</v>
      </c>
      <c r="CW41" s="970">
        <v>0</v>
      </c>
      <c r="CX41" s="970">
        <v>23.315205882352949</v>
      </c>
      <c r="CY41" s="970">
        <v>8.6875843784400608</v>
      </c>
      <c r="CZ41" s="970">
        <v>23.800484235294121</v>
      </c>
      <c r="DA41" s="970">
        <v>0</v>
      </c>
      <c r="DB41" s="970">
        <v>19.311529411764706</v>
      </c>
      <c r="DC41" s="970">
        <v>5.5653800603633901</v>
      </c>
      <c r="DD41" s="970">
        <v>0</v>
      </c>
      <c r="DE41" s="970">
        <v>0</v>
      </c>
      <c r="DF41" s="970">
        <v>39.804176470588239</v>
      </c>
      <c r="DG41" s="971">
        <v>12.168979306473002</v>
      </c>
      <c r="DH41" s="969">
        <v>39.473396470588241</v>
      </c>
      <c r="DI41" s="970">
        <v>0.35070326942802471</v>
      </c>
      <c r="DJ41" s="970">
        <v>21.030205882352941</v>
      </c>
      <c r="DK41" s="970">
        <v>7.7391201425392193</v>
      </c>
      <c r="DL41" s="970">
        <v>29.202910475294118</v>
      </c>
      <c r="DM41" s="970">
        <v>0</v>
      </c>
      <c r="DN41" s="970">
        <v>17.389529411764709</v>
      </c>
      <c r="DO41" s="970">
        <v>5.4228223271599258</v>
      </c>
      <c r="DP41" s="970">
        <v>0</v>
      </c>
      <c r="DQ41" s="970">
        <v>0</v>
      </c>
      <c r="DR41" s="970">
        <v>36.024176470588237</v>
      </c>
      <c r="DS41" s="971">
        <v>11.27583795031355</v>
      </c>
      <c r="DT41" s="969">
        <v>43.218645882352952</v>
      </c>
      <c r="DU41" s="970">
        <v>0</v>
      </c>
      <c r="DV41" s="970">
        <v>22.038294117647066</v>
      </c>
      <c r="DW41" s="970">
        <v>20.4459741384564</v>
      </c>
      <c r="DX41" s="970">
        <v>31.124764197647067</v>
      </c>
      <c r="DY41" s="970">
        <v>0</v>
      </c>
      <c r="DZ41" s="970">
        <v>18.237470588235297</v>
      </c>
      <c r="EA41" s="970">
        <v>17.045074768949888</v>
      </c>
      <c r="EB41" s="970">
        <v>0</v>
      </c>
      <c r="EC41" s="970">
        <v>0</v>
      </c>
      <c r="ED41" s="970">
        <v>37.691823529411764</v>
      </c>
      <c r="EE41" s="971">
        <v>28.306306776491105</v>
      </c>
      <c r="EF41" s="969">
        <v>43.809215294117649</v>
      </c>
      <c r="EG41" s="970">
        <v>12.568564143172285</v>
      </c>
      <c r="EH41" s="970">
        <v>17.333882352941178</v>
      </c>
      <c r="EI41" s="970">
        <v>11.073862002819356</v>
      </c>
      <c r="EJ41" s="970">
        <v>31.835267595294116</v>
      </c>
      <c r="EK41" s="970">
        <v>4.9349245412662439</v>
      </c>
      <c r="EL41" s="970">
        <v>14.280411764705883</v>
      </c>
      <c r="EM41" s="970">
        <v>9.2388713566556699</v>
      </c>
      <c r="EN41" s="970">
        <v>61.7604705882353</v>
      </c>
      <c r="EO41" s="970">
        <v>12.979860268637845</v>
      </c>
      <c r="EP41" s="970">
        <v>29.909470588235294</v>
      </c>
      <c r="EQ41" s="971">
        <v>16.175544697030773</v>
      </c>
      <c r="ER41" s="969">
        <v>39.799937647058833</v>
      </c>
      <c r="ES41" s="970">
        <v>2.3282125865908867</v>
      </c>
      <c r="ET41" s="970">
        <v>20.022117647058824</v>
      </c>
      <c r="EU41" s="970">
        <v>24.849612825532592</v>
      </c>
      <c r="EV41" s="970">
        <v>31.28269756235294</v>
      </c>
      <c r="EW41" s="970">
        <v>0</v>
      </c>
      <c r="EX41" s="970">
        <v>16.541588235294121</v>
      </c>
      <c r="EY41" s="970">
        <v>21.685767641527807</v>
      </c>
      <c r="EZ41" s="970">
        <v>56.220705882352945</v>
      </c>
      <c r="FA41" s="970">
        <v>0.80401215963064487</v>
      </c>
      <c r="FB41" s="970">
        <v>34.356529411764711</v>
      </c>
      <c r="FC41" s="971">
        <v>35.107019991428267</v>
      </c>
      <c r="FD41" s="969">
        <v>39.965305882352951</v>
      </c>
      <c r="FE41" s="970">
        <v>0</v>
      </c>
      <c r="FF41" s="970">
        <v>24.860941176470593</v>
      </c>
      <c r="FG41" s="970">
        <v>12.124029665120343</v>
      </c>
      <c r="FH41" s="970">
        <v>30.737909176470591</v>
      </c>
      <c r="FI41" s="970">
        <v>0</v>
      </c>
      <c r="FJ41" s="970">
        <v>20.61170588235294</v>
      </c>
      <c r="FK41" s="970">
        <v>8.5991273192056141</v>
      </c>
      <c r="FL41" s="970">
        <v>0</v>
      </c>
      <c r="FM41" s="970">
        <v>0</v>
      </c>
      <c r="FN41" s="970">
        <v>42.361235294117648</v>
      </c>
      <c r="FO41" s="971">
        <v>16.342054616934469</v>
      </c>
      <c r="FP41" s="969">
        <v>41.58803647058825</v>
      </c>
      <c r="FQ41" s="970">
        <v>7.6584553124379298</v>
      </c>
      <c r="FR41" s="970">
        <v>19.215647058823532</v>
      </c>
      <c r="FS41" s="970">
        <v>17.687002576866298</v>
      </c>
      <c r="FT41" s="970">
        <v>36.79846776470589</v>
      </c>
      <c r="FU41" s="970">
        <v>2.025029293165248</v>
      </c>
      <c r="FV41" s="970">
        <v>15.863235294117649</v>
      </c>
      <c r="FW41" s="970">
        <v>15.181417537319344</v>
      </c>
      <c r="FX41" s="970">
        <v>58.858588235294128</v>
      </c>
      <c r="FY41" s="970">
        <v>7.6045040864265978</v>
      </c>
      <c r="FZ41" s="970">
        <v>33.022411764705886</v>
      </c>
      <c r="GA41" s="971">
        <v>24.840838546157954</v>
      </c>
      <c r="GB41" s="969">
        <v>39.156067058823538</v>
      </c>
      <c r="GC41" s="970">
        <v>4.6595482611307757</v>
      </c>
      <c r="GD41" s="970">
        <v>19.215647058823532</v>
      </c>
      <c r="GE41" s="970">
        <v>16.211714478851452</v>
      </c>
      <c r="GF41" s="970">
        <v>28.250414381176476</v>
      </c>
      <c r="GG41" s="970">
        <v>0.53266851437466611</v>
      </c>
      <c r="GH41" s="970">
        <v>15.863235294117649</v>
      </c>
      <c r="GI41" s="970">
        <v>13.479927706306032</v>
      </c>
      <c r="GJ41" s="970">
        <v>55.509529411764717</v>
      </c>
      <c r="GK41" s="970">
        <v>3.6705972230776864</v>
      </c>
      <c r="GL41" s="970">
        <v>33.022411764705886</v>
      </c>
      <c r="GM41" s="971">
        <v>22.827131981788902</v>
      </c>
      <c r="GN41" s="969">
        <v>39.34948235294118</v>
      </c>
      <c r="GO41" s="970">
        <v>2.0759532172573376</v>
      </c>
      <c r="GP41" s="970">
        <v>20.895794117647064</v>
      </c>
      <c r="GQ41" s="970">
        <v>10.673500285307309</v>
      </c>
      <c r="GR41" s="970">
        <v>28.312964611764709</v>
      </c>
      <c r="GS41" s="970">
        <v>0</v>
      </c>
      <c r="GT41" s="970">
        <v>17.276470588235295</v>
      </c>
      <c r="GU41" s="970">
        <v>8.0603639682956363</v>
      </c>
      <c r="GV41" s="970">
        <v>55.900588235294116</v>
      </c>
      <c r="GW41" s="970">
        <v>1.3542783486867824</v>
      </c>
      <c r="GX41" s="970">
        <v>35.801823529411763</v>
      </c>
      <c r="GY41" s="971">
        <v>15.221368330953437</v>
      </c>
      <c r="GZ41" s="969">
        <v>40.899435294117652</v>
      </c>
      <c r="HA41" s="970">
        <v>0.79821332854565263</v>
      </c>
      <c r="HB41" s="970">
        <v>20.963000000000005</v>
      </c>
      <c r="HC41" s="970">
        <v>16.915477829274781</v>
      </c>
      <c r="HD41" s="970">
        <v>29.241299764705886</v>
      </c>
      <c r="HE41" s="970">
        <v>0</v>
      </c>
      <c r="HF41" s="970">
        <v>17.333000000000002</v>
      </c>
      <c r="HG41" s="970">
        <v>13.710516361359348</v>
      </c>
      <c r="HH41" s="970">
        <v>58.319294117647061</v>
      </c>
      <c r="HI41" s="970">
        <v>0.12462329687575904</v>
      </c>
      <c r="HJ41" s="970">
        <v>35.912999999999997</v>
      </c>
      <c r="HK41" s="971">
        <v>23.624261399343116</v>
      </c>
      <c r="HL41" s="969">
        <v>41.130592941176481</v>
      </c>
      <c r="HM41" s="970">
        <v>14.10542036165673</v>
      </c>
      <c r="HN41" s="970">
        <v>15.384911764705885</v>
      </c>
      <c r="HO41" s="970">
        <v>5.0225208717557095</v>
      </c>
      <c r="HP41" s="970">
        <v>32.507597101176472</v>
      </c>
      <c r="HQ41" s="970">
        <v>5.8390878213307076</v>
      </c>
      <c r="HR41" s="970">
        <v>12.641058823529415</v>
      </c>
      <c r="HS41" s="970">
        <v>3.8595523393559676</v>
      </c>
      <c r="HT41" s="970">
        <v>58.215529411764713</v>
      </c>
      <c r="HU41" s="970">
        <v>14.326738458511954</v>
      </c>
      <c r="HV41" s="970">
        <v>26.685352941176475</v>
      </c>
      <c r="HW41" s="971">
        <v>7.5731074342695672</v>
      </c>
      <c r="HX41" s="969">
        <v>46.159009411764714</v>
      </c>
      <c r="HY41" s="970">
        <v>15.332189990684936</v>
      </c>
      <c r="HZ41" s="970">
        <v>15.048882352941179</v>
      </c>
      <c r="IA41" s="970">
        <v>3.978569763589729</v>
      </c>
      <c r="IB41" s="970">
        <v>33.341865712941178</v>
      </c>
      <c r="IC41" s="970">
        <v>6.5620350416476567</v>
      </c>
      <c r="ID41" s="970">
        <v>12.358411764705885</v>
      </c>
      <c r="IE41" s="970">
        <v>2.8660799661975953</v>
      </c>
      <c r="IF41" s="970">
        <v>65.378117647058829</v>
      </c>
      <c r="IG41" s="970">
        <v>15.986797019661569</v>
      </c>
      <c r="IH41" s="970">
        <v>26.1294705882353</v>
      </c>
      <c r="II41" s="971">
        <v>5.6850904512815372</v>
      </c>
      <c r="IJ41" s="969">
        <v>44.172857647058834</v>
      </c>
      <c r="IK41" s="970">
        <v>6.3713471035610745</v>
      </c>
      <c r="IL41" s="970">
        <v>18.812411764705885</v>
      </c>
      <c r="IM41" s="970">
        <v>16.972151284670055</v>
      </c>
      <c r="IN41" s="970">
        <v>32.301749628235299</v>
      </c>
      <c r="IO41" s="970">
        <v>1.4555108405417365</v>
      </c>
      <c r="IP41" s="970">
        <v>15.524058823529412</v>
      </c>
      <c r="IQ41" s="970">
        <v>14.569536202490882</v>
      </c>
      <c r="IR41" s="970">
        <v>62.300823529411772</v>
      </c>
      <c r="IS41" s="970">
        <v>5.8370998067575135</v>
      </c>
      <c r="IT41" s="970">
        <v>32.35535294117647</v>
      </c>
      <c r="IU41" s="971">
        <v>23.938894583367372</v>
      </c>
      <c r="IV41" s="969">
        <v>42.942991764705887</v>
      </c>
      <c r="IW41" s="970">
        <v>13.909156640403546</v>
      </c>
      <c r="IX41" s="970">
        <v>16.527411764705885</v>
      </c>
      <c r="IY41" s="970">
        <v>7.7975484035475437</v>
      </c>
      <c r="IZ41" s="970">
        <v>33.413069251764703</v>
      </c>
      <c r="JA41" s="970">
        <v>5.8612638984792431</v>
      </c>
      <c r="JB41" s="970">
        <v>13.602058823529413</v>
      </c>
      <c r="JC41" s="970">
        <v>6.1161512014310704</v>
      </c>
      <c r="JD41" s="970">
        <v>60.731647058823533</v>
      </c>
      <c r="JE41" s="970">
        <v>14.027867817800701</v>
      </c>
      <c r="JF41" s="970">
        <v>28.575352941176476</v>
      </c>
      <c r="JG41" s="971">
        <v>11.207416549264678</v>
      </c>
      <c r="JH41" s="969">
        <v>41.873011764705893</v>
      </c>
      <c r="JI41" s="970">
        <v>2.0610759858246226</v>
      </c>
      <c r="JJ41" s="970">
        <v>20.963000000000005</v>
      </c>
      <c r="JK41" s="970">
        <v>5.1786316226069298</v>
      </c>
      <c r="JL41" s="970">
        <v>29.991546352941175</v>
      </c>
      <c r="JM41" s="970">
        <v>0</v>
      </c>
      <c r="JN41" s="970">
        <v>17.333000000000002</v>
      </c>
      <c r="JO41" s="970">
        <v>3.1192407982996841</v>
      </c>
      <c r="JP41" s="970">
        <v>59.493176470588232</v>
      </c>
      <c r="JQ41" s="970">
        <v>1.427010534365001</v>
      </c>
      <c r="JR41" s="970">
        <v>35.912999999999997</v>
      </c>
      <c r="JS41" s="971">
        <v>7.6590098064898182</v>
      </c>
      <c r="JT41" s="969">
        <v>37.389981176470599</v>
      </c>
      <c r="JU41" s="970">
        <v>8.5311131350351896</v>
      </c>
      <c r="JV41" s="970">
        <v>18.14035294117647</v>
      </c>
      <c r="JW41" s="970">
        <v>15.601293546939159</v>
      </c>
      <c r="JX41" s="970">
        <v>29.091555971764706</v>
      </c>
      <c r="JY41" s="970">
        <v>2.8581739550379326</v>
      </c>
      <c r="JZ41" s="970">
        <v>14.958764705882354</v>
      </c>
      <c r="KA41" s="970">
        <v>13.471556200554215</v>
      </c>
      <c r="KB41" s="970">
        <v>52.976117647058828</v>
      </c>
      <c r="KC41" s="970">
        <v>8.5513974446280514</v>
      </c>
      <c r="KD41" s="970">
        <v>31.243588235294119</v>
      </c>
      <c r="KE41" s="971">
        <v>22.222827167568486</v>
      </c>
      <c r="KF41" s="969">
        <v>46.802880000000002</v>
      </c>
      <c r="KG41" s="970">
        <v>9.2545258213281816</v>
      </c>
      <c r="KH41" s="970">
        <v>19.01402941176471</v>
      </c>
      <c r="KI41" s="970">
        <v>14.821920065610293</v>
      </c>
      <c r="KJ41" s="970">
        <v>33.939234277647067</v>
      </c>
      <c r="KK41" s="970">
        <v>3.0533098062611388</v>
      </c>
      <c r="KL41" s="970">
        <v>15.693647058823531</v>
      </c>
      <c r="KM41" s="970">
        <v>12.417141575891751</v>
      </c>
      <c r="KN41" s="970">
        <v>66.089294117647071</v>
      </c>
      <c r="KO41" s="970">
        <v>9.5011993424975092</v>
      </c>
      <c r="KP41" s="970">
        <v>32.688882352941178</v>
      </c>
      <c r="KQ41" s="971">
        <v>21.039265903241127</v>
      </c>
      <c r="KR41" s="969">
        <v>44.819142352941199</v>
      </c>
      <c r="KS41" s="970">
        <v>2.6295483943987841</v>
      </c>
      <c r="KT41" s="970">
        <v>19.350058823529412</v>
      </c>
      <c r="KU41" s="970">
        <v>21.901889389452897</v>
      </c>
      <c r="KV41" s="970">
        <v>32.171753261176477</v>
      </c>
      <c r="KW41" s="970">
        <v>0</v>
      </c>
      <c r="KX41" s="970">
        <v>15.976294117647059</v>
      </c>
      <c r="KY41" s="970">
        <v>18.887185579512835</v>
      </c>
      <c r="KZ41" s="970">
        <v>63.787411764705901</v>
      </c>
      <c r="LA41" s="970">
        <v>1.5316522363064411</v>
      </c>
      <c r="LB41" s="970">
        <v>33.244764705882353</v>
      </c>
      <c r="LC41" s="971">
        <v>30.452436603355558</v>
      </c>
      <c r="LD41" s="969">
        <v>43.640163529411772</v>
      </c>
      <c r="LE41" s="970">
        <v>13.006828389287357</v>
      </c>
      <c r="LF41" s="970">
        <v>17.401088235294122</v>
      </c>
      <c r="LG41" s="970">
        <v>9.7810098289598777</v>
      </c>
      <c r="LH41" s="970">
        <v>31.563309232941183</v>
      </c>
      <c r="LI41" s="970">
        <v>4.9838429865845351</v>
      </c>
      <c r="LJ41" s="970">
        <v>14.336941176470591</v>
      </c>
      <c r="LK41" s="970">
        <v>8.1064590498317521</v>
      </c>
      <c r="LL41" s="970">
        <v>61.748470588235307</v>
      </c>
      <c r="LM41" s="970">
        <v>13.425223863793722</v>
      </c>
      <c r="LN41" s="970">
        <v>30.020647058823535</v>
      </c>
      <c r="LO41" s="971">
        <v>14.512836103115403</v>
      </c>
      <c r="LP41" s="969">
        <v>35.526070588235299</v>
      </c>
      <c r="LQ41" s="970">
        <v>0.52633791966621968</v>
      </c>
      <c r="LR41" s="970">
        <v>19.753294117647059</v>
      </c>
      <c r="LS41" s="970">
        <v>13.486798144786345</v>
      </c>
      <c r="LT41" s="970">
        <v>27.506736470588237</v>
      </c>
      <c r="LU41" s="970">
        <v>0</v>
      </c>
      <c r="LV41" s="970">
        <v>16.315470588235296</v>
      </c>
      <c r="LW41" s="970">
        <v>10.605319720276881</v>
      </c>
      <c r="LX41" s="970">
        <v>0</v>
      </c>
      <c r="LY41" s="970">
        <v>0</v>
      </c>
      <c r="LZ41" s="970">
        <v>33.911823529411762</v>
      </c>
      <c r="MA41" s="971">
        <v>19.063330616651619</v>
      </c>
      <c r="MB41" s="969">
        <v>41.8300517647059</v>
      </c>
      <c r="MC41" s="970">
        <v>7.0729957400490644</v>
      </c>
      <c r="MD41" s="970">
        <v>19.954911764705884</v>
      </c>
      <c r="ME41" s="970">
        <v>16.727537280187107</v>
      </c>
      <c r="MF41" s="970">
        <v>31.936188461176474</v>
      </c>
      <c r="MG41" s="970">
        <v>1.6727468646384347</v>
      </c>
      <c r="MH41" s="970">
        <v>16.485058823529414</v>
      </c>
      <c r="MI41" s="970">
        <v>14.2458444960672</v>
      </c>
      <c r="MJ41" s="970">
        <v>59.006117647058836</v>
      </c>
      <c r="MK41" s="970">
        <v>7.108677619850182</v>
      </c>
      <c r="ML41" s="970">
        <v>34.245352941176478</v>
      </c>
      <c r="MM41" s="971">
        <v>23.595741483506931</v>
      </c>
      <c r="MN41" s="969">
        <v>42.067817647058838</v>
      </c>
      <c r="MO41" s="970">
        <v>0</v>
      </c>
      <c r="MP41" s="970">
        <v>26.339470588235301</v>
      </c>
      <c r="MQ41" s="970">
        <v>9.99747444818051</v>
      </c>
      <c r="MR41" s="970">
        <v>29.904499764705889</v>
      </c>
      <c r="MS41" s="970">
        <v>0</v>
      </c>
      <c r="MT41" s="970">
        <v>21.85535294117647</v>
      </c>
      <c r="MU41" s="970">
        <v>6.0286230946630637</v>
      </c>
      <c r="MV41" s="970">
        <v>0</v>
      </c>
      <c r="MW41" s="970">
        <v>0</v>
      </c>
      <c r="MX41" s="970">
        <v>44.807117647058824</v>
      </c>
      <c r="MY41" s="971">
        <v>13.5409947055325</v>
      </c>
      <c r="MZ41" s="969">
        <v>38.492505882352951</v>
      </c>
      <c r="NA41" s="970">
        <v>0</v>
      </c>
      <c r="NB41" s="970">
        <v>21.836676470588237</v>
      </c>
      <c r="NC41" s="970">
        <v>15.03971573502027</v>
      </c>
      <c r="ND41" s="970">
        <v>27.330142588235301</v>
      </c>
      <c r="NE41" s="970">
        <v>0</v>
      </c>
      <c r="NF41" s="970">
        <v>18.067882352941179</v>
      </c>
      <c r="NG41" s="970">
        <v>11.36847643288908</v>
      </c>
      <c r="NH41" s="970">
        <v>0</v>
      </c>
      <c r="NI41" s="970">
        <v>0</v>
      </c>
      <c r="NJ41" s="970">
        <v>37.358294117647056</v>
      </c>
      <c r="NK41" s="971">
        <v>21.039329847596441</v>
      </c>
      <c r="NL41" s="969">
        <v>42.48443647058825</v>
      </c>
      <c r="NM41" s="970">
        <v>5.37807780616349</v>
      </c>
      <c r="NN41" s="970">
        <v>20.76138235294118</v>
      </c>
      <c r="NO41" s="970">
        <v>14.452606931475662</v>
      </c>
      <c r="NP41" s="970">
        <v>30.50410620235294</v>
      </c>
      <c r="NQ41" s="970">
        <v>0.80505159729489484</v>
      </c>
      <c r="NR41" s="970">
        <v>17.163411764705884</v>
      </c>
      <c r="NS41" s="970">
        <v>11.890593899989904</v>
      </c>
      <c r="NT41" s="970">
        <v>60.452117647058827</v>
      </c>
      <c r="NU41" s="970">
        <v>4.9571952610857455</v>
      </c>
      <c r="NV41" s="970">
        <v>35.579470588235296</v>
      </c>
      <c r="NW41" s="971">
        <v>20.430843036723758</v>
      </c>
      <c r="NX41" s="969">
        <v>40.101067058823531</v>
      </c>
      <c r="NY41" s="970">
        <v>6.9982399753871602</v>
      </c>
      <c r="NZ41" s="970">
        <v>19.551676470588237</v>
      </c>
      <c r="OA41" s="970">
        <v>18.728310316170543</v>
      </c>
      <c r="OB41" s="970">
        <v>29.757457581176471</v>
      </c>
      <c r="OC41" s="970">
        <v>1.6918913609428463</v>
      </c>
      <c r="OD41" s="970">
        <v>16.145882352941179</v>
      </c>
      <c r="OE41" s="970">
        <v>16.134258014175018</v>
      </c>
      <c r="OF41" s="970">
        <v>56.859529411764711</v>
      </c>
      <c r="OG41" s="970">
        <v>6.7588666262364274</v>
      </c>
      <c r="OH41" s="970">
        <v>33.578294117647062</v>
      </c>
      <c r="OI41" s="971">
        <v>26.205376511579168</v>
      </c>
      <c r="OJ41" s="969">
        <v>43.026858823529416</v>
      </c>
      <c r="OK41" s="970">
        <v>1.0014165184157597</v>
      </c>
      <c r="OL41" s="970">
        <v>22.575941176470593</v>
      </c>
      <c r="OM41" s="970">
        <v>11.318112070981803</v>
      </c>
      <c r="ON41" s="970">
        <v>30.843140235294122</v>
      </c>
      <c r="OO41" s="970">
        <v>0</v>
      </c>
      <c r="OP41" s="970">
        <v>18.689705882352939</v>
      </c>
      <c r="OQ41" s="970">
        <v>8.2486958231375134</v>
      </c>
      <c r="OR41" s="970">
        <v>61.033058823529423</v>
      </c>
      <c r="OS41" s="970">
        <v>0.37084931303906704</v>
      </c>
      <c r="OT41" s="970">
        <v>38.581235294117647</v>
      </c>
      <c r="OU41" s="971">
        <v>15.708029186582609</v>
      </c>
      <c r="OV41" s="969">
        <v>41.327470588235308</v>
      </c>
      <c r="OW41" s="970">
        <v>11.244089156653024</v>
      </c>
      <c r="OX41" s="970">
        <v>18.54358823529412</v>
      </c>
      <c r="OY41" s="970">
        <v>10.199748831252823</v>
      </c>
      <c r="OZ41" s="970">
        <v>31.457047378823535</v>
      </c>
      <c r="PA41" s="970">
        <v>3.9199703685603593</v>
      </c>
      <c r="PB41" s="970">
        <v>15.297941176470589</v>
      </c>
      <c r="PC41" s="970">
        <v>8.0825969378795151</v>
      </c>
      <c r="PD41" s="970">
        <v>58.517647058823542</v>
      </c>
      <c r="PE41" s="970">
        <v>11.414808609466204</v>
      </c>
      <c r="PF41" s="970">
        <v>31.910647058823532</v>
      </c>
      <c r="PG41" s="971">
        <v>14.668798762854204</v>
      </c>
      <c r="PH41" s="969">
        <v>41.008017647058836</v>
      </c>
      <c r="PI41" s="970">
        <v>0.37608588582641228</v>
      </c>
      <c r="PJ41" s="970">
        <v>25.398588235294124</v>
      </c>
      <c r="PK41" s="970">
        <v>13.665026699380409</v>
      </c>
      <c r="PL41" s="970">
        <v>29.380547764705891</v>
      </c>
      <c r="PM41" s="970">
        <v>0</v>
      </c>
      <c r="PN41" s="970">
        <v>21.063941176470589</v>
      </c>
      <c r="PO41" s="970">
        <v>9.7532204129170719</v>
      </c>
      <c r="PP41" s="970">
        <v>0</v>
      </c>
      <c r="PQ41" s="970">
        <v>0</v>
      </c>
      <c r="PR41" s="970">
        <v>43.250647058823532</v>
      </c>
      <c r="PS41" s="971">
        <v>18.590789126188358</v>
      </c>
      <c r="PT41" s="969">
        <v>41.539372941176481</v>
      </c>
      <c r="PU41" s="970">
        <v>6.5745482074206842</v>
      </c>
      <c r="PV41" s="970">
        <v>19.753294117647059</v>
      </c>
      <c r="PW41" s="970">
        <v>12.70459926002458</v>
      </c>
      <c r="PX41" s="970">
        <v>32.914199397647067</v>
      </c>
      <c r="PY41" s="970">
        <v>1.2378541400142056</v>
      </c>
      <c r="PZ41" s="970">
        <v>16.315470588235296</v>
      </c>
      <c r="QA41" s="970">
        <v>10.559234762404287</v>
      </c>
      <c r="QB41" s="970">
        <v>58.601294117647072</v>
      </c>
      <c r="QC41" s="970">
        <v>5.636780916322917</v>
      </c>
      <c r="QD41" s="970">
        <v>33.911823529411762</v>
      </c>
      <c r="QE41" s="971">
        <v>18.250908495854503</v>
      </c>
      <c r="QF41" s="969">
        <v>43.143331764705891</v>
      </c>
      <c r="QG41" s="970">
        <v>7.785298537511899</v>
      </c>
      <c r="QH41" s="970">
        <v>19.417264705882356</v>
      </c>
      <c r="QI41" s="970">
        <v>16.962071623822954</v>
      </c>
      <c r="QJ41" s="970">
        <v>31.270286851764713</v>
      </c>
      <c r="QK41" s="970">
        <v>2.142303884077954</v>
      </c>
      <c r="QL41" s="970">
        <v>16.032823529411768</v>
      </c>
      <c r="QM41" s="970">
        <v>14.392613269066581</v>
      </c>
      <c r="QN41" s="970">
        <v>60.944823529411778</v>
      </c>
      <c r="QO41" s="970">
        <v>7.8793446412093022</v>
      </c>
      <c r="QP41" s="970">
        <v>33.355941176470594</v>
      </c>
      <c r="QQ41" s="971">
        <v>23.818189990046907</v>
      </c>
      <c r="QR41" s="969">
        <v>29.742300000000004</v>
      </c>
      <c r="QS41" s="970">
        <v>0</v>
      </c>
      <c r="QT41" s="970">
        <v>21.971088235294125</v>
      </c>
      <c r="QU41" s="970">
        <v>8.9979201222594867</v>
      </c>
      <c r="QV41" s="970">
        <v>26.571565647058829</v>
      </c>
      <c r="QW41" s="970">
        <v>0</v>
      </c>
      <c r="QX41" s="970">
        <v>18.18094117647059</v>
      </c>
      <c r="QY41" s="970">
        <v>5.9422057141136442</v>
      </c>
      <c r="QZ41" s="970">
        <v>0</v>
      </c>
      <c r="RA41" s="970">
        <v>0</v>
      </c>
      <c r="RB41" s="970">
        <v>37.58064705882353</v>
      </c>
      <c r="RC41" s="971">
        <v>12.738738798108685</v>
      </c>
      <c r="RD41" s="969">
        <v>41.680662352941184</v>
      </c>
      <c r="RE41" s="970">
        <v>8.718556217722055</v>
      </c>
      <c r="RF41" s="970">
        <v>19.686088235294118</v>
      </c>
      <c r="RG41" s="970">
        <v>14.695322156542765</v>
      </c>
      <c r="RH41" s="970">
        <v>35.238649675294127</v>
      </c>
      <c r="RI41" s="970">
        <v>2.6659698328697865</v>
      </c>
      <c r="RJ41" s="970">
        <v>16.258941176470589</v>
      </c>
      <c r="RK41" s="970">
        <v>12.266324239320067</v>
      </c>
      <c r="RL41" s="970">
        <v>58.823999999999998</v>
      </c>
      <c r="RM41" s="970">
        <v>8.7271692565689563</v>
      </c>
      <c r="RN41" s="970">
        <v>33.800647058823529</v>
      </c>
      <c r="RO41" s="971">
        <v>20.849399733448866</v>
      </c>
      <c r="RP41" s="969">
        <v>41.831227058823536</v>
      </c>
      <c r="RQ41" s="970">
        <v>7.8931048002870812</v>
      </c>
      <c r="RR41" s="970">
        <v>19.551676470588237</v>
      </c>
      <c r="RS41" s="970">
        <v>14.006695748053533</v>
      </c>
      <c r="RT41" s="970">
        <v>30.28495785411765</v>
      </c>
      <c r="RU41" s="970">
        <v>2.2200684682971303</v>
      </c>
      <c r="RV41" s="970">
        <v>16.145882352941179</v>
      </c>
      <c r="RW41" s="970">
        <v>11.647262414573472</v>
      </c>
      <c r="RX41" s="970">
        <v>59.143411764705888</v>
      </c>
      <c r="RY41" s="970">
        <v>7.9744367502117166</v>
      </c>
      <c r="RZ41" s="970">
        <v>33.578294117647062</v>
      </c>
      <c r="SA41" s="971">
        <v>19.958937658470898</v>
      </c>
    </row>
    <row r="42" spans="1:495">
      <c r="A42" s="966">
        <f>[3]Eingabedaten!A44</f>
        <v>12.03</v>
      </c>
      <c r="B42" s="169" t="str">
        <f>[3]Eingabedaten!C44</f>
        <v>Treppenhaus</v>
      </c>
      <c r="C42" s="987">
        <f t="shared" si="1"/>
        <v>36</v>
      </c>
      <c r="D42" s="954" cm="1">
        <f t="array" ref="D42">INDEX($P$7:$SA$51,$C42,$G$3-1+D$2)</f>
        <v>0</v>
      </c>
      <c r="E42" s="955" cm="1">
        <f t="array" ref="E42">INDEX($P$7:$SA$51,$C42,$G$3-1+E$2)</f>
        <v>0</v>
      </c>
      <c r="F42" s="955" cm="1">
        <f t="array" ref="F42">INDEX($P$7:$SA$51,$C42,$G$3-1+F$2)</f>
        <v>17.535500000000003</v>
      </c>
      <c r="G42" s="955" cm="1">
        <f t="array" ref="G42">INDEX($P$7:$SA$51,$C42,$G$3-1+G$2)</f>
        <v>13.479092103971391</v>
      </c>
      <c r="H42" s="955" cm="1">
        <f t="array" ref="H42">INDEX($P$7:$SA$51,$C42,$G$3-1+H$2)</f>
        <v>0</v>
      </c>
      <c r="I42" s="955" cm="1">
        <f t="array" ref="I42">INDEX($P$7:$SA$51,$C42,$G$3-1+I$2)</f>
        <v>0</v>
      </c>
      <c r="J42" s="955" cm="1">
        <f t="array" ref="J42">INDEX($P$7:$SA$51,$C42,$G$3-1+J$2)</f>
        <v>14.450000000000003</v>
      </c>
      <c r="K42" s="955" cm="1">
        <f t="array" ref="K42">INDEX($P$7:$SA$51,$C42,$G$3-1+K$2)</f>
        <v>9.2854062177560515</v>
      </c>
      <c r="L42" s="955" cm="1">
        <f t="array" ref="L42">INDEX($P$7:$SA$51,$C42,$G$3-1+L$2)</f>
        <v>0</v>
      </c>
      <c r="M42" s="955" cm="1">
        <f t="array" ref="M42">INDEX($P$7:$SA$51,$C42,$G$3-1+M$2)</f>
        <v>0</v>
      </c>
      <c r="N42" s="955" cm="1">
        <f t="array" ref="N42">INDEX($P$7:$SA$51,$C42,$G$3-1+N$2)</f>
        <v>30.243000000000002</v>
      </c>
      <c r="O42" s="956" cm="1">
        <f t="array" ref="O42">INDEX($P$7:$SA$51,$C42,$G$3-1+O$2)</f>
        <v>16.156690436544931</v>
      </c>
      <c r="P42" s="969">
        <v>0</v>
      </c>
      <c r="Q42" s="970">
        <v>0</v>
      </c>
      <c r="R42" s="970">
        <v>19.350058823529412</v>
      </c>
      <c r="S42" s="970">
        <v>7.5190069332289919</v>
      </c>
      <c r="T42" s="970">
        <v>0</v>
      </c>
      <c r="U42" s="970">
        <v>0</v>
      </c>
      <c r="V42" s="970">
        <v>15.976294117647059</v>
      </c>
      <c r="W42" s="970">
        <v>3.7339761578383563</v>
      </c>
      <c r="X42" s="970">
        <v>0</v>
      </c>
      <c r="Y42" s="970">
        <v>0</v>
      </c>
      <c r="Z42" s="970">
        <v>33.244764705882353</v>
      </c>
      <c r="AA42" s="971">
        <v>8.5094153211844574</v>
      </c>
      <c r="AB42" s="969">
        <v>0</v>
      </c>
      <c r="AC42" s="970">
        <v>0</v>
      </c>
      <c r="AD42" s="970">
        <v>16.191382352941179</v>
      </c>
      <c r="AE42" s="970">
        <v>13.61258564300396</v>
      </c>
      <c r="AF42" s="970">
        <v>0</v>
      </c>
      <c r="AG42" s="970">
        <v>0</v>
      </c>
      <c r="AH42" s="970">
        <v>13.319411764705885</v>
      </c>
      <c r="AI42" s="970">
        <v>9.4708051614598077</v>
      </c>
      <c r="AJ42" s="970">
        <v>0</v>
      </c>
      <c r="AK42" s="970">
        <v>0</v>
      </c>
      <c r="AL42" s="970">
        <v>28.019470588235301</v>
      </c>
      <c r="AM42" s="971">
        <v>16.342723871022493</v>
      </c>
      <c r="AN42" s="969">
        <v>0</v>
      </c>
      <c r="AO42" s="970">
        <v>0</v>
      </c>
      <c r="AP42" s="970">
        <v>16.25858823529412</v>
      </c>
      <c r="AQ42" s="970">
        <v>18.319466965732861</v>
      </c>
      <c r="AR42" s="970">
        <v>0</v>
      </c>
      <c r="AS42" s="970">
        <v>0</v>
      </c>
      <c r="AT42" s="970">
        <v>13.37594117647059</v>
      </c>
      <c r="AU42" s="970">
        <v>13.903576686797027</v>
      </c>
      <c r="AV42" s="970">
        <v>0</v>
      </c>
      <c r="AW42" s="970">
        <v>0</v>
      </c>
      <c r="AX42" s="970">
        <v>28.130647058823534</v>
      </c>
      <c r="AY42" s="971">
        <v>22.367114028508052</v>
      </c>
      <c r="AZ42" s="969">
        <v>0</v>
      </c>
      <c r="BA42" s="970">
        <v>0</v>
      </c>
      <c r="BB42" s="970">
        <v>16.863441176470591</v>
      </c>
      <c r="BC42" s="970">
        <v>11.18848234209401</v>
      </c>
      <c r="BD42" s="970">
        <v>0</v>
      </c>
      <c r="BE42" s="970">
        <v>0</v>
      </c>
      <c r="BF42" s="970">
        <v>13.884705882352943</v>
      </c>
      <c r="BG42" s="970">
        <v>7.4769341316088589</v>
      </c>
      <c r="BH42" s="970">
        <v>0</v>
      </c>
      <c r="BI42" s="970">
        <v>0</v>
      </c>
      <c r="BJ42" s="970">
        <v>29.131235294117651</v>
      </c>
      <c r="BK42" s="971">
        <v>12.993375918292735</v>
      </c>
      <c r="BL42" s="969">
        <v>0</v>
      </c>
      <c r="BM42" s="970">
        <v>0</v>
      </c>
      <c r="BN42" s="970">
        <v>17.468294117647059</v>
      </c>
      <c r="BO42" s="970">
        <v>13.130841845711245</v>
      </c>
      <c r="BP42" s="970">
        <v>0</v>
      </c>
      <c r="BQ42" s="970">
        <v>0</v>
      </c>
      <c r="BR42" s="970">
        <v>14.393470588235294</v>
      </c>
      <c r="BS42" s="970">
        <v>8.8368894681863317</v>
      </c>
      <c r="BT42" s="970">
        <v>0</v>
      </c>
      <c r="BU42" s="970">
        <v>0</v>
      </c>
      <c r="BV42" s="970">
        <v>30.131823529411765</v>
      </c>
      <c r="BW42" s="971">
        <v>15.681480201850862</v>
      </c>
      <c r="BX42" s="969">
        <v>0</v>
      </c>
      <c r="BY42" s="970">
        <v>0</v>
      </c>
      <c r="BZ42" s="970">
        <v>17.266676470588237</v>
      </c>
      <c r="CA42" s="970">
        <v>17.482260450660082</v>
      </c>
      <c r="CB42" s="970">
        <v>0</v>
      </c>
      <c r="CC42" s="970">
        <v>0</v>
      </c>
      <c r="CD42" s="970">
        <v>14.22388235294118</v>
      </c>
      <c r="CE42" s="970">
        <v>12.968273465179665</v>
      </c>
      <c r="CF42" s="970">
        <v>0</v>
      </c>
      <c r="CG42" s="970">
        <v>0</v>
      </c>
      <c r="CH42" s="970">
        <v>29.79829411764706</v>
      </c>
      <c r="CI42" s="971">
        <v>21.297173636134513</v>
      </c>
      <c r="CJ42" s="969">
        <v>0</v>
      </c>
      <c r="CK42" s="970">
        <v>0</v>
      </c>
      <c r="CL42" s="970">
        <v>17.333882352941178</v>
      </c>
      <c r="CM42" s="970">
        <v>9.4377788202419737</v>
      </c>
      <c r="CN42" s="970">
        <v>0</v>
      </c>
      <c r="CO42" s="970">
        <v>0</v>
      </c>
      <c r="CP42" s="970">
        <v>14.280411764705883</v>
      </c>
      <c r="CQ42" s="970">
        <v>5.8554838365292223</v>
      </c>
      <c r="CR42" s="970">
        <v>0</v>
      </c>
      <c r="CS42" s="970">
        <v>0</v>
      </c>
      <c r="CT42" s="970">
        <v>29.909470588235294</v>
      </c>
      <c r="CU42" s="971">
        <v>11.092741489381201</v>
      </c>
      <c r="CV42" s="969">
        <v>0</v>
      </c>
      <c r="CW42" s="970">
        <v>0</v>
      </c>
      <c r="CX42" s="970">
        <v>21.29902941176471</v>
      </c>
      <c r="CY42" s="970">
        <v>7.9953619154610873</v>
      </c>
      <c r="CZ42" s="970">
        <v>0</v>
      </c>
      <c r="DA42" s="970">
        <v>0</v>
      </c>
      <c r="DB42" s="970">
        <v>17.615647058823534</v>
      </c>
      <c r="DC42" s="970">
        <v>3.7473657308167052</v>
      </c>
      <c r="DD42" s="970">
        <v>0</v>
      </c>
      <c r="DE42" s="970">
        <v>0</v>
      </c>
      <c r="DF42" s="970">
        <v>36.468882352941179</v>
      </c>
      <c r="DG42" s="971">
        <v>9.0601440690746031</v>
      </c>
      <c r="DH42" s="969">
        <v>0</v>
      </c>
      <c r="DI42" s="970">
        <v>0</v>
      </c>
      <c r="DJ42" s="970">
        <v>19.01402941176471</v>
      </c>
      <c r="DK42" s="970">
        <v>7.1941207423295293</v>
      </c>
      <c r="DL42" s="970">
        <v>0</v>
      </c>
      <c r="DM42" s="970">
        <v>0</v>
      </c>
      <c r="DN42" s="970">
        <v>15.693647058823531</v>
      </c>
      <c r="DO42" s="970">
        <v>3.57714875537014</v>
      </c>
      <c r="DP42" s="970">
        <v>0</v>
      </c>
      <c r="DQ42" s="970">
        <v>0</v>
      </c>
      <c r="DR42" s="970">
        <v>32.688882352941178</v>
      </c>
      <c r="DS42" s="971">
        <v>8.1851549034522897</v>
      </c>
      <c r="DT42" s="969">
        <v>0</v>
      </c>
      <c r="DU42" s="970">
        <v>0</v>
      </c>
      <c r="DV42" s="970">
        <v>20.022117647058824</v>
      </c>
      <c r="DW42" s="970">
        <v>19.701686956835001</v>
      </c>
      <c r="DX42" s="970">
        <v>0</v>
      </c>
      <c r="DY42" s="970">
        <v>0</v>
      </c>
      <c r="DZ42" s="970">
        <v>16.541588235294121</v>
      </c>
      <c r="EA42" s="970">
        <v>14.356659622186783</v>
      </c>
      <c r="EB42" s="970">
        <v>0</v>
      </c>
      <c r="EC42" s="970">
        <v>0</v>
      </c>
      <c r="ED42" s="970">
        <v>34.356529411764711</v>
      </c>
      <c r="EE42" s="971">
        <v>23.913541000028626</v>
      </c>
      <c r="EF42" s="969">
        <v>0</v>
      </c>
      <c r="EG42" s="970">
        <v>0</v>
      </c>
      <c r="EH42" s="970">
        <v>15.317705882352943</v>
      </c>
      <c r="EI42" s="970">
        <v>10.510435216041843</v>
      </c>
      <c r="EJ42" s="970">
        <v>0</v>
      </c>
      <c r="EK42" s="970">
        <v>0</v>
      </c>
      <c r="EL42" s="970">
        <v>12.584529411764706</v>
      </c>
      <c r="EM42" s="970">
        <v>6.8850391602192236</v>
      </c>
      <c r="EN42" s="970">
        <v>0</v>
      </c>
      <c r="EO42" s="970">
        <v>0</v>
      </c>
      <c r="EP42" s="970">
        <v>26.574176470588238</v>
      </c>
      <c r="EQ42" s="971">
        <v>11.508588745225374</v>
      </c>
      <c r="ER42" s="969">
        <v>0</v>
      </c>
      <c r="ES42" s="970">
        <v>0</v>
      </c>
      <c r="ET42" s="970">
        <v>18.005941176470589</v>
      </c>
      <c r="EU42" s="970">
        <v>24.125657326487598</v>
      </c>
      <c r="EV42" s="970">
        <v>0</v>
      </c>
      <c r="EW42" s="970">
        <v>0</v>
      </c>
      <c r="EX42" s="970">
        <v>14.845705882352942</v>
      </c>
      <c r="EY42" s="970">
        <v>18.057278728867345</v>
      </c>
      <c r="EZ42" s="970">
        <v>0</v>
      </c>
      <c r="FA42" s="970">
        <v>0</v>
      </c>
      <c r="FB42" s="970">
        <v>31.021235294117648</v>
      </c>
      <c r="FC42" s="971">
        <v>29.311371902169117</v>
      </c>
      <c r="FD42" s="969">
        <v>0</v>
      </c>
      <c r="FE42" s="970">
        <v>0</v>
      </c>
      <c r="FF42" s="970">
        <v>22.844764705882358</v>
      </c>
      <c r="FG42" s="970">
        <v>11.376496875396676</v>
      </c>
      <c r="FH42" s="970">
        <v>0</v>
      </c>
      <c r="FI42" s="970">
        <v>0</v>
      </c>
      <c r="FJ42" s="970">
        <v>18.915823529411764</v>
      </c>
      <c r="FK42" s="970">
        <v>6.8905140823075328</v>
      </c>
      <c r="FL42" s="970">
        <v>0</v>
      </c>
      <c r="FM42" s="970">
        <v>0</v>
      </c>
      <c r="FN42" s="970">
        <v>39.025941176470589</v>
      </c>
      <c r="FO42" s="971">
        <v>13.435166329862483</v>
      </c>
      <c r="FP42" s="969">
        <v>0</v>
      </c>
      <c r="FQ42" s="970">
        <v>0</v>
      </c>
      <c r="FR42" s="970">
        <v>17.199470588235297</v>
      </c>
      <c r="FS42" s="970">
        <v>17.162085079272185</v>
      </c>
      <c r="FT42" s="970">
        <v>0</v>
      </c>
      <c r="FU42" s="970">
        <v>0</v>
      </c>
      <c r="FV42" s="970">
        <v>14.167352941176471</v>
      </c>
      <c r="FW42" s="970">
        <v>12.603039478389984</v>
      </c>
      <c r="FX42" s="970">
        <v>0</v>
      </c>
      <c r="FY42" s="970">
        <v>0</v>
      </c>
      <c r="FZ42" s="970">
        <v>29.687117647058827</v>
      </c>
      <c r="GA42" s="971">
        <v>20.87041926617545</v>
      </c>
      <c r="GB42" s="969">
        <v>0</v>
      </c>
      <c r="GC42" s="970">
        <v>0</v>
      </c>
      <c r="GD42" s="970">
        <v>17.199470588235297</v>
      </c>
      <c r="GE42" s="970">
        <v>15.634081940909876</v>
      </c>
      <c r="GF42" s="970">
        <v>0</v>
      </c>
      <c r="GG42" s="970">
        <v>0</v>
      </c>
      <c r="GH42" s="970">
        <v>14.167352941176471</v>
      </c>
      <c r="GI42" s="970">
        <v>10.9308251128507</v>
      </c>
      <c r="GJ42" s="970">
        <v>0</v>
      </c>
      <c r="GK42" s="970">
        <v>0</v>
      </c>
      <c r="GL42" s="970">
        <v>29.687117647058827</v>
      </c>
      <c r="GM42" s="971">
        <v>18.841291767684094</v>
      </c>
      <c r="GN42" s="969">
        <v>0</v>
      </c>
      <c r="GO42" s="970">
        <v>0</v>
      </c>
      <c r="GP42" s="970">
        <v>18.879617647058826</v>
      </c>
      <c r="GQ42" s="970">
        <v>10.074079484328363</v>
      </c>
      <c r="GR42" s="970">
        <v>0</v>
      </c>
      <c r="GS42" s="970">
        <v>0</v>
      </c>
      <c r="GT42" s="970">
        <v>15.580588235294121</v>
      </c>
      <c r="GU42" s="970">
        <v>5.9720188314681177</v>
      </c>
      <c r="GV42" s="970">
        <v>0</v>
      </c>
      <c r="GW42" s="970">
        <v>0</v>
      </c>
      <c r="GX42" s="970">
        <v>32.466529411764711</v>
      </c>
      <c r="GY42" s="971">
        <v>11.79186969823018</v>
      </c>
      <c r="GZ42" s="969">
        <v>0</v>
      </c>
      <c r="HA42" s="970">
        <v>0</v>
      </c>
      <c r="HB42" s="970">
        <v>18.946823529411766</v>
      </c>
      <c r="HC42" s="970">
        <v>16.233716537334633</v>
      </c>
      <c r="HD42" s="970">
        <v>0</v>
      </c>
      <c r="HE42" s="970">
        <v>0</v>
      </c>
      <c r="HF42" s="970">
        <v>15.637117647058826</v>
      </c>
      <c r="HG42" s="970">
        <v>11.096042865392874</v>
      </c>
      <c r="HH42" s="970">
        <v>0</v>
      </c>
      <c r="HI42" s="970">
        <v>0</v>
      </c>
      <c r="HJ42" s="970">
        <v>32.577705882352944</v>
      </c>
      <c r="HK42" s="971">
        <v>19.501843736480726</v>
      </c>
      <c r="HL42" s="969">
        <v>0</v>
      </c>
      <c r="HM42" s="970">
        <v>0</v>
      </c>
      <c r="HN42" s="970">
        <v>13.36873529411765</v>
      </c>
      <c r="HO42" s="970">
        <v>3.1029121236294555</v>
      </c>
      <c r="HP42" s="970">
        <v>0</v>
      </c>
      <c r="HQ42" s="970">
        <v>0</v>
      </c>
      <c r="HR42" s="970">
        <v>10.945176470588237</v>
      </c>
      <c r="HS42" s="970">
        <v>0.86036182593408561</v>
      </c>
      <c r="HT42" s="970">
        <v>0</v>
      </c>
      <c r="HU42" s="970">
        <v>0</v>
      </c>
      <c r="HV42" s="970">
        <v>23.350058823529416</v>
      </c>
      <c r="HW42" s="971">
        <v>2.2546105950679913</v>
      </c>
      <c r="HX42" s="969">
        <v>0</v>
      </c>
      <c r="HY42" s="970">
        <v>0</v>
      </c>
      <c r="HZ42" s="970">
        <v>13.032705882352943</v>
      </c>
      <c r="IA42" s="970">
        <v>1.8351933586293043</v>
      </c>
      <c r="IB42" s="970">
        <v>0</v>
      </c>
      <c r="IC42" s="970">
        <v>0</v>
      </c>
      <c r="ID42" s="970">
        <v>10.662529411764709</v>
      </c>
      <c r="IE42" s="970">
        <v>4.5453675577100672E-3</v>
      </c>
      <c r="IF42" s="970">
        <v>0</v>
      </c>
      <c r="IG42" s="970">
        <v>0</v>
      </c>
      <c r="IH42" s="970">
        <v>22.794176470588241</v>
      </c>
      <c r="II42" s="971">
        <v>0.69388615411436561</v>
      </c>
      <c r="IJ42" s="969">
        <v>0</v>
      </c>
      <c r="IK42" s="970">
        <v>0</v>
      </c>
      <c r="IL42" s="970">
        <v>16.796235294117647</v>
      </c>
      <c r="IM42" s="970">
        <v>16.458318593640389</v>
      </c>
      <c r="IN42" s="970">
        <v>0</v>
      </c>
      <c r="IO42" s="970">
        <v>0</v>
      </c>
      <c r="IP42" s="970">
        <v>13.828176470588236</v>
      </c>
      <c r="IQ42" s="970">
        <v>12.014989846198963</v>
      </c>
      <c r="IR42" s="970">
        <v>0</v>
      </c>
      <c r="IS42" s="970">
        <v>0</v>
      </c>
      <c r="IT42" s="970">
        <v>29.020058823529411</v>
      </c>
      <c r="IU42" s="971">
        <v>19.978690839027163</v>
      </c>
      <c r="IV42" s="969">
        <v>0</v>
      </c>
      <c r="IW42" s="970">
        <v>0</v>
      </c>
      <c r="IX42" s="970">
        <v>14.511235294117649</v>
      </c>
      <c r="IY42" s="970">
        <v>5.8595929283415416</v>
      </c>
      <c r="IZ42" s="970">
        <v>0</v>
      </c>
      <c r="JA42" s="970">
        <v>0</v>
      </c>
      <c r="JB42" s="970">
        <v>11.906176470588235</v>
      </c>
      <c r="JC42" s="970">
        <v>2.9562612373071424</v>
      </c>
      <c r="JD42" s="970">
        <v>0</v>
      </c>
      <c r="JE42" s="970">
        <v>0</v>
      </c>
      <c r="JF42" s="970">
        <v>25.240058823529417</v>
      </c>
      <c r="JG42" s="971">
        <v>5.5651005670687974</v>
      </c>
      <c r="JH42" s="969">
        <v>0</v>
      </c>
      <c r="JI42" s="970">
        <v>0</v>
      </c>
      <c r="JJ42" s="970">
        <v>18.946823529411766</v>
      </c>
      <c r="JK42" s="970">
        <v>4.6348965932934387</v>
      </c>
      <c r="JL42" s="970">
        <v>0</v>
      </c>
      <c r="JM42" s="970">
        <v>0</v>
      </c>
      <c r="JN42" s="970">
        <v>15.637117647058826</v>
      </c>
      <c r="JO42" s="970">
        <v>1.7451591580283121</v>
      </c>
      <c r="JP42" s="970">
        <v>0</v>
      </c>
      <c r="JQ42" s="970">
        <v>0</v>
      </c>
      <c r="JR42" s="970">
        <v>32.577705882352944</v>
      </c>
      <c r="JS42" s="971">
        <v>4.989682216623617</v>
      </c>
      <c r="JT42" s="969">
        <v>0</v>
      </c>
      <c r="JU42" s="970">
        <v>0</v>
      </c>
      <c r="JV42" s="970">
        <v>16.124176470588239</v>
      </c>
      <c r="JW42" s="970">
        <v>15.131121233396479</v>
      </c>
      <c r="JX42" s="970">
        <v>0</v>
      </c>
      <c r="JY42" s="970">
        <v>0</v>
      </c>
      <c r="JZ42" s="970">
        <v>13.262882352941176</v>
      </c>
      <c r="KA42" s="970">
        <v>10.972273498382354</v>
      </c>
      <c r="KB42" s="970">
        <v>0</v>
      </c>
      <c r="KC42" s="970">
        <v>0</v>
      </c>
      <c r="KD42" s="970">
        <v>27.90829411764706</v>
      </c>
      <c r="KE42" s="971">
        <v>17.716034633811688</v>
      </c>
      <c r="KF42" s="969">
        <v>0</v>
      </c>
      <c r="KG42" s="970">
        <v>0</v>
      </c>
      <c r="KH42" s="970">
        <v>16.997852941176472</v>
      </c>
      <c r="KI42" s="970">
        <v>14.297291965456159</v>
      </c>
      <c r="KJ42" s="970">
        <v>0</v>
      </c>
      <c r="KK42" s="970">
        <v>0</v>
      </c>
      <c r="KL42" s="970">
        <v>13.997764705882355</v>
      </c>
      <c r="KM42" s="970">
        <v>10.003724581723189</v>
      </c>
      <c r="KN42" s="970">
        <v>0</v>
      </c>
      <c r="KO42" s="970">
        <v>0</v>
      </c>
      <c r="KP42" s="970">
        <v>29.353588235294119</v>
      </c>
      <c r="KQ42" s="971">
        <v>17.19820266341581</v>
      </c>
      <c r="KR42" s="969">
        <v>0</v>
      </c>
      <c r="KS42" s="970">
        <v>0</v>
      </c>
      <c r="KT42" s="970">
        <v>17.333882352941178</v>
      </c>
      <c r="KU42" s="970">
        <v>21.20355140606415</v>
      </c>
      <c r="KV42" s="970">
        <v>0</v>
      </c>
      <c r="KW42" s="970">
        <v>0</v>
      </c>
      <c r="KX42" s="970">
        <v>14.280411764705883</v>
      </c>
      <c r="KY42" s="970">
        <v>16.160188061388183</v>
      </c>
      <c r="KZ42" s="970">
        <v>0</v>
      </c>
      <c r="LA42" s="970">
        <v>0</v>
      </c>
      <c r="LB42" s="970">
        <v>29.909470588235294</v>
      </c>
      <c r="LC42" s="971">
        <v>25.887941492024797</v>
      </c>
      <c r="LD42" s="969">
        <v>0</v>
      </c>
      <c r="LE42" s="970">
        <v>0</v>
      </c>
      <c r="LF42" s="970">
        <v>15.384911764705885</v>
      </c>
      <c r="LG42" s="970">
        <v>9.2266774847755055</v>
      </c>
      <c r="LH42" s="970">
        <v>0</v>
      </c>
      <c r="LI42" s="970">
        <v>0</v>
      </c>
      <c r="LJ42" s="970">
        <v>12.641058823529415</v>
      </c>
      <c r="LK42" s="970">
        <v>5.8298856458824302</v>
      </c>
      <c r="LL42" s="970">
        <v>0</v>
      </c>
      <c r="LM42" s="970">
        <v>0</v>
      </c>
      <c r="LN42" s="970">
        <v>26.685352941176475</v>
      </c>
      <c r="LO42" s="971">
        <v>9.8863646969249821</v>
      </c>
      <c r="LP42" s="969">
        <v>0</v>
      </c>
      <c r="LQ42" s="970">
        <v>0</v>
      </c>
      <c r="LR42" s="970">
        <v>17.737117647058824</v>
      </c>
      <c r="LS42" s="970">
        <v>12.795882608770349</v>
      </c>
      <c r="LT42" s="970">
        <v>0</v>
      </c>
      <c r="LU42" s="970">
        <v>0</v>
      </c>
      <c r="LV42" s="970">
        <v>14.61958823529412</v>
      </c>
      <c r="LW42" s="970">
        <v>8.3279054488208057</v>
      </c>
      <c r="LX42" s="970">
        <v>0</v>
      </c>
      <c r="LY42" s="970">
        <v>0</v>
      </c>
      <c r="LZ42" s="970">
        <v>30.57652941176471</v>
      </c>
      <c r="MA42" s="971">
        <v>15.18258800988689</v>
      </c>
      <c r="MB42" s="969">
        <v>0</v>
      </c>
      <c r="MC42" s="970">
        <v>0</v>
      </c>
      <c r="MD42" s="970">
        <v>17.938735294117649</v>
      </c>
      <c r="ME42" s="970">
        <v>16.204516236138023</v>
      </c>
      <c r="MF42" s="970">
        <v>0</v>
      </c>
      <c r="MG42" s="970">
        <v>0</v>
      </c>
      <c r="MH42" s="970">
        <v>14.789176470588238</v>
      </c>
      <c r="MI42" s="970">
        <v>11.676597373278858</v>
      </c>
      <c r="MJ42" s="970">
        <v>0</v>
      </c>
      <c r="MK42" s="970">
        <v>0</v>
      </c>
      <c r="ML42" s="970">
        <v>30.910058823529418</v>
      </c>
      <c r="MM42" s="971">
        <v>19.631239672171841</v>
      </c>
      <c r="MN42" s="969">
        <v>0</v>
      </c>
      <c r="MO42" s="970">
        <v>0</v>
      </c>
      <c r="MP42" s="970">
        <v>24.323294117647063</v>
      </c>
      <c r="MQ42" s="970">
        <v>9.1687437059102521</v>
      </c>
      <c r="MR42" s="970">
        <v>0</v>
      </c>
      <c r="MS42" s="970">
        <v>0</v>
      </c>
      <c r="MT42" s="970">
        <v>20.159470588235294</v>
      </c>
      <c r="MU42" s="970">
        <v>4.1751024536210268</v>
      </c>
      <c r="MV42" s="970">
        <v>0</v>
      </c>
      <c r="MW42" s="970">
        <v>0</v>
      </c>
      <c r="MX42" s="970">
        <v>41.471823529411765</v>
      </c>
      <c r="MY42" s="971">
        <v>10.402757003274164</v>
      </c>
      <c r="MZ42" s="969">
        <v>0</v>
      </c>
      <c r="NA42" s="970">
        <v>0</v>
      </c>
      <c r="NB42" s="970">
        <v>19.820500000000003</v>
      </c>
      <c r="NC42" s="970">
        <v>14.22664130827077</v>
      </c>
      <c r="ND42" s="970">
        <v>0</v>
      </c>
      <c r="NE42" s="970">
        <v>0</v>
      </c>
      <c r="NF42" s="970">
        <v>16.372</v>
      </c>
      <c r="NG42" s="970">
        <v>8.8036787989934098</v>
      </c>
      <c r="NH42" s="970">
        <v>0</v>
      </c>
      <c r="NI42" s="970">
        <v>0</v>
      </c>
      <c r="NJ42" s="970">
        <v>34.022999999999996</v>
      </c>
      <c r="NK42" s="971">
        <v>16.758369236368846</v>
      </c>
      <c r="NL42" s="969">
        <v>0</v>
      </c>
      <c r="NM42" s="970">
        <v>0</v>
      </c>
      <c r="NN42" s="970">
        <v>18.745205882352945</v>
      </c>
      <c r="NO42" s="970">
        <v>13.881762301555208</v>
      </c>
      <c r="NP42" s="970">
        <v>0</v>
      </c>
      <c r="NQ42" s="970">
        <v>0</v>
      </c>
      <c r="NR42" s="970">
        <v>15.467529411764708</v>
      </c>
      <c r="NS42" s="970">
        <v>9.5602528118732355</v>
      </c>
      <c r="NT42" s="970">
        <v>0</v>
      </c>
      <c r="NU42" s="970">
        <v>0</v>
      </c>
      <c r="NV42" s="970">
        <v>32.244176470588236</v>
      </c>
      <c r="NW42" s="971">
        <v>16.650653596429677</v>
      </c>
      <c r="NX42" s="969">
        <v>0</v>
      </c>
      <c r="NY42" s="970">
        <v>0</v>
      </c>
      <c r="NZ42" s="970">
        <v>17.535500000000003</v>
      </c>
      <c r="OA42" s="970">
        <v>18.177106837123318</v>
      </c>
      <c r="OB42" s="970">
        <v>0</v>
      </c>
      <c r="OC42" s="970">
        <v>0</v>
      </c>
      <c r="OD42" s="970">
        <v>14.450000000000003</v>
      </c>
      <c r="OE42" s="970">
        <v>13.516522933118525</v>
      </c>
      <c r="OF42" s="970">
        <v>0</v>
      </c>
      <c r="OG42" s="970">
        <v>0</v>
      </c>
      <c r="OH42" s="970">
        <v>30.243000000000002</v>
      </c>
      <c r="OI42" s="971">
        <v>22.161050828592348</v>
      </c>
      <c r="OJ42" s="969">
        <v>0</v>
      </c>
      <c r="OK42" s="970">
        <v>0</v>
      </c>
      <c r="OL42" s="970">
        <v>20.559764705882355</v>
      </c>
      <c r="OM42" s="970">
        <v>10.691146260173328</v>
      </c>
      <c r="ON42" s="970">
        <v>0</v>
      </c>
      <c r="OO42" s="970">
        <v>0</v>
      </c>
      <c r="OP42" s="970">
        <v>16.993823529411767</v>
      </c>
      <c r="OQ42" s="970">
        <v>6.2586224055614217</v>
      </c>
      <c r="OR42" s="970">
        <v>0</v>
      </c>
      <c r="OS42" s="970">
        <v>0</v>
      </c>
      <c r="OT42" s="970">
        <v>35.245941176470595</v>
      </c>
      <c r="OU42" s="971">
        <v>12.570374713493525</v>
      </c>
      <c r="OV42" s="969">
        <v>0</v>
      </c>
      <c r="OW42" s="970">
        <v>0</v>
      </c>
      <c r="OX42" s="970">
        <v>16.527411764705885</v>
      </c>
      <c r="OY42" s="970">
        <v>9.6862397200195751</v>
      </c>
      <c r="OZ42" s="970">
        <v>0</v>
      </c>
      <c r="PA42" s="970">
        <v>0</v>
      </c>
      <c r="PB42" s="970">
        <v>13.602058823529413</v>
      </c>
      <c r="PC42" s="970">
        <v>6.1364608816613035</v>
      </c>
      <c r="PD42" s="970">
        <v>0</v>
      </c>
      <c r="PE42" s="970">
        <v>0</v>
      </c>
      <c r="PF42" s="970">
        <v>28.575352941176476</v>
      </c>
      <c r="PG42" s="971">
        <v>10.903263256739617</v>
      </c>
      <c r="PH42" s="969">
        <v>0</v>
      </c>
      <c r="PI42" s="970">
        <v>0</v>
      </c>
      <c r="PJ42" s="970">
        <v>23.382411764705889</v>
      </c>
      <c r="PK42" s="970">
        <v>12.873179576341263</v>
      </c>
      <c r="PL42" s="970">
        <v>0</v>
      </c>
      <c r="PM42" s="970">
        <v>0</v>
      </c>
      <c r="PN42" s="970">
        <v>19.368058823529417</v>
      </c>
      <c r="PO42" s="970">
        <v>7.5964053470246542</v>
      </c>
      <c r="PP42" s="970">
        <v>0</v>
      </c>
      <c r="PQ42" s="970">
        <v>0</v>
      </c>
      <c r="PR42" s="970">
        <v>39.915352941176472</v>
      </c>
      <c r="PS42" s="971">
        <v>15.186309095139363</v>
      </c>
      <c r="PT42" s="969">
        <v>0</v>
      </c>
      <c r="PU42" s="970">
        <v>0</v>
      </c>
      <c r="PV42" s="970">
        <v>17.737117647058824</v>
      </c>
      <c r="PW42" s="970">
        <v>12.195172458839775</v>
      </c>
      <c r="PX42" s="970">
        <v>0</v>
      </c>
      <c r="PY42" s="970">
        <v>0</v>
      </c>
      <c r="PZ42" s="970">
        <v>14.61958823529412</v>
      </c>
      <c r="QA42" s="970">
        <v>8.3131585815385858</v>
      </c>
      <c r="QB42" s="970">
        <v>0</v>
      </c>
      <c r="QC42" s="970">
        <v>0</v>
      </c>
      <c r="QD42" s="970">
        <v>30.57652941176471</v>
      </c>
      <c r="QE42" s="971">
        <v>14.568626703153168</v>
      </c>
      <c r="QF42" s="969">
        <v>0</v>
      </c>
      <c r="QG42" s="970">
        <v>0</v>
      </c>
      <c r="QH42" s="970">
        <v>17.401088235294122</v>
      </c>
      <c r="QI42" s="970">
        <v>16.420552302175384</v>
      </c>
      <c r="QJ42" s="970">
        <v>0</v>
      </c>
      <c r="QK42" s="970">
        <v>0</v>
      </c>
      <c r="QL42" s="970">
        <v>14.336941176470591</v>
      </c>
      <c r="QM42" s="970">
        <v>11.892052681112323</v>
      </c>
      <c r="QN42" s="970">
        <v>0</v>
      </c>
      <c r="QO42" s="970">
        <v>0</v>
      </c>
      <c r="QP42" s="970">
        <v>30.020647058823535</v>
      </c>
      <c r="QQ42" s="971">
        <v>19.907355405151577</v>
      </c>
      <c r="QR42" s="969">
        <v>0</v>
      </c>
      <c r="QS42" s="970">
        <v>0</v>
      </c>
      <c r="QT42" s="970">
        <v>19.954911764705884</v>
      </c>
      <c r="QU42" s="970">
        <v>8.2862523416622107</v>
      </c>
      <c r="QV42" s="970">
        <v>0</v>
      </c>
      <c r="QW42" s="970">
        <v>0</v>
      </c>
      <c r="QX42" s="970">
        <v>16.485058823529414</v>
      </c>
      <c r="QY42" s="970">
        <v>4.0333161067056267</v>
      </c>
      <c r="QZ42" s="970">
        <v>0</v>
      </c>
      <c r="RA42" s="970">
        <v>0</v>
      </c>
      <c r="RB42" s="970">
        <v>34.245352941176478</v>
      </c>
      <c r="RC42" s="971">
        <v>9.4020726433208122</v>
      </c>
      <c r="RD42" s="969">
        <v>0</v>
      </c>
      <c r="RE42" s="970">
        <v>0</v>
      </c>
      <c r="RF42" s="970">
        <v>17.669911764705883</v>
      </c>
      <c r="RG42" s="970">
        <v>14.160292834885544</v>
      </c>
      <c r="RH42" s="970">
        <v>0</v>
      </c>
      <c r="RI42" s="970">
        <v>0</v>
      </c>
      <c r="RJ42" s="970">
        <v>14.563058823529413</v>
      </c>
      <c r="RK42" s="970">
        <v>9.8750447718060368</v>
      </c>
      <c r="RL42" s="970">
        <v>0</v>
      </c>
      <c r="RM42" s="970">
        <v>0</v>
      </c>
      <c r="RN42" s="970">
        <v>30.465352941176469</v>
      </c>
      <c r="RO42" s="971">
        <v>17.020454781880918</v>
      </c>
      <c r="RP42" s="969">
        <v>0</v>
      </c>
      <c r="RQ42" s="970">
        <v>0</v>
      </c>
      <c r="RR42" s="970">
        <v>17.535500000000003</v>
      </c>
      <c r="RS42" s="970">
        <v>13.479092103971391</v>
      </c>
      <c r="RT42" s="970">
        <v>0</v>
      </c>
      <c r="RU42" s="970">
        <v>0</v>
      </c>
      <c r="RV42" s="970">
        <v>14.450000000000003</v>
      </c>
      <c r="RW42" s="970">
        <v>9.2854062177560515</v>
      </c>
      <c r="RX42" s="970">
        <v>0</v>
      </c>
      <c r="RY42" s="970">
        <v>0</v>
      </c>
      <c r="RZ42" s="970">
        <v>30.243000000000002</v>
      </c>
      <c r="SA42" s="971">
        <v>16.156690436544931</v>
      </c>
    </row>
    <row r="43" spans="1:495">
      <c r="A43" s="966">
        <f>[3]Eingabedaten!A45</f>
        <v>12.04</v>
      </c>
      <c r="B43" s="169" t="str">
        <f>[3]Eingabedaten!C45</f>
        <v>Nebenraum</v>
      </c>
      <c r="C43" s="987">
        <f t="shared" si="1"/>
        <v>37</v>
      </c>
      <c r="D43" s="954" cm="1">
        <f t="array" ref="D43">INDEX($P$7:$SA$51,$C43,$G$3-1+D$2)</f>
        <v>0</v>
      </c>
      <c r="E43" s="955" cm="1">
        <f t="array" ref="E43">INDEX($P$7:$SA$51,$C43,$G$3-1+E$2)</f>
        <v>0</v>
      </c>
      <c r="F43" s="955" cm="1">
        <f t="array" ref="F43">INDEX($P$7:$SA$51,$C43,$G$3-1+F$2)</f>
        <v>10.323</v>
      </c>
      <c r="G43" s="955" cm="1">
        <f t="array" ref="G43">INDEX($P$7:$SA$51,$C43,$G$3-1+G$2)</f>
        <v>13.694354688484475</v>
      </c>
      <c r="H43" s="955" cm="1">
        <f t="array" ref="H43">INDEX($P$7:$SA$51,$C43,$G$3-1+H$2)</f>
        <v>0</v>
      </c>
      <c r="I43" s="955" cm="1">
        <f t="array" ref="I43">INDEX($P$7:$SA$51,$C43,$G$3-1+I$2)</f>
        <v>0</v>
      </c>
      <c r="J43" s="955" cm="1">
        <f t="array" ref="J43">INDEX($P$7:$SA$51,$C43,$G$3-1+J$2)</f>
        <v>8.31</v>
      </c>
      <c r="K43" s="955" cm="1">
        <f t="array" ref="K43">INDEX($P$7:$SA$51,$C43,$G$3-1+K$2)</f>
        <v>9.5852246990149297</v>
      </c>
      <c r="L43" s="955" cm="1">
        <f t="array" ref="L43">INDEX($P$7:$SA$51,$C43,$G$3-1+L$2)</f>
        <v>0</v>
      </c>
      <c r="M43" s="955" cm="1">
        <f t="array" ref="M43">INDEX($P$7:$SA$51,$C43,$G$3-1+M$2)</f>
        <v>0</v>
      </c>
      <c r="N43" s="955" cm="1">
        <f t="array" ref="N43">INDEX($P$7:$SA$51,$C43,$G$3-1+N$2)</f>
        <v>30.040000000000003</v>
      </c>
      <c r="O43" s="956" cm="1">
        <f t="array" ref="O43">INDEX($P$7:$SA$51,$C43,$G$3-1+O$2)</f>
        <v>40.443824115718328</v>
      </c>
      <c r="P43" s="969">
        <v>0</v>
      </c>
      <c r="Q43" s="970">
        <v>0</v>
      </c>
      <c r="R43" s="970">
        <v>11.416023529411765</v>
      </c>
      <c r="S43" s="970">
        <v>12.509724547880952</v>
      </c>
      <c r="T43" s="970">
        <v>0</v>
      </c>
      <c r="U43" s="970">
        <v>0</v>
      </c>
      <c r="V43" s="970">
        <v>9.1898823529411775</v>
      </c>
      <c r="W43" s="970">
        <v>7.331241141519131</v>
      </c>
      <c r="X43" s="970">
        <v>0</v>
      </c>
      <c r="Y43" s="970">
        <v>0</v>
      </c>
      <c r="Z43" s="970">
        <v>33.006823529411776</v>
      </c>
      <c r="AA43" s="971">
        <v>47.07813233210819</v>
      </c>
      <c r="AB43" s="969">
        <v>0</v>
      </c>
      <c r="AC43" s="970">
        <v>0</v>
      </c>
      <c r="AD43" s="970">
        <v>9.5133529411764712</v>
      </c>
      <c r="AE43" s="970">
        <v>13.452777728511169</v>
      </c>
      <c r="AF43" s="970">
        <v>0</v>
      </c>
      <c r="AG43" s="970">
        <v>0</v>
      </c>
      <c r="AH43" s="970">
        <v>7.6582352941176479</v>
      </c>
      <c r="AI43" s="970">
        <v>9.5303208269757764</v>
      </c>
      <c r="AJ43" s="970">
        <v>0</v>
      </c>
      <c r="AK43" s="970">
        <v>0</v>
      </c>
      <c r="AL43" s="970">
        <v>27.842352941176472</v>
      </c>
      <c r="AM43" s="971">
        <v>39.525420548171169</v>
      </c>
      <c r="AN43" s="969">
        <v>0</v>
      </c>
      <c r="AO43" s="970">
        <v>0</v>
      </c>
      <c r="AP43" s="970">
        <v>9.5538352941176488</v>
      </c>
      <c r="AQ43" s="970">
        <v>16.672548464417606</v>
      </c>
      <c r="AR43" s="970">
        <v>0</v>
      </c>
      <c r="AS43" s="970">
        <v>0</v>
      </c>
      <c r="AT43" s="970">
        <v>7.6908235294117659</v>
      </c>
      <c r="AU43" s="970">
        <v>12.000705497207305</v>
      </c>
      <c r="AV43" s="970">
        <v>0</v>
      </c>
      <c r="AW43" s="970">
        <v>0</v>
      </c>
      <c r="AX43" s="970">
        <v>27.952235294117649</v>
      </c>
      <c r="AY43" s="971">
        <v>45.206172331387108</v>
      </c>
      <c r="AZ43" s="969">
        <v>0</v>
      </c>
      <c r="BA43" s="970">
        <v>0</v>
      </c>
      <c r="BB43" s="970">
        <v>9.9181764705882358</v>
      </c>
      <c r="BC43" s="970">
        <v>11.994140411046574</v>
      </c>
      <c r="BD43" s="970">
        <v>0</v>
      </c>
      <c r="BE43" s="970">
        <v>0</v>
      </c>
      <c r="BF43" s="970">
        <v>7.9841176470588238</v>
      </c>
      <c r="BG43" s="970">
        <v>8.3805233436151561</v>
      </c>
      <c r="BH43" s="970">
        <v>0</v>
      </c>
      <c r="BI43" s="970">
        <v>0</v>
      </c>
      <c r="BJ43" s="970">
        <v>28.941176470588239</v>
      </c>
      <c r="BK43" s="971">
        <v>35.603661432127851</v>
      </c>
      <c r="BL43" s="969">
        <v>0</v>
      </c>
      <c r="BM43" s="970">
        <v>0</v>
      </c>
      <c r="BN43" s="970">
        <v>10.282517647058825</v>
      </c>
      <c r="BO43" s="970">
        <v>13.740469203487413</v>
      </c>
      <c r="BP43" s="970">
        <v>0</v>
      </c>
      <c r="BQ43" s="970">
        <v>0</v>
      </c>
      <c r="BR43" s="970">
        <v>8.2774117647058816</v>
      </c>
      <c r="BS43" s="970">
        <v>9.5231542069339508</v>
      </c>
      <c r="BT43" s="970">
        <v>0</v>
      </c>
      <c r="BU43" s="970">
        <v>0</v>
      </c>
      <c r="BV43" s="970">
        <v>29.930117647058822</v>
      </c>
      <c r="BW43" s="971">
        <v>41.077818106726461</v>
      </c>
      <c r="BX43" s="969">
        <v>0</v>
      </c>
      <c r="BY43" s="970">
        <v>0</v>
      </c>
      <c r="BZ43" s="970">
        <v>10.161070588235294</v>
      </c>
      <c r="CA43" s="970">
        <v>15.840739166494068</v>
      </c>
      <c r="CB43" s="970">
        <v>0</v>
      </c>
      <c r="CC43" s="970">
        <v>0</v>
      </c>
      <c r="CD43" s="970">
        <v>8.1796470588235302</v>
      </c>
      <c r="CE43" s="970">
        <v>11.325552773156398</v>
      </c>
      <c r="CF43" s="970">
        <v>0</v>
      </c>
      <c r="CG43" s="970">
        <v>0</v>
      </c>
      <c r="CH43" s="970">
        <v>29.600470588235297</v>
      </c>
      <c r="CI43" s="971">
        <v>44.016704449427053</v>
      </c>
      <c r="CJ43" s="969">
        <v>0</v>
      </c>
      <c r="CK43" s="970">
        <v>0</v>
      </c>
      <c r="CL43" s="970">
        <v>10.201552941176471</v>
      </c>
      <c r="CM43" s="970">
        <v>11.611865164253894</v>
      </c>
      <c r="CN43" s="970">
        <v>0</v>
      </c>
      <c r="CO43" s="970">
        <v>0</v>
      </c>
      <c r="CP43" s="970">
        <v>8.2122352941176473</v>
      </c>
      <c r="CQ43" s="970">
        <v>7.6589225422529497</v>
      </c>
      <c r="CR43" s="970">
        <v>0</v>
      </c>
      <c r="CS43" s="970">
        <v>0</v>
      </c>
      <c r="CT43" s="970">
        <v>29.710352941176474</v>
      </c>
      <c r="CU43" s="971">
        <v>37.173327893352955</v>
      </c>
      <c r="CV43" s="969">
        <v>0</v>
      </c>
      <c r="CW43" s="970">
        <v>0</v>
      </c>
      <c r="CX43" s="970">
        <v>12.590011764705883</v>
      </c>
      <c r="CY43" s="970">
        <v>13.538715382516189</v>
      </c>
      <c r="CZ43" s="970">
        <v>0</v>
      </c>
      <c r="DA43" s="970">
        <v>0</v>
      </c>
      <c r="DB43" s="970">
        <v>10.134941176470589</v>
      </c>
      <c r="DC43" s="970">
        <v>7.6930788072504894</v>
      </c>
      <c r="DD43" s="970">
        <v>0</v>
      </c>
      <c r="DE43" s="970">
        <v>0</v>
      </c>
      <c r="DF43" s="970">
        <v>36.193411764705886</v>
      </c>
      <c r="DG43" s="971">
        <v>48.357182956192332</v>
      </c>
      <c r="DH43" s="969">
        <v>0</v>
      </c>
      <c r="DI43" s="970">
        <v>0</v>
      </c>
      <c r="DJ43" s="970">
        <v>11.213611764705885</v>
      </c>
      <c r="DK43" s="970">
        <v>11.475648026761304</v>
      </c>
      <c r="DL43" s="970">
        <v>0</v>
      </c>
      <c r="DM43" s="970">
        <v>0</v>
      </c>
      <c r="DN43" s="970">
        <v>9.02694117647059</v>
      </c>
      <c r="DO43" s="970">
        <v>6.7450745031016517</v>
      </c>
      <c r="DP43" s="970">
        <v>0</v>
      </c>
      <c r="DQ43" s="970">
        <v>0</v>
      </c>
      <c r="DR43" s="970">
        <v>32.457411764705888</v>
      </c>
      <c r="DS43" s="971">
        <v>41.807868195926595</v>
      </c>
      <c r="DT43" s="969">
        <v>0</v>
      </c>
      <c r="DU43" s="970">
        <v>0</v>
      </c>
      <c r="DV43" s="970">
        <v>11.82084705882353</v>
      </c>
      <c r="DW43" s="970">
        <v>19.145720942115599</v>
      </c>
      <c r="DX43" s="970">
        <v>0</v>
      </c>
      <c r="DY43" s="970">
        <v>0</v>
      </c>
      <c r="DZ43" s="970">
        <v>9.5157647058823542</v>
      </c>
      <c r="EA43" s="970">
        <v>13.269411597184668</v>
      </c>
      <c r="EB43" s="970">
        <v>0</v>
      </c>
      <c r="EC43" s="970">
        <v>0</v>
      </c>
      <c r="ED43" s="970">
        <v>34.105647058823536</v>
      </c>
      <c r="EE43" s="971">
        <v>54.715190416812234</v>
      </c>
      <c r="EF43" s="969">
        <v>0</v>
      </c>
      <c r="EG43" s="970">
        <v>0</v>
      </c>
      <c r="EH43" s="970">
        <v>8.9870823529411776</v>
      </c>
      <c r="EI43" s="970">
        <v>11.540431811226387</v>
      </c>
      <c r="EJ43" s="970">
        <v>0</v>
      </c>
      <c r="EK43" s="970">
        <v>0</v>
      </c>
      <c r="EL43" s="970">
        <v>7.234588235294118</v>
      </c>
      <c r="EM43" s="970">
        <v>8.0649907504631813</v>
      </c>
      <c r="EN43" s="970">
        <v>0</v>
      </c>
      <c r="EO43" s="970">
        <v>0</v>
      </c>
      <c r="EP43" s="970">
        <v>26.413882352941179</v>
      </c>
      <c r="EQ43" s="971">
        <v>33.898405840899123</v>
      </c>
      <c r="ER43" s="969">
        <v>0</v>
      </c>
      <c r="ES43" s="970">
        <v>0</v>
      </c>
      <c r="ET43" s="970">
        <v>10.606376470588236</v>
      </c>
      <c r="EU43" s="970">
        <v>21.010019949666734</v>
      </c>
      <c r="EV43" s="970">
        <v>0</v>
      </c>
      <c r="EW43" s="970">
        <v>0</v>
      </c>
      <c r="EX43" s="970">
        <v>8.538117647058824</v>
      </c>
      <c r="EY43" s="970">
        <v>15.638111755908325</v>
      </c>
      <c r="EZ43" s="970">
        <v>0</v>
      </c>
      <c r="FA43" s="970">
        <v>0</v>
      </c>
      <c r="FB43" s="970">
        <v>30.809176470588241</v>
      </c>
      <c r="FC43" s="971">
        <v>54.499218245533086</v>
      </c>
      <c r="FD43" s="969">
        <v>0</v>
      </c>
      <c r="FE43" s="970">
        <v>0</v>
      </c>
      <c r="FF43" s="970">
        <v>13.521105882352943</v>
      </c>
      <c r="FG43" s="970">
        <v>15.774623895173493</v>
      </c>
      <c r="FH43" s="970">
        <v>0</v>
      </c>
      <c r="FI43" s="970">
        <v>0</v>
      </c>
      <c r="FJ43" s="970">
        <v>10.884470588235295</v>
      </c>
      <c r="FK43" s="970">
        <v>9.1765436060236532</v>
      </c>
      <c r="FL43" s="970">
        <v>0</v>
      </c>
      <c r="FM43" s="970">
        <v>0</v>
      </c>
      <c r="FN43" s="970">
        <v>38.720705882352945</v>
      </c>
      <c r="FO43" s="971">
        <v>53.349037232432323</v>
      </c>
      <c r="FP43" s="969">
        <v>0</v>
      </c>
      <c r="FQ43" s="970">
        <v>0</v>
      </c>
      <c r="FR43" s="970">
        <v>10.120588235294118</v>
      </c>
      <c r="FS43" s="970">
        <v>15.70883214451592</v>
      </c>
      <c r="FT43" s="970">
        <v>0</v>
      </c>
      <c r="FU43" s="970">
        <v>0</v>
      </c>
      <c r="FV43" s="970">
        <v>8.147058823529413</v>
      </c>
      <c r="FW43" s="970">
        <v>11.203400841086699</v>
      </c>
      <c r="FX43" s="970">
        <v>0</v>
      </c>
      <c r="FY43" s="970">
        <v>0</v>
      </c>
      <c r="FZ43" s="970">
        <v>29.490588235294119</v>
      </c>
      <c r="GA43" s="971">
        <v>43.96553206902712</v>
      </c>
      <c r="GB43" s="969">
        <v>0</v>
      </c>
      <c r="GC43" s="970">
        <v>0</v>
      </c>
      <c r="GD43" s="970">
        <v>10.120588235294118</v>
      </c>
      <c r="GE43" s="970">
        <v>15.65702450258506</v>
      </c>
      <c r="GF43" s="970">
        <v>0</v>
      </c>
      <c r="GG43" s="970">
        <v>0</v>
      </c>
      <c r="GH43" s="970">
        <v>8.147058823529413</v>
      </c>
      <c r="GI43" s="970">
        <v>10.79262479179137</v>
      </c>
      <c r="GJ43" s="970">
        <v>0</v>
      </c>
      <c r="GK43" s="970">
        <v>0</v>
      </c>
      <c r="GL43" s="970">
        <v>29.490588235294119</v>
      </c>
      <c r="GM43" s="971">
        <v>45.012981381872947</v>
      </c>
      <c r="GN43" s="969">
        <v>0</v>
      </c>
      <c r="GO43" s="970">
        <v>0</v>
      </c>
      <c r="GP43" s="970">
        <v>11.13264705882353</v>
      </c>
      <c r="GQ43" s="970">
        <v>13.390008496202395</v>
      </c>
      <c r="GR43" s="970">
        <v>0</v>
      </c>
      <c r="GS43" s="970">
        <v>0</v>
      </c>
      <c r="GT43" s="970">
        <v>8.961764705882354</v>
      </c>
      <c r="GU43" s="970">
        <v>8.3614497504100722</v>
      </c>
      <c r="GV43" s="970">
        <v>0</v>
      </c>
      <c r="GW43" s="970">
        <v>0</v>
      </c>
      <c r="GX43" s="970">
        <v>32.237647058823534</v>
      </c>
      <c r="GY43" s="971">
        <v>44.774514792029784</v>
      </c>
      <c r="GZ43" s="969">
        <v>0</v>
      </c>
      <c r="HA43" s="970">
        <v>0</v>
      </c>
      <c r="HB43" s="970">
        <v>11.173129411764707</v>
      </c>
      <c r="HC43" s="970">
        <v>17.698358489575575</v>
      </c>
      <c r="HD43" s="970">
        <v>0</v>
      </c>
      <c r="HE43" s="970">
        <v>0</v>
      </c>
      <c r="HF43" s="970">
        <v>8.9943529411764729</v>
      </c>
      <c r="HG43" s="970">
        <v>11.59732848061156</v>
      </c>
      <c r="HH43" s="970">
        <v>0</v>
      </c>
      <c r="HI43" s="970">
        <v>0</v>
      </c>
      <c r="HJ43" s="970">
        <v>32.347529411764711</v>
      </c>
      <c r="HK43" s="971">
        <v>52.796544949844687</v>
      </c>
      <c r="HL43" s="969">
        <v>0</v>
      </c>
      <c r="HM43" s="970">
        <v>0</v>
      </c>
      <c r="HN43" s="970">
        <v>7.8130941176470596</v>
      </c>
      <c r="HO43" s="970">
        <v>6.8746559124674054</v>
      </c>
      <c r="HP43" s="970">
        <v>0</v>
      </c>
      <c r="HQ43" s="970">
        <v>0</v>
      </c>
      <c r="HR43" s="970">
        <v>6.2895294117647058</v>
      </c>
      <c r="HS43" s="970">
        <v>4.2340298552850637</v>
      </c>
      <c r="HT43" s="970">
        <v>0</v>
      </c>
      <c r="HU43" s="970">
        <v>0</v>
      </c>
      <c r="HV43" s="970">
        <v>23.227294117647062</v>
      </c>
      <c r="HW43" s="971">
        <v>25.347902230958276</v>
      </c>
      <c r="HX43" s="969">
        <v>0</v>
      </c>
      <c r="HY43" s="970">
        <v>0</v>
      </c>
      <c r="HZ43" s="970">
        <v>7.6106823529411773</v>
      </c>
      <c r="IA43" s="970">
        <v>5.9516350404427758</v>
      </c>
      <c r="IB43" s="970">
        <v>0</v>
      </c>
      <c r="IC43" s="970">
        <v>0</v>
      </c>
      <c r="ID43" s="970">
        <v>6.1265882352941183</v>
      </c>
      <c r="IE43" s="970">
        <v>3.4332239336866617</v>
      </c>
      <c r="IF43" s="970">
        <v>0</v>
      </c>
      <c r="IG43" s="970">
        <v>0</v>
      </c>
      <c r="IH43" s="970">
        <v>22.677882352941182</v>
      </c>
      <c r="II43" s="971">
        <v>23.971299010667028</v>
      </c>
      <c r="IJ43" s="969">
        <v>0</v>
      </c>
      <c r="IK43" s="970">
        <v>0</v>
      </c>
      <c r="IL43" s="970">
        <v>9.8776941176470601</v>
      </c>
      <c r="IM43" s="970">
        <v>15.258480827345425</v>
      </c>
      <c r="IN43" s="970">
        <v>0</v>
      </c>
      <c r="IO43" s="970">
        <v>0</v>
      </c>
      <c r="IP43" s="970">
        <v>7.9515294117647057</v>
      </c>
      <c r="IQ43" s="970">
        <v>10.860798395681886</v>
      </c>
      <c r="IR43" s="970">
        <v>0</v>
      </c>
      <c r="IS43" s="970">
        <v>0</v>
      </c>
      <c r="IT43" s="970">
        <v>28.831294117647058</v>
      </c>
      <c r="IU43" s="971">
        <v>43.345581173859763</v>
      </c>
      <c r="IV43" s="969">
        <v>0</v>
      </c>
      <c r="IW43" s="970">
        <v>0</v>
      </c>
      <c r="IX43" s="970">
        <v>8.5012941176470598</v>
      </c>
      <c r="IY43" s="970">
        <v>8.9860381443054269</v>
      </c>
      <c r="IZ43" s="970">
        <v>0</v>
      </c>
      <c r="JA43" s="970">
        <v>0</v>
      </c>
      <c r="JB43" s="970">
        <v>6.8435294117647061</v>
      </c>
      <c r="JC43" s="970">
        <v>5.8272067991917833</v>
      </c>
      <c r="JD43" s="970">
        <v>0</v>
      </c>
      <c r="JE43" s="970">
        <v>0</v>
      </c>
      <c r="JF43" s="970">
        <v>25.095294117647057</v>
      </c>
      <c r="JG43" s="971">
        <v>30.318192987808853</v>
      </c>
      <c r="JH43" s="969">
        <v>0</v>
      </c>
      <c r="JI43" s="970">
        <v>0</v>
      </c>
      <c r="JJ43" s="970">
        <v>11.173129411764707</v>
      </c>
      <c r="JK43" s="970">
        <v>9.64578471194495</v>
      </c>
      <c r="JL43" s="970">
        <v>0</v>
      </c>
      <c r="JM43" s="970">
        <v>0</v>
      </c>
      <c r="JN43" s="970">
        <v>8.9943529411764729</v>
      </c>
      <c r="JO43" s="970">
        <v>5.353818646940657</v>
      </c>
      <c r="JP43" s="970">
        <v>0</v>
      </c>
      <c r="JQ43" s="970">
        <v>0</v>
      </c>
      <c r="JR43" s="970">
        <v>32.347529411764711</v>
      </c>
      <c r="JS43" s="971">
        <v>37.125673012967219</v>
      </c>
      <c r="JT43" s="969">
        <v>0</v>
      </c>
      <c r="JU43" s="970">
        <v>0</v>
      </c>
      <c r="JV43" s="970">
        <v>9.4728705882352955</v>
      </c>
      <c r="JW43" s="970">
        <v>13.981373879190972</v>
      </c>
      <c r="JX43" s="970">
        <v>0</v>
      </c>
      <c r="JY43" s="970">
        <v>0</v>
      </c>
      <c r="JZ43" s="970">
        <v>7.6256470588235299</v>
      </c>
      <c r="KA43" s="970">
        <v>10.110426221049494</v>
      </c>
      <c r="KB43" s="970">
        <v>0</v>
      </c>
      <c r="KC43" s="970">
        <v>0</v>
      </c>
      <c r="KD43" s="970">
        <v>27.732470588235294</v>
      </c>
      <c r="KE43" s="971">
        <v>39.942617575559503</v>
      </c>
      <c r="KF43" s="969">
        <v>0</v>
      </c>
      <c r="KG43" s="970">
        <v>0</v>
      </c>
      <c r="KH43" s="970">
        <v>9.9991411764705873</v>
      </c>
      <c r="KI43" s="970">
        <v>13.952142223579628</v>
      </c>
      <c r="KJ43" s="970">
        <v>0</v>
      </c>
      <c r="KK43" s="970">
        <v>0</v>
      </c>
      <c r="KL43" s="970">
        <v>8.049294117647058</v>
      </c>
      <c r="KM43" s="970">
        <v>9.9338167582955972</v>
      </c>
      <c r="KN43" s="970">
        <v>0</v>
      </c>
      <c r="KO43" s="970">
        <v>0</v>
      </c>
      <c r="KP43" s="970">
        <v>29.160941176470594</v>
      </c>
      <c r="KQ43" s="971">
        <v>40.209664939860467</v>
      </c>
      <c r="KR43" s="969">
        <v>0</v>
      </c>
      <c r="KS43" s="970">
        <v>0</v>
      </c>
      <c r="KT43" s="970">
        <v>10.201552941176471</v>
      </c>
      <c r="KU43" s="970">
        <v>18.634819297348059</v>
      </c>
      <c r="KV43" s="970">
        <v>0</v>
      </c>
      <c r="KW43" s="970">
        <v>0</v>
      </c>
      <c r="KX43" s="970">
        <v>8.2122352941176473</v>
      </c>
      <c r="KY43" s="970">
        <v>13.657129767181534</v>
      </c>
      <c r="KZ43" s="970">
        <v>0</v>
      </c>
      <c r="LA43" s="970">
        <v>0</v>
      </c>
      <c r="LB43" s="970">
        <v>29.710352941176474</v>
      </c>
      <c r="LC43" s="971">
        <v>50.275731051715788</v>
      </c>
      <c r="LD43" s="969">
        <v>0</v>
      </c>
      <c r="LE43" s="970">
        <v>0</v>
      </c>
      <c r="LF43" s="970">
        <v>9.0275647058823534</v>
      </c>
      <c r="LG43" s="970">
        <v>10.765806291517061</v>
      </c>
      <c r="LH43" s="970">
        <v>0</v>
      </c>
      <c r="LI43" s="970">
        <v>0</v>
      </c>
      <c r="LJ43" s="970">
        <v>7.267176470588236</v>
      </c>
      <c r="LK43" s="970">
        <v>7.4378393965151188</v>
      </c>
      <c r="LL43" s="970">
        <v>0</v>
      </c>
      <c r="LM43" s="970">
        <v>0</v>
      </c>
      <c r="LN43" s="970">
        <v>26.52376470588236</v>
      </c>
      <c r="LO43" s="971">
        <v>32.23694988975722</v>
      </c>
      <c r="LP43" s="969">
        <v>0</v>
      </c>
      <c r="LQ43" s="970">
        <v>0</v>
      </c>
      <c r="LR43" s="970">
        <v>10.444447058823531</v>
      </c>
      <c r="LS43" s="970">
        <v>15.476106497573406</v>
      </c>
      <c r="LT43" s="970">
        <v>0</v>
      </c>
      <c r="LU43" s="970">
        <v>0</v>
      </c>
      <c r="LV43" s="970">
        <v>8.4077647058823537</v>
      </c>
      <c r="LW43" s="970">
        <v>10.052235600863519</v>
      </c>
      <c r="LX43" s="970">
        <v>0</v>
      </c>
      <c r="LY43" s="970">
        <v>0</v>
      </c>
      <c r="LZ43" s="970">
        <v>30.369647058823535</v>
      </c>
      <c r="MA43" s="971">
        <v>48.963141149841974</v>
      </c>
      <c r="MB43" s="969">
        <v>0</v>
      </c>
      <c r="MC43" s="970">
        <v>0</v>
      </c>
      <c r="MD43" s="970">
        <v>10.565894117647058</v>
      </c>
      <c r="ME43" s="970">
        <v>15.29214154308352</v>
      </c>
      <c r="MF43" s="970">
        <v>0</v>
      </c>
      <c r="MG43" s="970">
        <v>0</v>
      </c>
      <c r="MH43" s="970">
        <v>8.5055294117647069</v>
      </c>
      <c r="MI43" s="970">
        <v>10.807187452801941</v>
      </c>
      <c r="MJ43" s="970">
        <v>0</v>
      </c>
      <c r="MK43" s="970">
        <v>0</v>
      </c>
      <c r="ML43" s="970">
        <v>30.699294117647064</v>
      </c>
      <c r="MM43" s="971">
        <v>43.478084004424161</v>
      </c>
      <c r="MN43" s="969">
        <v>0</v>
      </c>
      <c r="MO43" s="970">
        <v>0</v>
      </c>
      <c r="MP43" s="970">
        <v>14.411717647058826</v>
      </c>
      <c r="MQ43" s="970">
        <v>15.709969377659107</v>
      </c>
      <c r="MR43" s="970">
        <v>0</v>
      </c>
      <c r="MS43" s="970">
        <v>0</v>
      </c>
      <c r="MT43" s="970">
        <v>11.601411764705885</v>
      </c>
      <c r="MU43" s="970">
        <v>8.7714427589704655</v>
      </c>
      <c r="MV43" s="970">
        <v>0</v>
      </c>
      <c r="MW43" s="970">
        <v>0</v>
      </c>
      <c r="MX43" s="970">
        <v>41.138117647058827</v>
      </c>
      <c r="MY43" s="971">
        <v>53.461247533616202</v>
      </c>
      <c r="MZ43" s="969">
        <v>0</v>
      </c>
      <c r="NA43" s="970">
        <v>0</v>
      </c>
      <c r="NB43" s="970">
        <v>11.699399999999999</v>
      </c>
      <c r="NC43" s="970">
        <v>17.367619615942544</v>
      </c>
      <c r="ND43" s="970">
        <v>0</v>
      </c>
      <c r="NE43" s="970">
        <v>0</v>
      </c>
      <c r="NF43" s="970">
        <v>9.418000000000001</v>
      </c>
      <c r="NG43" s="970">
        <v>11.306925091638535</v>
      </c>
      <c r="NH43" s="970">
        <v>0</v>
      </c>
      <c r="NI43" s="970">
        <v>0</v>
      </c>
      <c r="NJ43" s="970">
        <v>33.775999999999996</v>
      </c>
      <c r="NK43" s="971">
        <v>57.013749758412715</v>
      </c>
      <c r="NL43" s="969">
        <v>0</v>
      </c>
      <c r="NM43" s="970">
        <v>0</v>
      </c>
      <c r="NN43" s="970">
        <v>11.051682352941178</v>
      </c>
      <c r="NO43" s="970">
        <v>14.514705934047392</v>
      </c>
      <c r="NP43" s="970">
        <v>0</v>
      </c>
      <c r="NQ43" s="970">
        <v>0</v>
      </c>
      <c r="NR43" s="970">
        <v>8.8965882352941179</v>
      </c>
      <c r="NS43" s="970">
        <v>9.9083909224660172</v>
      </c>
      <c r="NT43" s="970">
        <v>0</v>
      </c>
      <c r="NU43" s="970">
        <v>0</v>
      </c>
      <c r="NV43" s="970">
        <v>32.017882352941186</v>
      </c>
      <c r="NW43" s="971">
        <v>43.536885813635088</v>
      </c>
      <c r="NX43" s="969">
        <v>0</v>
      </c>
      <c r="NY43" s="970">
        <v>0</v>
      </c>
      <c r="NZ43" s="970">
        <v>10.323</v>
      </c>
      <c r="OA43" s="970">
        <v>16.625457687913809</v>
      </c>
      <c r="OB43" s="970">
        <v>0</v>
      </c>
      <c r="OC43" s="970">
        <v>0</v>
      </c>
      <c r="OD43" s="970">
        <v>8.31</v>
      </c>
      <c r="OE43" s="970">
        <v>11.796909851790611</v>
      </c>
      <c r="OF43" s="970">
        <v>0</v>
      </c>
      <c r="OG43" s="970">
        <v>0</v>
      </c>
      <c r="OH43" s="970">
        <v>30.040000000000003</v>
      </c>
      <c r="OI43" s="971">
        <v>45.747159557434323</v>
      </c>
      <c r="OJ43" s="969">
        <v>0</v>
      </c>
      <c r="OK43" s="970">
        <v>0</v>
      </c>
      <c r="OL43" s="970">
        <v>12.144705882352943</v>
      </c>
      <c r="OM43" s="970">
        <v>13.875392891614533</v>
      </c>
      <c r="ON43" s="970">
        <v>0</v>
      </c>
      <c r="OO43" s="970">
        <v>0</v>
      </c>
      <c r="OP43" s="970">
        <v>9.7764705882352949</v>
      </c>
      <c r="OQ43" s="970">
        <v>8.5796016969996103</v>
      </c>
      <c r="OR43" s="970">
        <v>0</v>
      </c>
      <c r="OS43" s="970">
        <v>0</v>
      </c>
      <c r="OT43" s="970">
        <v>34.984705882352941</v>
      </c>
      <c r="OU43" s="971">
        <v>45.715340095716357</v>
      </c>
      <c r="OV43" s="969">
        <v>0</v>
      </c>
      <c r="OW43" s="970">
        <v>0</v>
      </c>
      <c r="OX43" s="970">
        <v>9.7157647058823535</v>
      </c>
      <c r="OY43" s="970">
        <v>11.690119064195951</v>
      </c>
      <c r="OZ43" s="970">
        <v>0</v>
      </c>
      <c r="PA43" s="970">
        <v>0</v>
      </c>
      <c r="PB43" s="970">
        <v>7.8211764705882363</v>
      </c>
      <c r="PC43" s="970">
        <v>7.7237062529460445</v>
      </c>
      <c r="PD43" s="970">
        <v>0</v>
      </c>
      <c r="PE43" s="970">
        <v>0</v>
      </c>
      <c r="PF43" s="970">
        <v>28.391764705882359</v>
      </c>
      <c r="PG43" s="971">
        <v>35.400934784086139</v>
      </c>
      <c r="PH43" s="969">
        <v>0</v>
      </c>
      <c r="PI43" s="970">
        <v>0</v>
      </c>
      <c r="PJ43" s="970">
        <v>13.844964705882356</v>
      </c>
      <c r="PK43" s="970">
        <v>16.872098399107127</v>
      </c>
      <c r="PL43" s="970">
        <v>0</v>
      </c>
      <c r="PM43" s="970">
        <v>0</v>
      </c>
      <c r="PN43" s="970">
        <v>11.145176470588238</v>
      </c>
      <c r="PO43" s="970">
        <v>10.394396729079286</v>
      </c>
      <c r="PP43" s="970">
        <v>0</v>
      </c>
      <c r="PQ43" s="970">
        <v>0</v>
      </c>
      <c r="PR43" s="970">
        <v>39.599764705882357</v>
      </c>
      <c r="PS43" s="971">
        <v>50.201198854039163</v>
      </c>
      <c r="PT43" s="969">
        <v>0</v>
      </c>
      <c r="PU43" s="970">
        <v>0</v>
      </c>
      <c r="PV43" s="970">
        <v>10.444447058823531</v>
      </c>
      <c r="PW43" s="970">
        <v>12.9651784094698</v>
      </c>
      <c r="PX43" s="970">
        <v>0</v>
      </c>
      <c r="PY43" s="970">
        <v>0</v>
      </c>
      <c r="PZ43" s="970">
        <v>8.4077647058823537</v>
      </c>
      <c r="QA43" s="970">
        <v>8.9332428972745195</v>
      </c>
      <c r="QB43" s="970">
        <v>0</v>
      </c>
      <c r="QC43" s="970">
        <v>0</v>
      </c>
      <c r="QD43" s="970">
        <v>30.369647058823535</v>
      </c>
      <c r="QE43" s="971">
        <v>38.90289323950158</v>
      </c>
      <c r="QF43" s="969">
        <v>0</v>
      </c>
      <c r="QG43" s="970">
        <v>0</v>
      </c>
      <c r="QH43" s="970">
        <v>10.242035294117649</v>
      </c>
      <c r="QI43" s="970">
        <v>15.295241541989993</v>
      </c>
      <c r="QJ43" s="970">
        <v>0</v>
      </c>
      <c r="QK43" s="970">
        <v>0</v>
      </c>
      <c r="QL43" s="970">
        <v>8.2448235294117644</v>
      </c>
      <c r="QM43" s="970">
        <v>10.905391990999638</v>
      </c>
      <c r="QN43" s="970">
        <v>0</v>
      </c>
      <c r="QO43" s="970">
        <v>0</v>
      </c>
      <c r="QP43" s="970">
        <v>29.820235294117655</v>
      </c>
      <c r="QQ43" s="971">
        <v>43.515057944914126</v>
      </c>
      <c r="QR43" s="969">
        <v>0</v>
      </c>
      <c r="QS43" s="970">
        <v>0</v>
      </c>
      <c r="QT43" s="970">
        <v>11.780364705882356</v>
      </c>
      <c r="QU43" s="970">
        <v>13.883205532668093</v>
      </c>
      <c r="QV43" s="970">
        <v>0</v>
      </c>
      <c r="QW43" s="970">
        <v>0</v>
      </c>
      <c r="QX43" s="970">
        <v>9.4831764705882371</v>
      </c>
      <c r="QY43" s="970">
        <v>8.0145543767017635</v>
      </c>
      <c r="QZ43" s="970">
        <v>0</v>
      </c>
      <c r="RA43" s="970">
        <v>0</v>
      </c>
      <c r="RB43" s="970">
        <v>33.995764705882358</v>
      </c>
      <c r="RC43" s="971">
        <v>51.609686150023677</v>
      </c>
      <c r="RD43" s="969">
        <v>0</v>
      </c>
      <c r="RE43" s="970">
        <v>0</v>
      </c>
      <c r="RF43" s="970">
        <v>10.403964705882352</v>
      </c>
      <c r="RG43" s="970">
        <v>14.110944549362443</v>
      </c>
      <c r="RH43" s="970">
        <v>0</v>
      </c>
      <c r="RI43" s="970">
        <v>0</v>
      </c>
      <c r="RJ43" s="970">
        <v>8.3751764705882366</v>
      </c>
      <c r="RK43" s="970">
        <v>9.9063719798427456</v>
      </c>
      <c r="RL43" s="970">
        <v>0</v>
      </c>
      <c r="RM43" s="970">
        <v>0</v>
      </c>
      <c r="RN43" s="970">
        <v>30.259764705882358</v>
      </c>
      <c r="RO43" s="971">
        <v>41.13361430987441</v>
      </c>
      <c r="RP43" s="969">
        <v>0</v>
      </c>
      <c r="RQ43" s="970">
        <v>0</v>
      </c>
      <c r="RR43" s="970">
        <v>10.323</v>
      </c>
      <c r="RS43" s="970">
        <v>13.694354688484475</v>
      </c>
      <c r="RT43" s="970">
        <v>0</v>
      </c>
      <c r="RU43" s="970">
        <v>0</v>
      </c>
      <c r="RV43" s="970">
        <v>8.31</v>
      </c>
      <c r="RW43" s="970">
        <v>9.5852246990149297</v>
      </c>
      <c r="RX43" s="970">
        <v>0</v>
      </c>
      <c r="RY43" s="970">
        <v>0</v>
      </c>
      <c r="RZ43" s="970">
        <v>30.040000000000003</v>
      </c>
      <c r="SA43" s="971">
        <v>40.443824115718328</v>
      </c>
    </row>
    <row r="44" spans="1:495">
      <c r="A44" s="966">
        <f>[3]Eingabedaten!A46</f>
        <v>12.05</v>
      </c>
      <c r="B44" s="169" t="str">
        <f>[3]Eingabedaten!C46</f>
        <v>Küche, Teeküche</v>
      </c>
      <c r="C44" s="987">
        <f t="shared" si="1"/>
        <v>38</v>
      </c>
      <c r="D44" s="954" cm="1">
        <f t="array" ref="D44">INDEX($P$7:$SA$51,$C44,$G$3-1+D$2)</f>
        <v>0</v>
      </c>
      <c r="E44" s="955" cm="1">
        <f t="array" ref="E44">INDEX($P$7:$SA$51,$C44,$G$3-1+E$2)</f>
        <v>0</v>
      </c>
      <c r="F44" s="955" cm="1">
        <f t="array" ref="F44">INDEX($P$7:$SA$51,$C44,$G$3-1+F$2)</f>
        <v>11.537470588235294</v>
      </c>
      <c r="G44" s="955" cm="1">
        <f t="array" ref="G44">INDEX($P$7:$SA$51,$C44,$G$3-1+G$2)</f>
        <v>0.70277247260989306</v>
      </c>
      <c r="H44" s="955" cm="1">
        <f t="array" ref="H44">INDEX($P$7:$SA$51,$C44,$G$3-1+H$2)</f>
        <v>0</v>
      </c>
      <c r="I44" s="955" cm="1">
        <f t="array" ref="I44">INDEX($P$7:$SA$51,$C44,$G$3-1+I$2)</f>
        <v>0</v>
      </c>
      <c r="J44" s="955" cm="1">
        <f t="array" ref="J44">INDEX($P$7:$SA$51,$C44,$G$3-1+J$2)</f>
        <v>9.2876470588235307</v>
      </c>
      <c r="K44" s="955" cm="1">
        <f t="array" ref="K44">INDEX($P$7:$SA$51,$C44,$G$3-1+K$2)</f>
        <v>0.3184492339927722</v>
      </c>
      <c r="L44" s="955" cm="1">
        <f t="array" ref="L44">INDEX($P$7:$SA$51,$C44,$G$3-1+L$2)</f>
        <v>0</v>
      </c>
      <c r="M44" s="955" cm="1">
        <f t="array" ref="M44">INDEX($P$7:$SA$51,$C44,$G$3-1+M$2)</f>
        <v>0</v>
      </c>
      <c r="N44" s="955" cm="1">
        <f t="array" ref="N44">INDEX($P$7:$SA$51,$C44,$G$3-1+N$2)</f>
        <v>33.336470588235301</v>
      </c>
      <c r="O44" s="956" cm="1">
        <f t="array" ref="O44">INDEX($P$7:$SA$51,$C44,$G$3-1+O$2)</f>
        <v>105.51346048969558</v>
      </c>
      <c r="P44" s="969">
        <v>0</v>
      </c>
      <c r="Q44" s="970">
        <v>0</v>
      </c>
      <c r="R44" s="970">
        <v>12.630494117647061</v>
      </c>
      <c r="S44" s="970">
        <v>0.65391882794430622</v>
      </c>
      <c r="T44" s="970">
        <v>0</v>
      </c>
      <c r="U44" s="970">
        <v>0</v>
      </c>
      <c r="V44" s="970">
        <v>10.167529411764706</v>
      </c>
      <c r="W44" s="970">
        <v>0.24284511224487282</v>
      </c>
      <c r="X44" s="970">
        <v>0</v>
      </c>
      <c r="Y44" s="970">
        <v>0</v>
      </c>
      <c r="Z44" s="970">
        <v>36.30329411764707</v>
      </c>
      <c r="AA44" s="971">
        <v>141.24088645858654</v>
      </c>
      <c r="AB44" s="969">
        <v>0</v>
      </c>
      <c r="AC44" s="970">
        <v>0</v>
      </c>
      <c r="AD44" s="970">
        <v>10.727823529411765</v>
      </c>
      <c r="AE44" s="970">
        <v>0.568710267191194</v>
      </c>
      <c r="AF44" s="970">
        <v>0</v>
      </c>
      <c r="AG44" s="970">
        <v>0</v>
      </c>
      <c r="AH44" s="970">
        <v>8.6358823529411772</v>
      </c>
      <c r="AI44" s="970">
        <v>0.25979239473607113</v>
      </c>
      <c r="AJ44" s="970">
        <v>0</v>
      </c>
      <c r="AK44" s="970">
        <v>0</v>
      </c>
      <c r="AL44" s="970">
        <v>31.138823529411766</v>
      </c>
      <c r="AM44" s="971">
        <v>99.416008049306143</v>
      </c>
      <c r="AN44" s="969">
        <v>0</v>
      </c>
      <c r="AO44" s="970">
        <v>0</v>
      </c>
      <c r="AP44" s="970">
        <v>10.768305882352943</v>
      </c>
      <c r="AQ44" s="970">
        <v>0.88318168990741619</v>
      </c>
      <c r="AR44" s="970">
        <v>0</v>
      </c>
      <c r="AS44" s="970">
        <v>0</v>
      </c>
      <c r="AT44" s="970">
        <v>8.6684705882352944</v>
      </c>
      <c r="AU44" s="970">
        <v>0.45954485736507067</v>
      </c>
      <c r="AV44" s="970">
        <v>0</v>
      </c>
      <c r="AW44" s="970">
        <v>0</v>
      </c>
      <c r="AX44" s="970">
        <v>31.248705882352947</v>
      </c>
      <c r="AY44" s="971">
        <v>105.76981790812287</v>
      </c>
      <c r="AZ44" s="969">
        <v>0</v>
      </c>
      <c r="BA44" s="970">
        <v>0</v>
      </c>
      <c r="BB44" s="970">
        <v>11.13264705882353</v>
      </c>
      <c r="BC44" s="970">
        <v>0.36342119820531299</v>
      </c>
      <c r="BD44" s="970">
        <v>0</v>
      </c>
      <c r="BE44" s="970">
        <v>0</v>
      </c>
      <c r="BF44" s="970">
        <v>8.961764705882354</v>
      </c>
      <c r="BG44" s="970">
        <v>0.15630341487038285</v>
      </c>
      <c r="BH44" s="970">
        <v>0</v>
      </c>
      <c r="BI44" s="970">
        <v>0</v>
      </c>
      <c r="BJ44" s="970">
        <v>32.237647058823534</v>
      </c>
      <c r="BK44" s="971">
        <v>91.752578675529307</v>
      </c>
      <c r="BL44" s="969">
        <v>0</v>
      </c>
      <c r="BM44" s="970">
        <v>0</v>
      </c>
      <c r="BN44" s="970">
        <v>11.496988235294118</v>
      </c>
      <c r="BO44" s="970">
        <v>0.79172737035453455</v>
      </c>
      <c r="BP44" s="970">
        <v>0</v>
      </c>
      <c r="BQ44" s="970">
        <v>0</v>
      </c>
      <c r="BR44" s="970">
        <v>9.2550588235294118</v>
      </c>
      <c r="BS44" s="970">
        <v>0.35591920144896871</v>
      </c>
      <c r="BT44" s="970">
        <v>0</v>
      </c>
      <c r="BU44" s="970">
        <v>0</v>
      </c>
      <c r="BV44" s="970">
        <v>33.226588235294116</v>
      </c>
      <c r="BW44" s="971">
        <v>108.76037814544547</v>
      </c>
      <c r="BX44" s="969">
        <v>0</v>
      </c>
      <c r="BY44" s="970">
        <v>0</v>
      </c>
      <c r="BZ44" s="970">
        <v>11.375541176470591</v>
      </c>
      <c r="CA44" s="970">
        <v>0.95829205163067654</v>
      </c>
      <c r="CB44" s="970">
        <v>0</v>
      </c>
      <c r="CC44" s="970">
        <v>0</v>
      </c>
      <c r="CD44" s="970">
        <v>9.1572941176470604</v>
      </c>
      <c r="CE44" s="970">
        <v>0.48236872419715082</v>
      </c>
      <c r="CF44" s="970">
        <v>0</v>
      </c>
      <c r="CG44" s="970">
        <v>0</v>
      </c>
      <c r="CH44" s="970">
        <v>32.896941176470591</v>
      </c>
      <c r="CI44" s="971">
        <v>107.61901953912266</v>
      </c>
      <c r="CJ44" s="969">
        <v>0</v>
      </c>
      <c r="CK44" s="970">
        <v>0</v>
      </c>
      <c r="CL44" s="970">
        <v>11.416023529411765</v>
      </c>
      <c r="CM44" s="970">
        <v>0.45367784383385878</v>
      </c>
      <c r="CN44" s="970">
        <v>0</v>
      </c>
      <c r="CO44" s="970">
        <v>0</v>
      </c>
      <c r="CP44" s="970">
        <v>9.1898823529411775</v>
      </c>
      <c r="CQ44" s="970">
        <v>0.18571141661719456</v>
      </c>
      <c r="CR44" s="970">
        <v>0</v>
      </c>
      <c r="CS44" s="970">
        <v>0</v>
      </c>
      <c r="CT44" s="970">
        <v>33.006823529411776</v>
      </c>
      <c r="CU44" s="971">
        <v>100.46189227680637</v>
      </c>
      <c r="CV44" s="969">
        <v>0</v>
      </c>
      <c r="CW44" s="970">
        <v>0</v>
      </c>
      <c r="CX44" s="970">
        <v>13.804482352941177</v>
      </c>
      <c r="CY44" s="970">
        <v>1.560419550589089</v>
      </c>
      <c r="CZ44" s="970">
        <v>0</v>
      </c>
      <c r="DA44" s="970">
        <v>0</v>
      </c>
      <c r="DB44" s="970">
        <v>11.112588235294119</v>
      </c>
      <c r="DC44" s="970">
        <v>0.60173542433940186</v>
      </c>
      <c r="DD44" s="970">
        <v>0</v>
      </c>
      <c r="DE44" s="970">
        <v>0</v>
      </c>
      <c r="DF44" s="970">
        <v>39.48988235294118</v>
      </c>
      <c r="DG44" s="971">
        <v>168.50065687161126</v>
      </c>
      <c r="DH44" s="969">
        <v>0</v>
      </c>
      <c r="DI44" s="970">
        <v>0</v>
      </c>
      <c r="DJ44" s="970">
        <v>12.428082352941177</v>
      </c>
      <c r="DK44" s="970">
        <v>0.56108548690164661</v>
      </c>
      <c r="DL44" s="970">
        <v>0</v>
      </c>
      <c r="DM44" s="970">
        <v>0</v>
      </c>
      <c r="DN44" s="970">
        <v>10.004588235294118</v>
      </c>
      <c r="DO44" s="970">
        <v>0.20554896007214582</v>
      </c>
      <c r="DP44" s="970">
        <v>0</v>
      </c>
      <c r="DQ44" s="970">
        <v>0</v>
      </c>
      <c r="DR44" s="970">
        <v>35.753882352941183</v>
      </c>
      <c r="DS44" s="971">
        <v>129.59588583343756</v>
      </c>
      <c r="DT44" s="969">
        <v>0</v>
      </c>
      <c r="DU44" s="970">
        <v>0</v>
      </c>
      <c r="DV44" s="970">
        <v>13.035317647058825</v>
      </c>
      <c r="DW44" s="970">
        <v>2.2612153377562163</v>
      </c>
      <c r="DX44" s="970">
        <v>0</v>
      </c>
      <c r="DY44" s="970">
        <v>0</v>
      </c>
      <c r="DZ44" s="970">
        <v>10.493411764705884</v>
      </c>
      <c r="EA44" s="970">
        <v>1.2026323348169452</v>
      </c>
      <c r="EB44" s="970">
        <v>0</v>
      </c>
      <c r="EC44" s="970">
        <v>0</v>
      </c>
      <c r="ED44" s="970">
        <v>37.40211764705883</v>
      </c>
      <c r="EE44" s="971">
        <v>145.63891156816487</v>
      </c>
      <c r="EF44" s="969">
        <v>0</v>
      </c>
      <c r="EG44" s="970">
        <v>0</v>
      </c>
      <c r="EH44" s="970">
        <v>10.201552941176471</v>
      </c>
      <c r="EI44" s="970">
        <v>0.34936512568295663</v>
      </c>
      <c r="EJ44" s="970">
        <v>0</v>
      </c>
      <c r="EK44" s="970">
        <v>0</v>
      </c>
      <c r="EL44" s="970">
        <v>8.2122352941176473</v>
      </c>
      <c r="EM44" s="970">
        <v>0.14888665142761806</v>
      </c>
      <c r="EN44" s="970">
        <v>0</v>
      </c>
      <c r="EO44" s="970">
        <v>0</v>
      </c>
      <c r="EP44" s="970">
        <v>29.710352941176474</v>
      </c>
      <c r="EQ44" s="971">
        <v>89.715717244022116</v>
      </c>
      <c r="ER44" s="969">
        <v>0</v>
      </c>
      <c r="ES44" s="970">
        <v>0</v>
      </c>
      <c r="ET44" s="970">
        <v>11.82084705882353</v>
      </c>
      <c r="EU44" s="970">
        <v>1.8174184608858743</v>
      </c>
      <c r="EV44" s="970">
        <v>0</v>
      </c>
      <c r="EW44" s="970">
        <v>0</v>
      </c>
      <c r="EX44" s="970">
        <v>9.5157647058823542</v>
      </c>
      <c r="EY44" s="970">
        <v>0.99728059154516058</v>
      </c>
      <c r="EZ44" s="970">
        <v>0</v>
      </c>
      <c r="FA44" s="970">
        <v>0</v>
      </c>
      <c r="FB44" s="970">
        <v>34.105647058823536</v>
      </c>
      <c r="FC44" s="971">
        <v>124.77887594040996</v>
      </c>
      <c r="FD44" s="969">
        <v>0</v>
      </c>
      <c r="FE44" s="970">
        <v>0</v>
      </c>
      <c r="FF44" s="970">
        <v>14.735576470588235</v>
      </c>
      <c r="FG44" s="970">
        <v>3.5675902652598097</v>
      </c>
      <c r="FH44" s="970">
        <v>0</v>
      </c>
      <c r="FI44" s="970">
        <v>0</v>
      </c>
      <c r="FJ44" s="970">
        <v>11.862117647058824</v>
      </c>
      <c r="FK44" s="970">
        <v>1.7444100805702036</v>
      </c>
      <c r="FL44" s="970">
        <v>0</v>
      </c>
      <c r="FM44" s="970">
        <v>0</v>
      </c>
      <c r="FN44" s="970">
        <v>42.01717647058824</v>
      </c>
      <c r="FO44" s="971">
        <v>217.88842000491189</v>
      </c>
      <c r="FP44" s="969">
        <v>0</v>
      </c>
      <c r="FQ44" s="970">
        <v>0</v>
      </c>
      <c r="FR44" s="970">
        <v>11.335058823529414</v>
      </c>
      <c r="FS44" s="970">
        <v>1.0152324237943764</v>
      </c>
      <c r="FT44" s="970">
        <v>0</v>
      </c>
      <c r="FU44" s="970">
        <v>0</v>
      </c>
      <c r="FV44" s="970">
        <v>9.1247058823529414</v>
      </c>
      <c r="FW44" s="970">
        <v>0.50656909248994475</v>
      </c>
      <c r="FX44" s="970">
        <v>0</v>
      </c>
      <c r="FY44" s="970">
        <v>0</v>
      </c>
      <c r="FZ44" s="970">
        <v>32.787058823529414</v>
      </c>
      <c r="GA44" s="971">
        <v>110.4165813417259</v>
      </c>
      <c r="GB44" s="969">
        <v>0</v>
      </c>
      <c r="GC44" s="970">
        <v>0</v>
      </c>
      <c r="GD44" s="970">
        <v>11.335058823529414</v>
      </c>
      <c r="GE44" s="970">
        <v>1.1086780514397157</v>
      </c>
      <c r="GF44" s="970">
        <v>0</v>
      </c>
      <c r="GG44" s="970">
        <v>0</v>
      </c>
      <c r="GH44" s="970">
        <v>9.1247058823529414</v>
      </c>
      <c r="GI44" s="970">
        <v>0.52922993192005741</v>
      </c>
      <c r="GJ44" s="970">
        <v>0</v>
      </c>
      <c r="GK44" s="970">
        <v>0</v>
      </c>
      <c r="GL44" s="970">
        <v>32.787058823529414</v>
      </c>
      <c r="GM44" s="971">
        <v>115.7809566375179</v>
      </c>
      <c r="GN44" s="969">
        <v>0</v>
      </c>
      <c r="GO44" s="970">
        <v>0</v>
      </c>
      <c r="GP44" s="970">
        <v>12.347117647058823</v>
      </c>
      <c r="GQ44" s="970">
        <v>0.83877891511308877</v>
      </c>
      <c r="GR44" s="970">
        <v>0</v>
      </c>
      <c r="GS44" s="970">
        <v>0</v>
      </c>
      <c r="GT44" s="970">
        <v>9.9394117647058824</v>
      </c>
      <c r="GU44" s="970">
        <v>0.33913359129290094</v>
      </c>
      <c r="GV44" s="970">
        <v>0</v>
      </c>
      <c r="GW44" s="970">
        <v>0</v>
      </c>
      <c r="GX44" s="970">
        <v>35.534117647058828</v>
      </c>
      <c r="GY44" s="971">
        <v>132.96181033153442</v>
      </c>
      <c r="GZ44" s="969">
        <v>0</v>
      </c>
      <c r="HA44" s="970">
        <v>0</v>
      </c>
      <c r="HB44" s="970">
        <v>12.387600000000001</v>
      </c>
      <c r="HC44" s="970">
        <v>1.4321379314361533</v>
      </c>
      <c r="HD44" s="970">
        <v>0</v>
      </c>
      <c r="HE44" s="970">
        <v>0</v>
      </c>
      <c r="HF44" s="970">
        <v>9.9720000000000013</v>
      </c>
      <c r="HG44" s="970">
        <v>0.66551647679591219</v>
      </c>
      <c r="HH44" s="970">
        <v>0</v>
      </c>
      <c r="HI44" s="970">
        <v>0</v>
      </c>
      <c r="HJ44" s="970">
        <v>35.644000000000005</v>
      </c>
      <c r="HK44" s="971">
        <v>146.10427002047498</v>
      </c>
      <c r="HL44" s="969">
        <v>0</v>
      </c>
      <c r="HM44" s="970">
        <v>0</v>
      </c>
      <c r="HN44" s="970">
        <v>9.0275647058823534</v>
      </c>
      <c r="HO44" s="970">
        <v>7.1216794108715148E-2</v>
      </c>
      <c r="HP44" s="970">
        <v>0</v>
      </c>
      <c r="HQ44" s="970">
        <v>0</v>
      </c>
      <c r="HR44" s="970">
        <v>7.267176470588236</v>
      </c>
      <c r="HS44" s="970">
        <v>2.5194848726549986E-2</v>
      </c>
      <c r="HT44" s="970">
        <v>0</v>
      </c>
      <c r="HU44" s="970">
        <v>0</v>
      </c>
      <c r="HV44" s="970">
        <v>26.52376470588236</v>
      </c>
      <c r="HW44" s="971">
        <v>69.205915638481116</v>
      </c>
      <c r="HX44" s="969">
        <v>0</v>
      </c>
      <c r="HY44" s="970">
        <v>0</v>
      </c>
      <c r="HZ44" s="970">
        <v>8.8251529411764711</v>
      </c>
      <c r="IA44" s="970">
        <v>6.166197360457594E-2</v>
      </c>
      <c r="IB44" s="970">
        <v>0</v>
      </c>
      <c r="IC44" s="970">
        <v>0</v>
      </c>
      <c r="ID44" s="970">
        <v>7.1042352941176476</v>
      </c>
      <c r="IE44" s="970">
        <v>2.0953293416417881E-2</v>
      </c>
      <c r="IF44" s="970">
        <v>0</v>
      </c>
      <c r="IG44" s="970">
        <v>0</v>
      </c>
      <c r="IH44" s="970">
        <v>25.974352941176477</v>
      </c>
      <c r="II44" s="971">
        <v>68.39774234515518</v>
      </c>
      <c r="IJ44" s="969">
        <v>0</v>
      </c>
      <c r="IK44" s="970">
        <v>0</v>
      </c>
      <c r="IL44" s="970">
        <v>11.092164705882354</v>
      </c>
      <c r="IM44" s="970">
        <v>0.89151829120130921</v>
      </c>
      <c r="IN44" s="970">
        <v>0</v>
      </c>
      <c r="IO44" s="970">
        <v>0</v>
      </c>
      <c r="IP44" s="970">
        <v>8.929176470588235</v>
      </c>
      <c r="IQ44" s="970">
        <v>0.4383618404084435</v>
      </c>
      <c r="IR44" s="970">
        <v>0</v>
      </c>
      <c r="IS44" s="970">
        <v>0</v>
      </c>
      <c r="IT44" s="970">
        <v>32.127764705882356</v>
      </c>
      <c r="IU44" s="971">
        <v>106.84237020151534</v>
      </c>
      <c r="IV44" s="969">
        <v>0</v>
      </c>
      <c r="IW44" s="970">
        <v>0</v>
      </c>
      <c r="IX44" s="970">
        <v>9.7157647058823535</v>
      </c>
      <c r="IY44" s="970">
        <v>0.27831089460170549</v>
      </c>
      <c r="IZ44" s="970">
        <v>0</v>
      </c>
      <c r="JA44" s="970">
        <v>0</v>
      </c>
      <c r="JB44" s="970">
        <v>7.8211764705882363</v>
      </c>
      <c r="JC44" s="970">
        <v>0.10974486462718634</v>
      </c>
      <c r="JD44" s="970">
        <v>0</v>
      </c>
      <c r="JE44" s="970">
        <v>0</v>
      </c>
      <c r="JF44" s="970">
        <v>28.391764705882359</v>
      </c>
      <c r="JG44" s="971">
        <v>82.65875621284566</v>
      </c>
      <c r="JH44" s="969">
        <v>0</v>
      </c>
      <c r="JI44" s="970">
        <v>0</v>
      </c>
      <c r="JJ44" s="970">
        <v>12.387600000000001</v>
      </c>
      <c r="JK44" s="970">
        <v>0.45393666171516261</v>
      </c>
      <c r="JL44" s="970">
        <v>0</v>
      </c>
      <c r="JM44" s="970">
        <v>0</v>
      </c>
      <c r="JN44" s="970">
        <v>9.9720000000000013</v>
      </c>
      <c r="JO44" s="970">
        <v>0.15161355250665209</v>
      </c>
      <c r="JP44" s="970">
        <v>0</v>
      </c>
      <c r="JQ44" s="970">
        <v>0</v>
      </c>
      <c r="JR44" s="970">
        <v>35.644000000000005</v>
      </c>
      <c r="JS44" s="971">
        <v>129.84052260990461</v>
      </c>
      <c r="JT44" s="969">
        <v>0</v>
      </c>
      <c r="JU44" s="970">
        <v>0</v>
      </c>
      <c r="JV44" s="970">
        <v>10.687341176470589</v>
      </c>
      <c r="JW44" s="970">
        <v>0.61361247116972018</v>
      </c>
      <c r="JX44" s="970">
        <v>0</v>
      </c>
      <c r="JY44" s="970">
        <v>0</v>
      </c>
      <c r="JZ44" s="970">
        <v>8.6032941176470601</v>
      </c>
      <c r="KA44" s="970">
        <v>0.29256965425548315</v>
      </c>
      <c r="KB44" s="970">
        <v>0</v>
      </c>
      <c r="KC44" s="970">
        <v>0</v>
      </c>
      <c r="KD44" s="970">
        <v>31.028941176470589</v>
      </c>
      <c r="KE44" s="971">
        <v>98.693830909335432</v>
      </c>
      <c r="KF44" s="969">
        <v>0</v>
      </c>
      <c r="KG44" s="970">
        <v>0</v>
      </c>
      <c r="KH44" s="970">
        <v>11.213611764705885</v>
      </c>
      <c r="KI44" s="970">
        <v>0.79105554417022983</v>
      </c>
      <c r="KJ44" s="970">
        <v>0</v>
      </c>
      <c r="KK44" s="970">
        <v>0</v>
      </c>
      <c r="KL44" s="970">
        <v>9.02694117647059</v>
      </c>
      <c r="KM44" s="970">
        <v>0.36848176457545578</v>
      </c>
      <c r="KN44" s="970">
        <v>0</v>
      </c>
      <c r="KO44" s="970">
        <v>0</v>
      </c>
      <c r="KP44" s="970">
        <v>32.457411764705888</v>
      </c>
      <c r="KQ44" s="971">
        <v>105.39351130449072</v>
      </c>
      <c r="KR44" s="969">
        <v>0</v>
      </c>
      <c r="KS44" s="970">
        <v>0</v>
      </c>
      <c r="KT44" s="970">
        <v>11.416023529411765</v>
      </c>
      <c r="KU44" s="970">
        <v>2.1819039757571499</v>
      </c>
      <c r="KV44" s="970">
        <v>0</v>
      </c>
      <c r="KW44" s="970">
        <v>0</v>
      </c>
      <c r="KX44" s="970">
        <v>9.1898823529411775</v>
      </c>
      <c r="KY44" s="970">
        <v>1.248476566791421</v>
      </c>
      <c r="KZ44" s="970">
        <v>0</v>
      </c>
      <c r="LA44" s="970">
        <v>0</v>
      </c>
      <c r="LB44" s="970">
        <v>33.006823529411776</v>
      </c>
      <c r="LC44" s="971">
        <v>130.06759333252211</v>
      </c>
      <c r="LD44" s="969">
        <v>0</v>
      </c>
      <c r="LE44" s="970">
        <v>0</v>
      </c>
      <c r="LF44" s="970">
        <v>10.242035294117649</v>
      </c>
      <c r="LG44" s="970">
        <v>0.24396738807373092</v>
      </c>
      <c r="LH44" s="970">
        <v>0</v>
      </c>
      <c r="LI44" s="970">
        <v>0</v>
      </c>
      <c r="LJ44" s="970">
        <v>8.2448235294117644</v>
      </c>
      <c r="LK44" s="970">
        <v>0.10049237930197234</v>
      </c>
      <c r="LL44" s="970">
        <v>0</v>
      </c>
      <c r="LM44" s="970">
        <v>0</v>
      </c>
      <c r="LN44" s="970">
        <v>29.820235294117655</v>
      </c>
      <c r="LO44" s="971">
        <v>85.154641947751259</v>
      </c>
      <c r="LP44" s="969">
        <v>0</v>
      </c>
      <c r="LQ44" s="970">
        <v>0</v>
      </c>
      <c r="LR44" s="970">
        <v>11.658917647058825</v>
      </c>
      <c r="LS44" s="970">
        <v>1.1950371054542948</v>
      </c>
      <c r="LT44" s="970">
        <v>0</v>
      </c>
      <c r="LU44" s="970">
        <v>0</v>
      </c>
      <c r="LV44" s="970">
        <v>9.3854117647058839</v>
      </c>
      <c r="LW44" s="970">
        <v>0.52539087515128591</v>
      </c>
      <c r="LX44" s="970">
        <v>0</v>
      </c>
      <c r="LY44" s="970">
        <v>0</v>
      </c>
      <c r="LZ44" s="970">
        <v>33.666117647058833</v>
      </c>
      <c r="MA44" s="971">
        <v>134.74012641844277</v>
      </c>
      <c r="MB44" s="969">
        <v>0</v>
      </c>
      <c r="MC44" s="970">
        <v>0</v>
      </c>
      <c r="MD44" s="970">
        <v>11.780364705882356</v>
      </c>
      <c r="ME44" s="970">
        <v>0.90370651709624494</v>
      </c>
      <c r="MF44" s="970">
        <v>0</v>
      </c>
      <c r="MG44" s="970">
        <v>0</v>
      </c>
      <c r="MH44" s="970">
        <v>9.4831764705882371</v>
      </c>
      <c r="MI44" s="970">
        <v>0.43773439021959931</v>
      </c>
      <c r="MJ44" s="970">
        <v>0</v>
      </c>
      <c r="MK44" s="970">
        <v>0</v>
      </c>
      <c r="ML44" s="970">
        <v>33.995764705882358</v>
      </c>
      <c r="MM44" s="971">
        <v>110.04989197540363</v>
      </c>
      <c r="MN44" s="969">
        <v>0</v>
      </c>
      <c r="MO44" s="970">
        <v>0</v>
      </c>
      <c r="MP44" s="970">
        <v>15.626188235294119</v>
      </c>
      <c r="MQ44" s="970">
        <v>3.4232841286213183</v>
      </c>
      <c r="MR44" s="970">
        <v>0</v>
      </c>
      <c r="MS44" s="970">
        <v>0</v>
      </c>
      <c r="MT44" s="970">
        <v>12.579058823529412</v>
      </c>
      <c r="MU44" s="970">
        <v>1.4357183628007133</v>
      </c>
      <c r="MV44" s="970">
        <v>0</v>
      </c>
      <c r="MW44" s="970">
        <v>0</v>
      </c>
      <c r="MX44" s="970">
        <v>44.434588235294129</v>
      </c>
      <c r="MY44" s="971">
        <v>193.63153040566903</v>
      </c>
      <c r="MZ44" s="969">
        <v>0</v>
      </c>
      <c r="NA44" s="970">
        <v>0</v>
      </c>
      <c r="NB44" s="970">
        <v>12.913870588235294</v>
      </c>
      <c r="NC44" s="970">
        <v>2.0445562968219391</v>
      </c>
      <c r="ND44" s="970">
        <v>0</v>
      </c>
      <c r="NE44" s="970">
        <v>0</v>
      </c>
      <c r="NF44" s="970">
        <v>10.395647058823529</v>
      </c>
      <c r="NG44" s="970">
        <v>0.91221140083255858</v>
      </c>
      <c r="NH44" s="970">
        <v>0</v>
      </c>
      <c r="NI44" s="970">
        <v>0</v>
      </c>
      <c r="NJ44" s="970">
        <v>37.072470588235291</v>
      </c>
      <c r="NK44" s="971">
        <v>176.03685579086661</v>
      </c>
      <c r="NL44" s="969">
        <v>0</v>
      </c>
      <c r="NM44" s="970">
        <v>0</v>
      </c>
      <c r="NN44" s="970">
        <v>12.266152941176472</v>
      </c>
      <c r="NO44" s="970">
        <v>0.91539233042993751</v>
      </c>
      <c r="NP44" s="970">
        <v>0</v>
      </c>
      <c r="NQ44" s="970">
        <v>0</v>
      </c>
      <c r="NR44" s="970">
        <v>9.8742352941176481</v>
      </c>
      <c r="NS44" s="970">
        <v>0.42145122984624855</v>
      </c>
      <c r="NT44" s="970">
        <v>0</v>
      </c>
      <c r="NU44" s="970">
        <v>0</v>
      </c>
      <c r="NV44" s="970">
        <v>35.31435294117648</v>
      </c>
      <c r="NW44" s="971">
        <v>116.68336911806097</v>
      </c>
      <c r="NX44" s="969">
        <v>0</v>
      </c>
      <c r="NY44" s="970">
        <v>0</v>
      </c>
      <c r="NZ44" s="970">
        <v>11.537470588235294</v>
      </c>
      <c r="OA44" s="970">
        <v>1.1613948473832381</v>
      </c>
      <c r="OB44" s="970">
        <v>0</v>
      </c>
      <c r="OC44" s="970">
        <v>0</v>
      </c>
      <c r="OD44" s="970">
        <v>9.2876470588235307</v>
      </c>
      <c r="OE44" s="970">
        <v>0.59246777044528875</v>
      </c>
      <c r="OF44" s="970">
        <v>0</v>
      </c>
      <c r="OG44" s="970">
        <v>0</v>
      </c>
      <c r="OH44" s="970">
        <v>33.336470588235301</v>
      </c>
      <c r="OI44" s="971">
        <v>112.08578879269274</v>
      </c>
      <c r="OJ44" s="969">
        <v>0</v>
      </c>
      <c r="OK44" s="970">
        <v>0</v>
      </c>
      <c r="OL44" s="970">
        <v>13.359176470588237</v>
      </c>
      <c r="OM44" s="970">
        <v>1.8171846418170723</v>
      </c>
      <c r="ON44" s="970">
        <v>0</v>
      </c>
      <c r="OO44" s="970">
        <v>0</v>
      </c>
      <c r="OP44" s="970">
        <v>10.754117647058825</v>
      </c>
      <c r="OQ44" s="970">
        <v>0.8014055213440654</v>
      </c>
      <c r="OR44" s="970">
        <v>0</v>
      </c>
      <c r="OS44" s="970">
        <v>0</v>
      </c>
      <c r="OT44" s="970">
        <v>38.281176470588235</v>
      </c>
      <c r="OU44" s="971">
        <v>145.8163364391188</v>
      </c>
      <c r="OV44" s="969">
        <v>0</v>
      </c>
      <c r="OW44" s="970">
        <v>0</v>
      </c>
      <c r="OX44" s="970">
        <v>10.930235294117647</v>
      </c>
      <c r="OY44" s="970">
        <v>0.636402155381664</v>
      </c>
      <c r="OZ44" s="970">
        <v>0</v>
      </c>
      <c r="PA44" s="970">
        <v>0</v>
      </c>
      <c r="PB44" s="970">
        <v>8.7988235294117665</v>
      </c>
      <c r="PC44" s="970">
        <v>0.27396856641046308</v>
      </c>
      <c r="PD44" s="970">
        <v>0</v>
      </c>
      <c r="PE44" s="970">
        <v>0</v>
      </c>
      <c r="PF44" s="970">
        <v>31.688235294117646</v>
      </c>
      <c r="PG44" s="971">
        <v>97.281390695978089</v>
      </c>
      <c r="PH44" s="969">
        <v>0</v>
      </c>
      <c r="PI44" s="970">
        <v>0</v>
      </c>
      <c r="PJ44" s="970">
        <v>15.05943529411765</v>
      </c>
      <c r="PK44" s="970">
        <v>3.303661046535797</v>
      </c>
      <c r="PL44" s="970">
        <v>0</v>
      </c>
      <c r="PM44" s="970">
        <v>0</v>
      </c>
      <c r="PN44" s="970">
        <v>12.122823529411768</v>
      </c>
      <c r="PO44" s="970">
        <v>1.4941226811828208</v>
      </c>
      <c r="PP44" s="970">
        <v>0</v>
      </c>
      <c r="PQ44" s="970">
        <v>0</v>
      </c>
      <c r="PR44" s="970">
        <v>42.896235294117652</v>
      </c>
      <c r="PS44" s="971">
        <v>168.57714372567983</v>
      </c>
      <c r="PT44" s="969">
        <v>0</v>
      </c>
      <c r="PU44" s="970">
        <v>0</v>
      </c>
      <c r="PV44" s="970">
        <v>11.658917647058825</v>
      </c>
      <c r="PW44" s="970">
        <v>0.5528414165977249</v>
      </c>
      <c r="PX44" s="970">
        <v>0</v>
      </c>
      <c r="PY44" s="970">
        <v>0</v>
      </c>
      <c r="PZ44" s="970">
        <v>9.3854117647058839</v>
      </c>
      <c r="QA44" s="970">
        <v>0.24566302765924444</v>
      </c>
      <c r="QB44" s="970">
        <v>0</v>
      </c>
      <c r="QC44" s="970">
        <v>0</v>
      </c>
      <c r="QD44" s="970">
        <v>33.666117647058833</v>
      </c>
      <c r="QE44" s="971">
        <v>99.401868691054247</v>
      </c>
      <c r="QF44" s="969">
        <v>0</v>
      </c>
      <c r="QG44" s="970">
        <v>0</v>
      </c>
      <c r="QH44" s="970">
        <v>11.456505882352943</v>
      </c>
      <c r="QI44" s="970">
        <v>1.0618338567324843</v>
      </c>
      <c r="QJ44" s="970">
        <v>0</v>
      </c>
      <c r="QK44" s="970">
        <v>0</v>
      </c>
      <c r="QL44" s="970">
        <v>9.2224705882352964</v>
      </c>
      <c r="QM44" s="970">
        <v>0.52379048243536397</v>
      </c>
      <c r="QN44" s="970">
        <v>0</v>
      </c>
      <c r="QO44" s="970">
        <v>0</v>
      </c>
      <c r="QP44" s="970">
        <v>33.116705882352946</v>
      </c>
      <c r="QQ44" s="971">
        <v>111.80084199809279</v>
      </c>
      <c r="QR44" s="969">
        <v>0</v>
      </c>
      <c r="QS44" s="970">
        <v>0</v>
      </c>
      <c r="QT44" s="970">
        <v>12.994835294117648</v>
      </c>
      <c r="QU44" s="970">
        <v>1.2874543535101457</v>
      </c>
      <c r="QV44" s="970">
        <v>0</v>
      </c>
      <c r="QW44" s="970">
        <v>0</v>
      </c>
      <c r="QX44" s="970">
        <v>10.460823529411766</v>
      </c>
      <c r="QY44" s="970">
        <v>0.48830095718158834</v>
      </c>
      <c r="QZ44" s="970">
        <v>0</v>
      </c>
      <c r="RA44" s="970">
        <v>0</v>
      </c>
      <c r="RB44" s="970">
        <v>37.292235294117653</v>
      </c>
      <c r="RC44" s="971">
        <v>165.55370834476017</v>
      </c>
      <c r="RD44" s="969">
        <v>0</v>
      </c>
      <c r="RE44" s="970">
        <v>0</v>
      </c>
      <c r="RF44" s="970">
        <v>11.618435294117647</v>
      </c>
      <c r="RG44" s="970">
        <v>0.79412638136633007</v>
      </c>
      <c r="RH44" s="970">
        <v>0</v>
      </c>
      <c r="RI44" s="970">
        <v>0</v>
      </c>
      <c r="RJ44" s="970">
        <v>9.352823529411765</v>
      </c>
      <c r="RK44" s="970">
        <v>0.36689599149884022</v>
      </c>
      <c r="RL44" s="970">
        <v>0</v>
      </c>
      <c r="RM44" s="970">
        <v>0</v>
      </c>
      <c r="RN44" s="970">
        <v>33.556235294117656</v>
      </c>
      <c r="RO44" s="971">
        <v>106.98880688785746</v>
      </c>
      <c r="RP44" s="969">
        <v>0</v>
      </c>
      <c r="RQ44" s="970">
        <v>0</v>
      </c>
      <c r="RR44" s="970">
        <v>11.537470588235294</v>
      </c>
      <c r="RS44" s="970">
        <v>0.70277247260989306</v>
      </c>
      <c r="RT44" s="970">
        <v>0</v>
      </c>
      <c r="RU44" s="970">
        <v>0</v>
      </c>
      <c r="RV44" s="970">
        <v>9.2876470588235307</v>
      </c>
      <c r="RW44" s="970">
        <v>0.3184492339927722</v>
      </c>
      <c r="RX44" s="970">
        <v>0</v>
      </c>
      <c r="RY44" s="970">
        <v>0</v>
      </c>
      <c r="RZ44" s="970">
        <v>33.336470588235301</v>
      </c>
      <c r="SA44" s="971">
        <v>105.51346048969558</v>
      </c>
    </row>
    <row r="45" spans="1:495">
      <c r="A45" s="966">
        <f>[3]Eingabedaten!A47</f>
        <v>12.06</v>
      </c>
      <c r="B45" s="169" t="str">
        <f>[3]Eingabedaten!C47</f>
        <v xml:space="preserve">WC, Bad, Dusche </v>
      </c>
      <c r="C45" s="987">
        <f t="shared" si="1"/>
        <v>39</v>
      </c>
      <c r="D45" s="954" cm="1">
        <f t="array" ref="D45">INDEX($P$7:$SA$51,$C45,$G$3-1+D$2)</f>
        <v>0</v>
      </c>
      <c r="E45" s="955" cm="1">
        <f t="array" ref="E45">INDEX($P$7:$SA$51,$C45,$G$3-1+E$2)</f>
        <v>0</v>
      </c>
      <c r="F45" s="955" cm="1">
        <f t="array" ref="F45">INDEX($P$7:$SA$51,$C45,$G$3-1+F$2)</f>
        <v>11.537470588235294</v>
      </c>
      <c r="G45" s="955" cm="1">
        <f t="array" ref="G45">INDEX($P$7:$SA$51,$C45,$G$3-1+G$2)</f>
        <v>54.916232691300749</v>
      </c>
      <c r="H45" s="955" cm="1">
        <f t="array" ref="H45">INDEX($P$7:$SA$51,$C45,$G$3-1+H$2)</f>
        <v>0</v>
      </c>
      <c r="I45" s="955" cm="1">
        <f t="array" ref="I45">INDEX($P$7:$SA$51,$C45,$G$3-1+I$2)</f>
        <v>0</v>
      </c>
      <c r="J45" s="955" cm="1">
        <f t="array" ref="J45">INDEX($P$7:$SA$51,$C45,$G$3-1+J$2)</f>
        <v>9.2876470588235307</v>
      </c>
      <c r="K45" s="955" cm="1">
        <f t="array" ref="K45">INDEX($P$7:$SA$51,$C45,$G$3-1+K$2)</f>
        <v>50.184980295071675</v>
      </c>
      <c r="L45" s="955" cm="1">
        <f t="array" ref="L45">INDEX($P$7:$SA$51,$C45,$G$3-1+L$2)</f>
        <v>0</v>
      </c>
      <c r="M45" s="955" cm="1">
        <f t="array" ref="M45">INDEX($P$7:$SA$51,$C45,$G$3-1+M$2)</f>
        <v>0</v>
      </c>
      <c r="N45" s="955" cm="1">
        <f t="array" ref="N45">INDEX($P$7:$SA$51,$C45,$G$3-1+N$2)</f>
        <v>33.336470588235301</v>
      </c>
      <c r="O45" s="956" cm="1">
        <f t="array" ref="O45">INDEX($P$7:$SA$51,$C45,$G$3-1+O$2)</f>
        <v>126.4398304884695</v>
      </c>
      <c r="P45" s="969">
        <v>0</v>
      </c>
      <c r="Q45" s="970">
        <v>0</v>
      </c>
      <c r="R45" s="970">
        <v>12.630494117647061</v>
      </c>
      <c r="S45" s="970">
        <v>70.750173187306459</v>
      </c>
      <c r="T45" s="970">
        <v>0</v>
      </c>
      <c r="U45" s="970">
        <v>0</v>
      </c>
      <c r="V45" s="970">
        <v>10.167529411764706</v>
      </c>
      <c r="W45" s="970">
        <v>63.984235916038699</v>
      </c>
      <c r="X45" s="970">
        <v>0</v>
      </c>
      <c r="Y45" s="970">
        <v>0</v>
      </c>
      <c r="Z45" s="970">
        <v>36.30329411764707</v>
      </c>
      <c r="AA45" s="971">
        <v>169.59176648479766</v>
      </c>
      <c r="AB45" s="969">
        <v>0</v>
      </c>
      <c r="AC45" s="970">
        <v>0</v>
      </c>
      <c r="AD45" s="970">
        <v>10.727823529411765</v>
      </c>
      <c r="AE45" s="970">
        <v>53.40060277895887</v>
      </c>
      <c r="AF45" s="970">
        <v>0</v>
      </c>
      <c r="AG45" s="970">
        <v>0</v>
      </c>
      <c r="AH45" s="970">
        <v>8.6358823529411772</v>
      </c>
      <c r="AI45" s="970">
        <v>48.968777356504226</v>
      </c>
      <c r="AJ45" s="970">
        <v>0</v>
      </c>
      <c r="AK45" s="970">
        <v>0</v>
      </c>
      <c r="AL45" s="970">
        <v>31.138823529411766</v>
      </c>
      <c r="AM45" s="971">
        <v>122.86820052835274</v>
      </c>
      <c r="AN45" s="969">
        <v>0</v>
      </c>
      <c r="AO45" s="970">
        <v>0</v>
      </c>
      <c r="AP45" s="970">
        <v>10.768305882352943</v>
      </c>
      <c r="AQ45" s="970">
        <v>58.910122146178544</v>
      </c>
      <c r="AR45" s="970">
        <v>0</v>
      </c>
      <c r="AS45" s="970">
        <v>0</v>
      </c>
      <c r="AT45" s="970">
        <v>8.6684705882352944</v>
      </c>
      <c r="AU45" s="970">
        <v>54.418244601216358</v>
      </c>
      <c r="AV45" s="970">
        <v>0</v>
      </c>
      <c r="AW45" s="970">
        <v>0</v>
      </c>
      <c r="AX45" s="970">
        <v>31.248705882352947</v>
      </c>
      <c r="AY45" s="971">
        <v>132.16081766854765</v>
      </c>
      <c r="AZ45" s="969">
        <v>0</v>
      </c>
      <c r="BA45" s="970">
        <v>0</v>
      </c>
      <c r="BB45" s="970">
        <v>11.13264705882353</v>
      </c>
      <c r="BC45" s="970">
        <v>49.091020172430845</v>
      </c>
      <c r="BD45" s="970">
        <v>0</v>
      </c>
      <c r="BE45" s="970">
        <v>0</v>
      </c>
      <c r="BF45" s="970">
        <v>8.961764705882354</v>
      </c>
      <c r="BG45" s="970">
        <v>44.923492046142464</v>
      </c>
      <c r="BH45" s="970">
        <v>0</v>
      </c>
      <c r="BI45" s="970">
        <v>0</v>
      </c>
      <c r="BJ45" s="970">
        <v>32.237647058823534</v>
      </c>
      <c r="BK45" s="971">
        <v>114.00575733304927</v>
      </c>
      <c r="BL45" s="969">
        <v>0</v>
      </c>
      <c r="BM45" s="970">
        <v>0</v>
      </c>
      <c r="BN45" s="970">
        <v>11.496988235294118</v>
      </c>
      <c r="BO45" s="970">
        <v>55.960919810482999</v>
      </c>
      <c r="BP45" s="970">
        <v>0</v>
      </c>
      <c r="BQ45" s="970">
        <v>0</v>
      </c>
      <c r="BR45" s="970">
        <v>9.2550588235294118</v>
      </c>
      <c r="BS45" s="970">
        <v>51.066800421471065</v>
      </c>
      <c r="BT45" s="970">
        <v>0</v>
      </c>
      <c r="BU45" s="970">
        <v>0</v>
      </c>
      <c r="BV45" s="970">
        <v>33.226588235294116</v>
      </c>
      <c r="BW45" s="971">
        <v>129.03452666823489</v>
      </c>
      <c r="BX45" s="969">
        <v>0</v>
      </c>
      <c r="BY45" s="970">
        <v>0</v>
      </c>
      <c r="BZ45" s="970">
        <v>11.375541176470591</v>
      </c>
      <c r="CA45" s="970">
        <v>57.553060190022251</v>
      </c>
      <c r="CB45" s="970">
        <v>0</v>
      </c>
      <c r="CC45" s="970">
        <v>0</v>
      </c>
      <c r="CD45" s="970">
        <v>9.1572941176470604</v>
      </c>
      <c r="CE45" s="970">
        <v>52.909917273541069</v>
      </c>
      <c r="CF45" s="970">
        <v>0</v>
      </c>
      <c r="CG45" s="970">
        <v>0</v>
      </c>
      <c r="CH45" s="970">
        <v>32.896941176470591</v>
      </c>
      <c r="CI45" s="971">
        <v>129.18147671794981</v>
      </c>
      <c r="CJ45" s="969">
        <v>0</v>
      </c>
      <c r="CK45" s="970">
        <v>0</v>
      </c>
      <c r="CL45" s="970">
        <v>11.416023529411765</v>
      </c>
      <c r="CM45" s="970">
        <v>52.447144884304805</v>
      </c>
      <c r="CN45" s="970">
        <v>0</v>
      </c>
      <c r="CO45" s="970">
        <v>0</v>
      </c>
      <c r="CP45" s="970">
        <v>9.1898823529411775</v>
      </c>
      <c r="CQ45" s="970">
        <v>47.80473546979222</v>
      </c>
      <c r="CR45" s="970">
        <v>0</v>
      </c>
      <c r="CS45" s="970">
        <v>0</v>
      </c>
      <c r="CT45" s="970">
        <v>33.006823529411776</v>
      </c>
      <c r="CU45" s="971">
        <v>123.46124264044838</v>
      </c>
      <c r="CV45" s="969">
        <v>0</v>
      </c>
      <c r="CW45" s="970">
        <v>0</v>
      </c>
      <c r="CX45" s="970">
        <v>13.804482352941177</v>
      </c>
      <c r="CY45" s="970">
        <v>75.885725619332462</v>
      </c>
      <c r="CZ45" s="970">
        <v>0</v>
      </c>
      <c r="DA45" s="970">
        <v>0</v>
      </c>
      <c r="DB45" s="970">
        <v>11.112588235294119</v>
      </c>
      <c r="DC45" s="970">
        <v>67.540852805730069</v>
      </c>
      <c r="DD45" s="970">
        <v>0</v>
      </c>
      <c r="DE45" s="970">
        <v>0</v>
      </c>
      <c r="DF45" s="970">
        <v>39.48988235294118</v>
      </c>
      <c r="DG45" s="971">
        <v>186.31132612377959</v>
      </c>
      <c r="DH45" s="969">
        <v>0</v>
      </c>
      <c r="DI45" s="970">
        <v>0</v>
      </c>
      <c r="DJ45" s="970">
        <v>12.428082352941177</v>
      </c>
      <c r="DK45" s="970">
        <v>63.384345966201167</v>
      </c>
      <c r="DL45" s="970">
        <v>0</v>
      </c>
      <c r="DM45" s="970">
        <v>0</v>
      </c>
      <c r="DN45" s="970">
        <v>10.004588235294118</v>
      </c>
      <c r="DO45" s="970">
        <v>57.098055461798253</v>
      </c>
      <c r="DP45" s="970">
        <v>0</v>
      </c>
      <c r="DQ45" s="970">
        <v>0</v>
      </c>
      <c r="DR45" s="970">
        <v>35.753882352941183</v>
      </c>
      <c r="DS45" s="971">
        <v>154.73883982555634</v>
      </c>
      <c r="DT45" s="969">
        <v>0</v>
      </c>
      <c r="DU45" s="970">
        <v>0</v>
      </c>
      <c r="DV45" s="970">
        <v>13.035317647058825</v>
      </c>
      <c r="DW45" s="970">
        <v>74.452666176542834</v>
      </c>
      <c r="DX45" s="970">
        <v>0</v>
      </c>
      <c r="DY45" s="970">
        <v>0</v>
      </c>
      <c r="DZ45" s="970">
        <v>10.493411764705884</v>
      </c>
      <c r="EA45" s="970">
        <v>67.918914369502261</v>
      </c>
      <c r="EB45" s="970">
        <v>0</v>
      </c>
      <c r="EC45" s="970">
        <v>0</v>
      </c>
      <c r="ED45" s="970">
        <v>37.40211764705883</v>
      </c>
      <c r="EE45" s="971">
        <v>172.06954178303596</v>
      </c>
      <c r="EF45" s="969">
        <v>0</v>
      </c>
      <c r="EG45" s="970">
        <v>0</v>
      </c>
      <c r="EH45" s="970">
        <v>10.201552941176471</v>
      </c>
      <c r="EI45" s="970">
        <v>47.482902521380289</v>
      </c>
      <c r="EJ45" s="970">
        <v>0</v>
      </c>
      <c r="EK45" s="970">
        <v>0</v>
      </c>
      <c r="EL45" s="970">
        <v>8.2122352941176473</v>
      </c>
      <c r="EM45" s="970">
        <v>43.355118727100411</v>
      </c>
      <c r="EN45" s="970">
        <v>0</v>
      </c>
      <c r="EO45" s="970">
        <v>0</v>
      </c>
      <c r="EP45" s="970">
        <v>29.710352941176474</v>
      </c>
      <c r="EQ45" s="971">
        <v>110.67610256562543</v>
      </c>
      <c r="ER45" s="969">
        <v>0</v>
      </c>
      <c r="ES45" s="970">
        <v>0</v>
      </c>
      <c r="ET45" s="970">
        <v>11.82084705882353</v>
      </c>
      <c r="EU45" s="970">
        <v>68.455718967598145</v>
      </c>
      <c r="EV45" s="970">
        <v>0</v>
      </c>
      <c r="EW45" s="970">
        <v>0</v>
      </c>
      <c r="EX45" s="970">
        <v>9.5157647058823542</v>
      </c>
      <c r="EY45" s="970">
        <v>63.327449510803319</v>
      </c>
      <c r="EZ45" s="970">
        <v>0</v>
      </c>
      <c r="FA45" s="970">
        <v>0</v>
      </c>
      <c r="FB45" s="970">
        <v>34.105647058823536</v>
      </c>
      <c r="FC45" s="971">
        <v>149.85227061946168</v>
      </c>
      <c r="FD45" s="969">
        <v>0</v>
      </c>
      <c r="FE45" s="970">
        <v>0</v>
      </c>
      <c r="FF45" s="970">
        <v>14.735576470588235</v>
      </c>
      <c r="FG45" s="970">
        <v>87.316152938487917</v>
      </c>
      <c r="FH45" s="970">
        <v>0</v>
      </c>
      <c r="FI45" s="970">
        <v>0</v>
      </c>
      <c r="FJ45" s="970">
        <v>11.862117647058824</v>
      </c>
      <c r="FK45" s="970">
        <v>76.420745633697393</v>
      </c>
      <c r="FL45" s="970">
        <v>0</v>
      </c>
      <c r="FM45" s="970">
        <v>0</v>
      </c>
      <c r="FN45" s="970">
        <v>42.01717647058824</v>
      </c>
      <c r="FO45" s="971">
        <v>218.37983536944949</v>
      </c>
      <c r="FP45" s="969">
        <v>0</v>
      </c>
      <c r="FQ45" s="970">
        <v>0</v>
      </c>
      <c r="FR45" s="970">
        <v>11.335058823529414</v>
      </c>
      <c r="FS45" s="970">
        <v>58.020863974101154</v>
      </c>
      <c r="FT45" s="970">
        <v>0</v>
      </c>
      <c r="FU45" s="970">
        <v>0</v>
      </c>
      <c r="FV45" s="970">
        <v>9.1247058823529414</v>
      </c>
      <c r="FW45" s="970">
        <v>53.200537934419494</v>
      </c>
      <c r="FX45" s="970">
        <v>0</v>
      </c>
      <c r="FY45" s="970">
        <v>0</v>
      </c>
      <c r="FZ45" s="970">
        <v>32.787058823529414</v>
      </c>
      <c r="GA45" s="971">
        <v>131.13481518854485</v>
      </c>
      <c r="GB45" s="969">
        <v>0</v>
      </c>
      <c r="GC45" s="970">
        <v>0</v>
      </c>
      <c r="GD45" s="970">
        <v>11.335058823529414</v>
      </c>
      <c r="GE45" s="970">
        <v>60.285310357611351</v>
      </c>
      <c r="GF45" s="970">
        <v>0</v>
      </c>
      <c r="GG45" s="970">
        <v>0</v>
      </c>
      <c r="GH45" s="970">
        <v>9.1247058823529414</v>
      </c>
      <c r="GI45" s="970">
        <v>55.149698097614021</v>
      </c>
      <c r="GJ45" s="970">
        <v>0</v>
      </c>
      <c r="GK45" s="970">
        <v>0</v>
      </c>
      <c r="GL45" s="970">
        <v>32.787058823529414</v>
      </c>
      <c r="GM45" s="971">
        <v>137.72895322006107</v>
      </c>
      <c r="GN45" s="969">
        <v>0</v>
      </c>
      <c r="GO45" s="970">
        <v>0</v>
      </c>
      <c r="GP45" s="970">
        <v>12.347117647058823</v>
      </c>
      <c r="GQ45" s="970">
        <v>65.000908730353174</v>
      </c>
      <c r="GR45" s="970">
        <v>0</v>
      </c>
      <c r="GS45" s="970">
        <v>0</v>
      </c>
      <c r="GT45" s="970">
        <v>9.9394117647058824</v>
      </c>
      <c r="GU45" s="970">
        <v>58.728727542983535</v>
      </c>
      <c r="GV45" s="970">
        <v>0</v>
      </c>
      <c r="GW45" s="970">
        <v>0</v>
      </c>
      <c r="GX45" s="970">
        <v>35.534117647058828</v>
      </c>
      <c r="GY45" s="971">
        <v>154.74507244480384</v>
      </c>
      <c r="GZ45" s="969">
        <v>0</v>
      </c>
      <c r="HA45" s="970">
        <v>0</v>
      </c>
      <c r="HB45" s="970">
        <v>12.387600000000001</v>
      </c>
      <c r="HC45" s="970">
        <v>72.835543401544939</v>
      </c>
      <c r="HD45" s="970">
        <v>0</v>
      </c>
      <c r="HE45" s="970">
        <v>0</v>
      </c>
      <c r="HF45" s="970">
        <v>9.9720000000000013</v>
      </c>
      <c r="HG45" s="970">
        <v>66.212303523239541</v>
      </c>
      <c r="HH45" s="970">
        <v>0</v>
      </c>
      <c r="HI45" s="970">
        <v>0</v>
      </c>
      <c r="HJ45" s="970">
        <v>35.644000000000005</v>
      </c>
      <c r="HK45" s="971">
        <v>169.05794904930374</v>
      </c>
      <c r="HL45" s="969">
        <v>0</v>
      </c>
      <c r="HM45" s="970">
        <v>0</v>
      </c>
      <c r="HN45" s="970">
        <v>9.0275647058823534</v>
      </c>
      <c r="HO45" s="970">
        <v>38.599204517762026</v>
      </c>
      <c r="HP45" s="970">
        <v>0</v>
      </c>
      <c r="HQ45" s="970">
        <v>0</v>
      </c>
      <c r="HR45" s="970">
        <v>7.267176470588236</v>
      </c>
      <c r="HS45" s="970">
        <v>35.228887763372413</v>
      </c>
      <c r="HT45" s="970">
        <v>0</v>
      </c>
      <c r="HU45" s="970">
        <v>0</v>
      </c>
      <c r="HV45" s="970">
        <v>26.52376470588236</v>
      </c>
      <c r="HW45" s="971">
        <v>93.129807309311346</v>
      </c>
      <c r="HX45" s="969">
        <v>0</v>
      </c>
      <c r="HY45" s="970">
        <v>0</v>
      </c>
      <c r="HZ45" s="970">
        <v>8.8251529411764711</v>
      </c>
      <c r="IA45" s="970">
        <v>38.071405385137155</v>
      </c>
      <c r="IB45" s="970">
        <v>0</v>
      </c>
      <c r="IC45" s="970">
        <v>0</v>
      </c>
      <c r="ID45" s="970">
        <v>7.1042352941176476</v>
      </c>
      <c r="IE45" s="970">
        <v>34.692184968936104</v>
      </c>
      <c r="IF45" s="970">
        <v>0</v>
      </c>
      <c r="IG45" s="970">
        <v>0</v>
      </c>
      <c r="IH45" s="970">
        <v>25.974352941176477</v>
      </c>
      <c r="II45" s="971">
        <v>92.291089624449242</v>
      </c>
      <c r="IJ45" s="969">
        <v>0</v>
      </c>
      <c r="IK45" s="970">
        <v>0</v>
      </c>
      <c r="IL45" s="970">
        <v>11.092164705882354</v>
      </c>
      <c r="IM45" s="970">
        <v>57.243972913706088</v>
      </c>
      <c r="IN45" s="970">
        <v>0</v>
      </c>
      <c r="IO45" s="970">
        <v>0</v>
      </c>
      <c r="IP45" s="970">
        <v>8.929176470588235</v>
      </c>
      <c r="IQ45" s="970">
        <v>52.585589873884388</v>
      </c>
      <c r="IR45" s="970">
        <v>0</v>
      </c>
      <c r="IS45" s="970">
        <v>0</v>
      </c>
      <c r="IT45" s="970">
        <v>32.127764705882356</v>
      </c>
      <c r="IU45" s="971">
        <v>129.6166467897213</v>
      </c>
      <c r="IV45" s="969">
        <v>0</v>
      </c>
      <c r="IW45" s="970">
        <v>0</v>
      </c>
      <c r="IX45" s="970">
        <v>9.7157647058823535</v>
      </c>
      <c r="IY45" s="970">
        <v>44.188962645034593</v>
      </c>
      <c r="IZ45" s="970">
        <v>0</v>
      </c>
      <c r="JA45" s="970">
        <v>0</v>
      </c>
      <c r="JB45" s="970">
        <v>7.8211764705882363</v>
      </c>
      <c r="JC45" s="970">
        <v>40.319023847777508</v>
      </c>
      <c r="JD45" s="970">
        <v>0</v>
      </c>
      <c r="JE45" s="970">
        <v>0</v>
      </c>
      <c r="JF45" s="970">
        <v>28.391764705882359</v>
      </c>
      <c r="JG45" s="971">
        <v>103.6592181887351</v>
      </c>
      <c r="JH45" s="969">
        <v>0</v>
      </c>
      <c r="JI45" s="970">
        <v>0</v>
      </c>
      <c r="JJ45" s="970">
        <v>12.387600000000001</v>
      </c>
      <c r="JK45" s="970">
        <v>59.089983455280688</v>
      </c>
      <c r="JL45" s="970">
        <v>0</v>
      </c>
      <c r="JM45" s="970">
        <v>0</v>
      </c>
      <c r="JN45" s="970">
        <v>9.9720000000000013</v>
      </c>
      <c r="JO45" s="970">
        <v>52.540222855245808</v>
      </c>
      <c r="JP45" s="970">
        <v>0</v>
      </c>
      <c r="JQ45" s="970">
        <v>0</v>
      </c>
      <c r="JR45" s="970">
        <v>35.644000000000005</v>
      </c>
      <c r="JS45" s="971">
        <v>149.17517413373713</v>
      </c>
      <c r="JT45" s="969">
        <v>0</v>
      </c>
      <c r="JU45" s="970">
        <v>0</v>
      </c>
      <c r="JV45" s="970">
        <v>10.687341176470589</v>
      </c>
      <c r="JW45" s="970">
        <v>53.235828415255163</v>
      </c>
      <c r="JX45" s="970">
        <v>0</v>
      </c>
      <c r="JY45" s="970">
        <v>0</v>
      </c>
      <c r="JZ45" s="970">
        <v>8.6032941176470601</v>
      </c>
      <c r="KA45" s="970">
        <v>48.905030337017877</v>
      </c>
      <c r="KB45" s="970">
        <v>0</v>
      </c>
      <c r="KC45" s="970">
        <v>0</v>
      </c>
      <c r="KD45" s="970">
        <v>31.028941176470589</v>
      </c>
      <c r="KE45" s="971">
        <v>121.21363271702683</v>
      </c>
      <c r="KF45" s="969">
        <v>0</v>
      </c>
      <c r="KG45" s="970">
        <v>0</v>
      </c>
      <c r="KH45" s="970">
        <v>11.213611764705885</v>
      </c>
      <c r="KI45" s="970">
        <v>54.548360573079677</v>
      </c>
      <c r="KJ45" s="970">
        <v>0</v>
      </c>
      <c r="KK45" s="970">
        <v>0</v>
      </c>
      <c r="KL45" s="970">
        <v>9.02694117647059</v>
      </c>
      <c r="KM45" s="970">
        <v>49.83202473115071</v>
      </c>
      <c r="KN45" s="970">
        <v>0</v>
      </c>
      <c r="KO45" s="970">
        <v>0</v>
      </c>
      <c r="KP45" s="970">
        <v>32.457411764705888</v>
      </c>
      <c r="KQ45" s="971">
        <v>125.3152468741597</v>
      </c>
      <c r="KR45" s="969">
        <v>0</v>
      </c>
      <c r="KS45" s="970">
        <v>0</v>
      </c>
      <c r="KT45" s="970">
        <v>11.416023529411765</v>
      </c>
      <c r="KU45" s="970">
        <v>67.518904503409274</v>
      </c>
      <c r="KV45" s="970">
        <v>0</v>
      </c>
      <c r="KW45" s="970">
        <v>0</v>
      </c>
      <c r="KX45" s="970">
        <v>9.1898823529411775</v>
      </c>
      <c r="KY45" s="970">
        <v>61.799508505584271</v>
      </c>
      <c r="KZ45" s="970">
        <v>0</v>
      </c>
      <c r="LA45" s="970">
        <v>0</v>
      </c>
      <c r="LB45" s="970">
        <v>33.006823529411776</v>
      </c>
      <c r="LC45" s="971">
        <v>152.78496051797029</v>
      </c>
      <c r="LD45" s="969">
        <v>0</v>
      </c>
      <c r="LE45" s="970">
        <v>0</v>
      </c>
      <c r="LF45" s="970">
        <v>10.242035294117649</v>
      </c>
      <c r="LG45" s="970">
        <v>45.614795283940587</v>
      </c>
      <c r="LH45" s="970">
        <v>0</v>
      </c>
      <c r="LI45" s="970">
        <v>0</v>
      </c>
      <c r="LJ45" s="970">
        <v>8.2448235294117644</v>
      </c>
      <c r="LK45" s="970">
        <v>41.662095197878514</v>
      </c>
      <c r="LL45" s="970">
        <v>0</v>
      </c>
      <c r="LM45" s="970">
        <v>0</v>
      </c>
      <c r="LN45" s="970">
        <v>29.820235294117655</v>
      </c>
      <c r="LO45" s="971">
        <v>106.71010174599532</v>
      </c>
      <c r="LP45" s="969">
        <v>0</v>
      </c>
      <c r="LQ45" s="970">
        <v>0</v>
      </c>
      <c r="LR45" s="970">
        <v>11.658917647058825</v>
      </c>
      <c r="LS45" s="970">
        <v>68.58170313912629</v>
      </c>
      <c r="LT45" s="970">
        <v>0</v>
      </c>
      <c r="LU45" s="970">
        <v>0</v>
      </c>
      <c r="LV45" s="970">
        <v>9.3854117647058839</v>
      </c>
      <c r="LW45" s="970">
        <v>62.440719493851148</v>
      </c>
      <c r="LX45" s="970">
        <v>0</v>
      </c>
      <c r="LY45" s="970">
        <v>0</v>
      </c>
      <c r="LZ45" s="970">
        <v>33.666117647058833</v>
      </c>
      <c r="MA45" s="971">
        <v>160.21529783118405</v>
      </c>
      <c r="MB45" s="969">
        <v>0</v>
      </c>
      <c r="MC45" s="970">
        <v>0</v>
      </c>
      <c r="MD45" s="970">
        <v>11.780364705882356</v>
      </c>
      <c r="ME45" s="970">
        <v>57.886372260207168</v>
      </c>
      <c r="MF45" s="970">
        <v>0</v>
      </c>
      <c r="MG45" s="970">
        <v>0</v>
      </c>
      <c r="MH45" s="970">
        <v>9.4831764705882371</v>
      </c>
      <c r="MI45" s="970">
        <v>53.024151802102139</v>
      </c>
      <c r="MJ45" s="970">
        <v>0</v>
      </c>
      <c r="MK45" s="970">
        <v>0</v>
      </c>
      <c r="ML45" s="970">
        <v>33.995764705882358</v>
      </c>
      <c r="MM45" s="971">
        <v>131.93207294642886</v>
      </c>
      <c r="MN45" s="969">
        <v>0</v>
      </c>
      <c r="MO45" s="970">
        <v>0</v>
      </c>
      <c r="MP45" s="970">
        <v>15.626188235294119</v>
      </c>
      <c r="MQ45" s="970">
        <v>83.107919679114332</v>
      </c>
      <c r="MR45" s="970">
        <v>0</v>
      </c>
      <c r="MS45" s="970">
        <v>0</v>
      </c>
      <c r="MT45" s="970">
        <v>12.579058823529412</v>
      </c>
      <c r="MU45" s="970">
        <v>73.610447888183387</v>
      </c>
      <c r="MV45" s="970">
        <v>0</v>
      </c>
      <c r="MW45" s="970">
        <v>0</v>
      </c>
      <c r="MX45" s="970">
        <v>44.434588235294129</v>
      </c>
      <c r="MY45" s="971">
        <v>202.88997005093688</v>
      </c>
      <c r="MZ45" s="969">
        <v>0</v>
      </c>
      <c r="NA45" s="970">
        <v>0</v>
      </c>
      <c r="NB45" s="970">
        <v>12.913870588235294</v>
      </c>
      <c r="NC45" s="970">
        <v>83.718179575462443</v>
      </c>
      <c r="ND45" s="970">
        <v>0</v>
      </c>
      <c r="NE45" s="970">
        <v>0</v>
      </c>
      <c r="NF45" s="970">
        <v>10.395647058823529</v>
      </c>
      <c r="NG45" s="970">
        <v>75.437118875990947</v>
      </c>
      <c r="NH45" s="970">
        <v>0</v>
      </c>
      <c r="NI45" s="970">
        <v>0</v>
      </c>
      <c r="NJ45" s="970">
        <v>37.072470588235291</v>
      </c>
      <c r="NK45" s="971">
        <v>196.18411237186581</v>
      </c>
      <c r="NL45" s="969">
        <v>0</v>
      </c>
      <c r="NM45" s="970">
        <v>0</v>
      </c>
      <c r="NN45" s="970">
        <v>12.266152941176472</v>
      </c>
      <c r="NO45" s="970">
        <v>59.594937795606157</v>
      </c>
      <c r="NP45" s="970">
        <v>0</v>
      </c>
      <c r="NQ45" s="970">
        <v>0</v>
      </c>
      <c r="NR45" s="970">
        <v>9.8742352941176481</v>
      </c>
      <c r="NS45" s="970">
        <v>54.30003502507175</v>
      </c>
      <c r="NT45" s="970">
        <v>0</v>
      </c>
      <c r="NU45" s="970">
        <v>0</v>
      </c>
      <c r="NV45" s="970">
        <v>35.31435294117648</v>
      </c>
      <c r="NW45" s="971">
        <v>138.00600061146602</v>
      </c>
      <c r="NX45" s="969">
        <v>0</v>
      </c>
      <c r="NY45" s="970">
        <v>0</v>
      </c>
      <c r="NZ45" s="970">
        <v>11.537470588235294</v>
      </c>
      <c r="OA45" s="970">
        <v>59.622644225495904</v>
      </c>
      <c r="OB45" s="970">
        <v>0</v>
      </c>
      <c r="OC45" s="970">
        <v>0</v>
      </c>
      <c r="OD45" s="970">
        <v>9.2876470588235307</v>
      </c>
      <c r="OE45" s="970">
        <v>54.804867437734131</v>
      </c>
      <c r="OF45" s="970">
        <v>0</v>
      </c>
      <c r="OG45" s="970">
        <v>0</v>
      </c>
      <c r="OH45" s="970">
        <v>33.336470588235301</v>
      </c>
      <c r="OI45" s="971">
        <v>133.36283047464468</v>
      </c>
      <c r="OJ45" s="969">
        <v>0</v>
      </c>
      <c r="OK45" s="970">
        <v>0</v>
      </c>
      <c r="OL45" s="970">
        <v>13.359176470588237</v>
      </c>
      <c r="OM45" s="970">
        <v>67.807761849451424</v>
      </c>
      <c r="ON45" s="970">
        <v>0</v>
      </c>
      <c r="OO45" s="970">
        <v>0</v>
      </c>
      <c r="OP45" s="970">
        <v>10.754117647058825</v>
      </c>
      <c r="OQ45" s="970">
        <v>60.809369208299685</v>
      </c>
      <c r="OR45" s="970">
        <v>0</v>
      </c>
      <c r="OS45" s="970">
        <v>0</v>
      </c>
      <c r="OT45" s="970">
        <v>38.281176470588235</v>
      </c>
      <c r="OU45" s="971">
        <v>164.16851884916619</v>
      </c>
      <c r="OV45" s="969">
        <v>0</v>
      </c>
      <c r="OW45" s="970">
        <v>0</v>
      </c>
      <c r="OX45" s="970">
        <v>10.930235294117647</v>
      </c>
      <c r="OY45" s="970">
        <v>49.548149856044972</v>
      </c>
      <c r="OZ45" s="970">
        <v>0</v>
      </c>
      <c r="PA45" s="970">
        <v>0</v>
      </c>
      <c r="PB45" s="970">
        <v>8.7988235294117665</v>
      </c>
      <c r="PC45" s="970">
        <v>45.060772159630297</v>
      </c>
      <c r="PD45" s="970">
        <v>0</v>
      </c>
      <c r="PE45" s="970">
        <v>0</v>
      </c>
      <c r="PF45" s="970">
        <v>31.688235294117646</v>
      </c>
      <c r="PG45" s="971">
        <v>115.53126752594392</v>
      </c>
      <c r="PH45" s="969">
        <v>0</v>
      </c>
      <c r="PI45" s="970">
        <v>0</v>
      </c>
      <c r="PJ45" s="970">
        <v>15.05943529411765</v>
      </c>
      <c r="PK45" s="970">
        <v>74.841508666380619</v>
      </c>
      <c r="PL45" s="970">
        <v>0</v>
      </c>
      <c r="PM45" s="970">
        <v>0</v>
      </c>
      <c r="PN45" s="970">
        <v>12.122823529411768</v>
      </c>
      <c r="PO45" s="970">
        <v>66.74793087488429</v>
      </c>
      <c r="PP45" s="970">
        <v>0</v>
      </c>
      <c r="PQ45" s="970">
        <v>0</v>
      </c>
      <c r="PR45" s="970">
        <v>42.896235294117652</v>
      </c>
      <c r="PS45" s="971">
        <v>181.8174655746015</v>
      </c>
      <c r="PT45" s="969">
        <v>0</v>
      </c>
      <c r="PU45" s="970">
        <v>0</v>
      </c>
      <c r="PV45" s="970">
        <v>11.658917647058825</v>
      </c>
      <c r="PW45" s="970">
        <v>53.015033648714422</v>
      </c>
      <c r="PX45" s="970">
        <v>0</v>
      </c>
      <c r="PY45" s="970">
        <v>0</v>
      </c>
      <c r="PZ45" s="970">
        <v>9.3854117647058839</v>
      </c>
      <c r="QA45" s="970">
        <v>48.567016783030539</v>
      </c>
      <c r="QB45" s="970">
        <v>0</v>
      </c>
      <c r="QC45" s="970">
        <v>0</v>
      </c>
      <c r="QD45" s="970">
        <v>33.666117647058833</v>
      </c>
      <c r="QE45" s="971">
        <v>122.00613463532876</v>
      </c>
      <c r="QF45" s="969">
        <v>0</v>
      </c>
      <c r="QG45" s="970">
        <v>0</v>
      </c>
      <c r="QH45" s="970">
        <v>11.456505882352943</v>
      </c>
      <c r="QI45" s="970">
        <v>57.97286104411414</v>
      </c>
      <c r="QJ45" s="970">
        <v>0</v>
      </c>
      <c r="QK45" s="970">
        <v>0</v>
      </c>
      <c r="QL45" s="970">
        <v>9.2224705882352964</v>
      </c>
      <c r="QM45" s="970">
        <v>53.043019959321242</v>
      </c>
      <c r="QN45" s="970">
        <v>0</v>
      </c>
      <c r="QO45" s="970">
        <v>0</v>
      </c>
      <c r="QP45" s="970">
        <v>33.116705882352946</v>
      </c>
      <c r="QQ45" s="971">
        <v>131.78303031183447</v>
      </c>
      <c r="QR45" s="969">
        <v>0</v>
      </c>
      <c r="QS45" s="970">
        <v>0</v>
      </c>
      <c r="QT45" s="970">
        <v>12.994835294117648</v>
      </c>
      <c r="QU45" s="970">
        <v>78.390924682312473</v>
      </c>
      <c r="QV45" s="970">
        <v>0</v>
      </c>
      <c r="QW45" s="970">
        <v>0</v>
      </c>
      <c r="QX45" s="970">
        <v>10.460823529411766</v>
      </c>
      <c r="QY45" s="970">
        <v>70.422839365751543</v>
      </c>
      <c r="QZ45" s="970">
        <v>0</v>
      </c>
      <c r="RA45" s="970">
        <v>0</v>
      </c>
      <c r="RB45" s="970">
        <v>37.292235294117653</v>
      </c>
      <c r="RC45" s="971">
        <v>187.22438099069299</v>
      </c>
      <c r="RD45" s="969">
        <v>0</v>
      </c>
      <c r="RE45" s="970">
        <v>0</v>
      </c>
      <c r="RF45" s="970">
        <v>11.618435294117647</v>
      </c>
      <c r="RG45" s="970">
        <v>55.513686063098326</v>
      </c>
      <c r="RH45" s="970">
        <v>0</v>
      </c>
      <c r="RI45" s="970">
        <v>0</v>
      </c>
      <c r="RJ45" s="970">
        <v>9.352823529411765</v>
      </c>
      <c r="RK45" s="970">
        <v>50.747367865914093</v>
      </c>
      <c r="RL45" s="970">
        <v>0</v>
      </c>
      <c r="RM45" s="970">
        <v>0</v>
      </c>
      <c r="RN45" s="970">
        <v>33.556235294117656</v>
      </c>
      <c r="RO45" s="971">
        <v>127.04398524274549</v>
      </c>
      <c r="RP45" s="969">
        <v>0</v>
      </c>
      <c r="RQ45" s="970">
        <v>0</v>
      </c>
      <c r="RR45" s="970">
        <v>11.537470588235294</v>
      </c>
      <c r="RS45" s="970">
        <v>54.916232691300749</v>
      </c>
      <c r="RT45" s="970">
        <v>0</v>
      </c>
      <c r="RU45" s="970">
        <v>0</v>
      </c>
      <c r="RV45" s="970">
        <v>9.2876470588235307</v>
      </c>
      <c r="RW45" s="970">
        <v>50.184980295071675</v>
      </c>
      <c r="RX45" s="970">
        <v>0</v>
      </c>
      <c r="RY45" s="970">
        <v>0</v>
      </c>
      <c r="RZ45" s="970">
        <v>33.336470588235301</v>
      </c>
      <c r="SA45" s="971">
        <v>126.4398304884695</v>
      </c>
    </row>
    <row r="46" spans="1:495">
      <c r="A46" s="961">
        <f>[3]Eingabedaten!A48</f>
        <v>12.07</v>
      </c>
      <c r="B46" s="169" t="str">
        <f>[3]Eingabedaten!C48</f>
        <v>WC</v>
      </c>
      <c r="C46" s="987">
        <f t="shared" si="1"/>
        <v>40</v>
      </c>
      <c r="D46" s="954" cm="1">
        <f t="array" ref="D46">INDEX($P$7:$SA$51,$C46,$G$3-1+D$2)</f>
        <v>0</v>
      </c>
      <c r="E46" s="955" cm="1">
        <f t="array" ref="E46">INDEX($P$7:$SA$51,$C46,$G$3-1+E$2)</f>
        <v>0</v>
      </c>
      <c r="F46" s="955" cm="1">
        <f t="array" ref="F46">INDEX($P$7:$SA$51,$C46,$G$3-1+F$2)</f>
        <v>26.136176470588236</v>
      </c>
      <c r="G46" s="955" cm="1">
        <f t="array" ref="G46">INDEX($P$7:$SA$51,$C46,$G$3-1+G$2)</f>
        <v>40.156865561864294</v>
      </c>
      <c r="H46" s="955" cm="1">
        <f t="array" ref="H46">INDEX($P$7:$SA$51,$C46,$G$3-1+H$2)</f>
        <v>0</v>
      </c>
      <c r="I46" s="955" cm="1">
        <f t="array" ref="I46">INDEX($P$7:$SA$51,$C46,$G$3-1+I$2)</f>
        <v>0</v>
      </c>
      <c r="J46" s="955" cm="1">
        <f t="array" ref="J46">INDEX($P$7:$SA$51,$C46,$G$3-1+J$2)</f>
        <v>19.840617647058824</v>
      </c>
      <c r="K46" s="955" cm="1">
        <f t="array" ref="K46">INDEX($P$7:$SA$51,$C46,$G$3-1+K$2)</f>
        <v>27.699408848823808</v>
      </c>
      <c r="L46" s="955" cm="1">
        <f t="array" ref="L46">INDEX($P$7:$SA$51,$C46,$G$3-1+L$2)</f>
        <v>0</v>
      </c>
      <c r="M46" s="955" cm="1">
        <f t="array" ref="M46">INDEX($P$7:$SA$51,$C46,$G$3-1+M$2)</f>
        <v>0</v>
      </c>
      <c r="N46" s="955" cm="1">
        <f t="array" ref="N46">INDEX($P$7:$SA$51,$C46,$G$3-1+N$2)</f>
        <v>66.170676470588248</v>
      </c>
      <c r="O46" s="956" cm="1">
        <f t="array" ref="O46">INDEX($P$7:$SA$51,$C46,$G$3-1+O$2)</f>
        <v>182.23432242856265</v>
      </c>
      <c r="P46" s="969">
        <v>0</v>
      </c>
      <c r="Q46" s="970">
        <v>0</v>
      </c>
      <c r="R46" s="970">
        <v>28.54473529411765</v>
      </c>
      <c r="S46" s="970">
        <v>38.269573649982803</v>
      </c>
      <c r="T46" s="970">
        <v>0</v>
      </c>
      <c r="U46" s="970">
        <v>0</v>
      </c>
      <c r="V46" s="970">
        <v>21.716323529411767</v>
      </c>
      <c r="W46" s="970">
        <v>22.513353469164265</v>
      </c>
      <c r="X46" s="970">
        <v>0</v>
      </c>
      <c r="Y46" s="970">
        <v>0</v>
      </c>
      <c r="Z46" s="970">
        <v>71.967735294117645</v>
      </c>
      <c r="AA46" s="971">
        <v>236.32513231158055</v>
      </c>
      <c r="AB46" s="969">
        <v>0</v>
      </c>
      <c r="AC46" s="970">
        <v>0</v>
      </c>
      <c r="AD46" s="970">
        <v>24.352058823529415</v>
      </c>
      <c r="AE46" s="970">
        <v>39.772048536209915</v>
      </c>
      <c r="AF46" s="970">
        <v>0</v>
      </c>
      <c r="AG46" s="970">
        <v>0</v>
      </c>
      <c r="AH46" s="970">
        <v>18.451205882352941</v>
      </c>
      <c r="AI46" s="970">
        <v>27.724752067939253</v>
      </c>
      <c r="AJ46" s="970">
        <v>0</v>
      </c>
      <c r="AK46" s="970">
        <v>0</v>
      </c>
      <c r="AL46" s="970">
        <v>61.876558823529422</v>
      </c>
      <c r="AM46" s="971">
        <v>178.28166443324747</v>
      </c>
      <c r="AN46" s="969">
        <v>0</v>
      </c>
      <c r="AO46" s="970">
        <v>0</v>
      </c>
      <c r="AP46" s="970">
        <v>24.441264705882354</v>
      </c>
      <c r="AQ46" s="970">
        <v>48.530536502998558</v>
      </c>
      <c r="AR46" s="970">
        <v>0</v>
      </c>
      <c r="AS46" s="970">
        <v>0</v>
      </c>
      <c r="AT46" s="970">
        <v>18.520676470588235</v>
      </c>
      <c r="AU46" s="970">
        <v>35.121175806242562</v>
      </c>
      <c r="AV46" s="970">
        <v>0</v>
      </c>
      <c r="AW46" s="970">
        <v>0</v>
      </c>
      <c r="AX46" s="970">
        <v>62.091264705882367</v>
      </c>
      <c r="AY46" s="971">
        <v>197.29984657205361</v>
      </c>
      <c r="AZ46" s="969">
        <v>0</v>
      </c>
      <c r="BA46" s="970">
        <v>0</v>
      </c>
      <c r="BB46" s="970">
        <v>25.244117647058822</v>
      </c>
      <c r="BC46" s="970">
        <v>35.341030101815591</v>
      </c>
      <c r="BD46" s="970">
        <v>0</v>
      </c>
      <c r="BE46" s="970">
        <v>0</v>
      </c>
      <c r="BF46" s="970">
        <v>19.145911764705879</v>
      </c>
      <c r="BG46" s="970">
        <v>24.468870229071676</v>
      </c>
      <c r="BH46" s="970">
        <v>0</v>
      </c>
      <c r="BI46" s="970">
        <v>0</v>
      </c>
      <c r="BJ46" s="970">
        <v>64.023617647058828</v>
      </c>
      <c r="BK46" s="971">
        <v>163.75837476152634</v>
      </c>
      <c r="BL46" s="969">
        <v>0</v>
      </c>
      <c r="BM46" s="970">
        <v>0</v>
      </c>
      <c r="BN46" s="970">
        <v>26.046970588235297</v>
      </c>
      <c r="BO46" s="970">
        <v>40.224141534777829</v>
      </c>
      <c r="BP46" s="970">
        <v>0</v>
      </c>
      <c r="BQ46" s="970">
        <v>0</v>
      </c>
      <c r="BR46" s="970">
        <v>19.77114705882353</v>
      </c>
      <c r="BS46" s="970">
        <v>27.487932790402571</v>
      </c>
      <c r="BT46" s="970">
        <v>0</v>
      </c>
      <c r="BU46" s="970">
        <v>0</v>
      </c>
      <c r="BV46" s="970">
        <v>65.955970588235303</v>
      </c>
      <c r="BW46" s="971">
        <v>185.43072207688539</v>
      </c>
      <c r="BX46" s="969">
        <v>0</v>
      </c>
      <c r="BY46" s="970">
        <v>0</v>
      </c>
      <c r="BZ46" s="970">
        <v>25.779352941176473</v>
      </c>
      <c r="CA46" s="970">
        <v>46.130414148110837</v>
      </c>
      <c r="CB46" s="970">
        <v>0</v>
      </c>
      <c r="CC46" s="970">
        <v>0</v>
      </c>
      <c r="CD46" s="970">
        <v>19.562735294117648</v>
      </c>
      <c r="CE46" s="970">
        <v>32.843573935380725</v>
      </c>
      <c r="CF46" s="970">
        <v>0</v>
      </c>
      <c r="CG46" s="970">
        <v>0</v>
      </c>
      <c r="CH46" s="970">
        <v>65.311852941176483</v>
      </c>
      <c r="CI46" s="971">
        <v>191.25815179213328</v>
      </c>
      <c r="CJ46" s="969">
        <v>0</v>
      </c>
      <c r="CK46" s="970">
        <v>0</v>
      </c>
      <c r="CL46" s="970">
        <v>25.868558823529412</v>
      </c>
      <c r="CM46" s="970">
        <v>34.625870990160848</v>
      </c>
      <c r="CN46" s="970">
        <v>0</v>
      </c>
      <c r="CO46" s="970">
        <v>0</v>
      </c>
      <c r="CP46" s="970">
        <v>19.632205882352942</v>
      </c>
      <c r="CQ46" s="970">
        <v>22.72716004787646</v>
      </c>
      <c r="CR46" s="970">
        <v>0</v>
      </c>
      <c r="CS46" s="970">
        <v>0</v>
      </c>
      <c r="CT46" s="970">
        <v>65.526558823529427</v>
      </c>
      <c r="CU46" s="971">
        <v>175.05959137434829</v>
      </c>
      <c r="CV46" s="969">
        <v>0</v>
      </c>
      <c r="CW46" s="970">
        <v>0</v>
      </c>
      <c r="CX46" s="970">
        <v>31.131705882352946</v>
      </c>
      <c r="CY46" s="970">
        <v>39.314310813608948</v>
      </c>
      <c r="CZ46" s="970">
        <v>0</v>
      </c>
      <c r="DA46" s="970">
        <v>0</v>
      </c>
      <c r="DB46" s="970">
        <v>23.730970588235294</v>
      </c>
      <c r="DC46" s="970">
        <v>22.960284540863377</v>
      </c>
      <c r="DD46" s="970">
        <v>0</v>
      </c>
      <c r="DE46" s="970">
        <v>0</v>
      </c>
      <c r="DF46" s="970">
        <v>78.194205882352961</v>
      </c>
      <c r="DG46" s="971">
        <v>249.07180639088716</v>
      </c>
      <c r="DH46" s="969">
        <v>0</v>
      </c>
      <c r="DI46" s="970">
        <v>0</v>
      </c>
      <c r="DJ46" s="970">
        <v>28.098705882352942</v>
      </c>
      <c r="DK46" s="970">
        <v>34.750111838460136</v>
      </c>
      <c r="DL46" s="970">
        <v>0</v>
      </c>
      <c r="DM46" s="970">
        <v>0</v>
      </c>
      <c r="DN46" s="970">
        <v>21.368970588235292</v>
      </c>
      <c r="DO46" s="970">
        <v>20.84080756768536</v>
      </c>
      <c r="DP46" s="970">
        <v>0</v>
      </c>
      <c r="DQ46" s="970">
        <v>0</v>
      </c>
      <c r="DR46" s="970">
        <v>70.894205882352935</v>
      </c>
      <c r="DS46" s="971">
        <v>210.58528966625695</v>
      </c>
      <c r="DT46" s="969">
        <v>0</v>
      </c>
      <c r="DU46" s="970">
        <v>0</v>
      </c>
      <c r="DV46" s="970">
        <v>29.436794117647064</v>
      </c>
      <c r="DW46" s="970">
        <v>54.770394456609196</v>
      </c>
      <c r="DX46" s="970">
        <v>0</v>
      </c>
      <c r="DY46" s="970">
        <v>0</v>
      </c>
      <c r="DZ46" s="970">
        <v>22.411029411764709</v>
      </c>
      <c r="EA46" s="970">
        <v>37.931440253686098</v>
      </c>
      <c r="EB46" s="970">
        <v>0</v>
      </c>
      <c r="EC46" s="970">
        <v>0</v>
      </c>
      <c r="ED46" s="970">
        <v>74.114794117647079</v>
      </c>
      <c r="EE46" s="971">
        <v>247.26668427419293</v>
      </c>
      <c r="EF46" s="969">
        <v>0</v>
      </c>
      <c r="EG46" s="970">
        <v>0</v>
      </c>
      <c r="EH46" s="970">
        <v>23.192382352941177</v>
      </c>
      <c r="EI46" s="970">
        <v>33.783131593866123</v>
      </c>
      <c r="EJ46" s="970">
        <v>0</v>
      </c>
      <c r="EK46" s="970">
        <v>0</v>
      </c>
      <c r="EL46" s="970">
        <v>17.54808823529412</v>
      </c>
      <c r="EM46" s="970">
        <v>23.511899497567114</v>
      </c>
      <c r="EN46" s="970">
        <v>0</v>
      </c>
      <c r="EO46" s="970">
        <v>0</v>
      </c>
      <c r="EP46" s="970">
        <v>59.085382352941188</v>
      </c>
      <c r="EQ46" s="971">
        <v>158.26589483950593</v>
      </c>
      <c r="ER46" s="969">
        <v>0</v>
      </c>
      <c r="ES46" s="970">
        <v>0</v>
      </c>
      <c r="ET46" s="970">
        <v>26.760617647058826</v>
      </c>
      <c r="EU46" s="970">
        <v>59.938095799857777</v>
      </c>
      <c r="EV46" s="970">
        <v>0</v>
      </c>
      <c r="EW46" s="970">
        <v>0</v>
      </c>
      <c r="EX46" s="970">
        <v>20.326911764705883</v>
      </c>
      <c r="EY46" s="970">
        <v>44.297536171531739</v>
      </c>
      <c r="EZ46" s="970">
        <v>0</v>
      </c>
      <c r="FA46" s="970">
        <v>0</v>
      </c>
      <c r="FB46" s="970">
        <v>67.673617647058833</v>
      </c>
      <c r="FC46" s="971">
        <v>227.54401195906533</v>
      </c>
      <c r="FD46" s="969">
        <v>0</v>
      </c>
      <c r="FE46" s="970">
        <v>0</v>
      </c>
      <c r="FF46" s="970">
        <v>33.183441176470595</v>
      </c>
      <c r="FG46" s="970">
        <v>44.489100321398226</v>
      </c>
      <c r="FH46" s="970">
        <v>0</v>
      </c>
      <c r="FI46" s="970">
        <v>0</v>
      </c>
      <c r="FJ46" s="970">
        <v>25.32879411764706</v>
      </c>
      <c r="FK46" s="970">
        <v>26.475988326561868</v>
      </c>
      <c r="FL46" s="970">
        <v>0</v>
      </c>
      <c r="FM46" s="970">
        <v>0</v>
      </c>
      <c r="FN46" s="970">
        <v>83.132441176470593</v>
      </c>
      <c r="FO46" s="971">
        <v>281.10763363012632</v>
      </c>
      <c r="FP46" s="969">
        <v>0</v>
      </c>
      <c r="FQ46" s="970">
        <v>0</v>
      </c>
      <c r="FR46" s="970">
        <v>25.690147058823531</v>
      </c>
      <c r="FS46" s="970">
        <v>45.672198293023612</v>
      </c>
      <c r="FT46" s="970">
        <v>0</v>
      </c>
      <c r="FU46" s="970">
        <v>0</v>
      </c>
      <c r="FV46" s="970">
        <v>19.493264705882353</v>
      </c>
      <c r="FW46" s="970">
        <v>32.337571986186639</v>
      </c>
      <c r="FX46" s="970">
        <v>0</v>
      </c>
      <c r="FY46" s="970">
        <v>0</v>
      </c>
      <c r="FZ46" s="970">
        <v>65.097147058823538</v>
      </c>
      <c r="GA46" s="971">
        <v>192.37588171187218</v>
      </c>
      <c r="GB46" s="969">
        <v>0</v>
      </c>
      <c r="GC46" s="970">
        <v>0</v>
      </c>
      <c r="GD46" s="970">
        <v>25.690147058823531</v>
      </c>
      <c r="GE46" s="970">
        <v>45.56735303336076</v>
      </c>
      <c r="GF46" s="970">
        <v>0</v>
      </c>
      <c r="GG46" s="970">
        <v>0</v>
      </c>
      <c r="GH46" s="970">
        <v>19.493264705882353</v>
      </c>
      <c r="GI46" s="970">
        <v>31.468140619411752</v>
      </c>
      <c r="GJ46" s="970">
        <v>0</v>
      </c>
      <c r="GK46" s="970">
        <v>0</v>
      </c>
      <c r="GL46" s="970">
        <v>65.097147058823538</v>
      </c>
      <c r="GM46" s="971">
        <v>200.10923447851587</v>
      </c>
      <c r="GN46" s="969">
        <v>0</v>
      </c>
      <c r="GO46" s="970">
        <v>0</v>
      </c>
      <c r="GP46" s="970">
        <v>27.92029411764706</v>
      </c>
      <c r="GQ46" s="970">
        <v>39.878306112748326</v>
      </c>
      <c r="GR46" s="970">
        <v>0</v>
      </c>
      <c r="GS46" s="970">
        <v>0</v>
      </c>
      <c r="GT46" s="970">
        <v>21.230029411764704</v>
      </c>
      <c r="GU46" s="970">
        <v>24.997347413569688</v>
      </c>
      <c r="GV46" s="970">
        <v>0</v>
      </c>
      <c r="GW46" s="970">
        <v>0</v>
      </c>
      <c r="GX46" s="970">
        <v>70.464794117647074</v>
      </c>
      <c r="GY46" s="971">
        <v>214.76780475221094</v>
      </c>
      <c r="GZ46" s="969">
        <v>0</v>
      </c>
      <c r="HA46" s="970">
        <v>0</v>
      </c>
      <c r="HB46" s="970">
        <v>28.009500000000003</v>
      </c>
      <c r="HC46" s="970">
        <v>51.323144347989015</v>
      </c>
      <c r="HD46" s="970">
        <v>0</v>
      </c>
      <c r="HE46" s="970">
        <v>0</v>
      </c>
      <c r="HF46" s="970">
        <v>21.299499999999998</v>
      </c>
      <c r="HG46" s="970">
        <v>34.070089879719696</v>
      </c>
      <c r="HH46" s="970">
        <v>0</v>
      </c>
      <c r="HI46" s="970">
        <v>0</v>
      </c>
      <c r="HJ46" s="970">
        <v>70.679500000000019</v>
      </c>
      <c r="HK46" s="971">
        <v>240.36784284962522</v>
      </c>
      <c r="HL46" s="969">
        <v>0</v>
      </c>
      <c r="HM46" s="970">
        <v>0</v>
      </c>
      <c r="HN46" s="970">
        <v>20.605411764705885</v>
      </c>
      <c r="HO46" s="970">
        <v>24.328309651294308</v>
      </c>
      <c r="HP46" s="970">
        <v>0</v>
      </c>
      <c r="HQ46" s="970">
        <v>0</v>
      </c>
      <c r="HR46" s="970">
        <v>15.533441176470589</v>
      </c>
      <c r="HS46" s="970">
        <v>15.606544571492719</v>
      </c>
      <c r="HT46" s="970">
        <v>0</v>
      </c>
      <c r="HU46" s="970">
        <v>0</v>
      </c>
      <c r="HV46" s="970">
        <v>52.858911764705894</v>
      </c>
      <c r="HW46" s="971">
        <v>130.42914152879831</v>
      </c>
      <c r="HX46" s="969">
        <v>0</v>
      </c>
      <c r="HY46" s="970">
        <v>0</v>
      </c>
      <c r="HZ46" s="970">
        <v>20.159382352941176</v>
      </c>
      <c r="IA46" s="970">
        <v>22.430230041425677</v>
      </c>
      <c r="IB46" s="970">
        <v>0</v>
      </c>
      <c r="IC46" s="970">
        <v>0</v>
      </c>
      <c r="ID46" s="970">
        <v>15.18608823529412</v>
      </c>
      <c r="IE46" s="970">
        <v>13.885908373652747</v>
      </c>
      <c r="IF46" s="970">
        <v>0</v>
      </c>
      <c r="IG46" s="970">
        <v>0</v>
      </c>
      <c r="IH46" s="970">
        <v>51.785382352941191</v>
      </c>
      <c r="II46" s="971">
        <v>128.9164755131001</v>
      </c>
      <c r="IJ46" s="969">
        <v>0</v>
      </c>
      <c r="IK46" s="970">
        <v>0</v>
      </c>
      <c r="IL46" s="970">
        <v>25.154911764705883</v>
      </c>
      <c r="IM46" s="970">
        <v>44.681950975455415</v>
      </c>
      <c r="IN46" s="970">
        <v>0</v>
      </c>
      <c r="IO46" s="970">
        <v>0</v>
      </c>
      <c r="IP46" s="970">
        <v>19.076441176470585</v>
      </c>
      <c r="IQ46" s="970">
        <v>31.54066745691437</v>
      </c>
      <c r="IR46" s="970">
        <v>0</v>
      </c>
      <c r="IS46" s="970">
        <v>0</v>
      </c>
      <c r="IT46" s="970">
        <v>63.80891176470589</v>
      </c>
      <c r="IU46" s="971">
        <v>190.69046835029621</v>
      </c>
      <c r="IV46" s="969">
        <v>0</v>
      </c>
      <c r="IW46" s="970">
        <v>0</v>
      </c>
      <c r="IX46" s="970">
        <v>22.121911764705885</v>
      </c>
      <c r="IY46" s="970">
        <v>29.493222980922301</v>
      </c>
      <c r="IZ46" s="970">
        <v>0</v>
      </c>
      <c r="JA46" s="970">
        <v>0</v>
      </c>
      <c r="JB46" s="970">
        <v>16.714441176470586</v>
      </c>
      <c r="JC46" s="970">
        <v>19.436740971513231</v>
      </c>
      <c r="JD46" s="970">
        <v>0</v>
      </c>
      <c r="JE46" s="970">
        <v>0</v>
      </c>
      <c r="JF46" s="970">
        <v>56.508911764705893</v>
      </c>
      <c r="JG46" s="971">
        <v>147.8492909087212</v>
      </c>
      <c r="JH46" s="969">
        <v>0</v>
      </c>
      <c r="JI46" s="970">
        <v>0</v>
      </c>
      <c r="JJ46" s="970">
        <v>28.009500000000003</v>
      </c>
      <c r="JK46" s="970">
        <v>29.075126107033764</v>
      </c>
      <c r="JL46" s="970">
        <v>0</v>
      </c>
      <c r="JM46" s="970">
        <v>0</v>
      </c>
      <c r="JN46" s="970">
        <v>21.299499999999998</v>
      </c>
      <c r="JO46" s="970">
        <v>16.542267602059685</v>
      </c>
      <c r="JP46" s="970">
        <v>0</v>
      </c>
      <c r="JQ46" s="970">
        <v>0</v>
      </c>
      <c r="JR46" s="970">
        <v>70.679500000000019</v>
      </c>
      <c r="JS46" s="971">
        <v>194.32215540058303</v>
      </c>
      <c r="JT46" s="969">
        <v>0</v>
      </c>
      <c r="JU46" s="970">
        <v>0</v>
      </c>
      <c r="JV46" s="970">
        <v>24.262852941176472</v>
      </c>
      <c r="JW46" s="970">
        <v>41.05283193170542</v>
      </c>
      <c r="JX46" s="970">
        <v>0</v>
      </c>
      <c r="JY46" s="970">
        <v>0</v>
      </c>
      <c r="JZ46" s="970">
        <v>18.381735294117647</v>
      </c>
      <c r="KA46" s="970">
        <v>29.169501778176183</v>
      </c>
      <c r="KB46" s="970">
        <v>0</v>
      </c>
      <c r="KC46" s="970">
        <v>0</v>
      </c>
      <c r="KD46" s="970">
        <v>61.661852941176477</v>
      </c>
      <c r="KE46" s="971">
        <v>177.37922894220716</v>
      </c>
      <c r="KF46" s="969">
        <v>0</v>
      </c>
      <c r="KG46" s="970">
        <v>0</v>
      </c>
      <c r="KH46" s="970">
        <v>25.422529411764707</v>
      </c>
      <c r="KI46" s="970">
        <v>40.473344268390036</v>
      </c>
      <c r="KJ46" s="970">
        <v>0</v>
      </c>
      <c r="KK46" s="970">
        <v>0</v>
      </c>
      <c r="KL46" s="970">
        <v>19.284852941176471</v>
      </c>
      <c r="KM46" s="970">
        <v>28.377960231492892</v>
      </c>
      <c r="KN46" s="970">
        <v>0</v>
      </c>
      <c r="KO46" s="970">
        <v>0</v>
      </c>
      <c r="KP46" s="970">
        <v>64.453029411764717</v>
      </c>
      <c r="KQ46" s="971">
        <v>180.71190934791332</v>
      </c>
      <c r="KR46" s="969">
        <v>0</v>
      </c>
      <c r="KS46" s="970">
        <v>0</v>
      </c>
      <c r="KT46" s="970">
        <v>25.868558823529412</v>
      </c>
      <c r="KU46" s="970">
        <v>52.799381972179098</v>
      </c>
      <c r="KV46" s="970">
        <v>0</v>
      </c>
      <c r="KW46" s="970">
        <v>0</v>
      </c>
      <c r="KX46" s="970">
        <v>19.632205882352942</v>
      </c>
      <c r="KY46" s="970">
        <v>38.343179546818632</v>
      </c>
      <c r="KZ46" s="970">
        <v>0</v>
      </c>
      <c r="LA46" s="970">
        <v>0</v>
      </c>
      <c r="LB46" s="970">
        <v>65.526558823529427</v>
      </c>
      <c r="LC46" s="971">
        <v>223.84637032677756</v>
      </c>
      <c r="LD46" s="969">
        <v>0</v>
      </c>
      <c r="LE46" s="970">
        <v>0</v>
      </c>
      <c r="LF46" s="970">
        <v>23.281588235294119</v>
      </c>
      <c r="LG46" s="970">
        <v>31.861348577515447</v>
      </c>
      <c r="LH46" s="970">
        <v>0</v>
      </c>
      <c r="LI46" s="970">
        <v>0</v>
      </c>
      <c r="LJ46" s="970">
        <v>17.617558823529414</v>
      </c>
      <c r="LK46" s="970">
        <v>21.980253485896505</v>
      </c>
      <c r="LL46" s="970">
        <v>0</v>
      </c>
      <c r="LM46" s="970">
        <v>0</v>
      </c>
      <c r="LN46" s="970">
        <v>59.300088235294126</v>
      </c>
      <c r="LO46" s="971">
        <v>152.45755542009033</v>
      </c>
      <c r="LP46" s="969">
        <v>0</v>
      </c>
      <c r="LQ46" s="970">
        <v>0</v>
      </c>
      <c r="LR46" s="970">
        <v>26.403794117647063</v>
      </c>
      <c r="LS46" s="970">
        <v>45.535023187274831</v>
      </c>
      <c r="LT46" s="970">
        <v>0</v>
      </c>
      <c r="LU46" s="970">
        <v>0</v>
      </c>
      <c r="LV46" s="970">
        <v>20.04902941176471</v>
      </c>
      <c r="LW46" s="970">
        <v>29.653245577429175</v>
      </c>
      <c r="LX46" s="970">
        <v>0</v>
      </c>
      <c r="LY46" s="970">
        <v>0</v>
      </c>
      <c r="LZ46" s="970">
        <v>66.814794117647068</v>
      </c>
      <c r="MA46" s="971">
        <v>227.91337599475497</v>
      </c>
      <c r="MB46" s="969">
        <v>0</v>
      </c>
      <c r="MC46" s="970">
        <v>0</v>
      </c>
      <c r="MD46" s="970">
        <v>26.671411764705887</v>
      </c>
      <c r="ME46" s="970">
        <v>44.604392975780989</v>
      </c>
      <c r="MF46" s="970">
        <v>0</v>
      </c>
      <c r="MG46" s="970">
        <v>0</v>
      </c>
      <c r="MH46" s="970">
        <v>20.257441176470586</v>
      </c>
      <c r="MI46" s="970">
        <v>31.306309106884743</v>
      </c>
      <c r="MJ46" s="970">
        <v>0</v>
      </c>
      <c r="MK46" s="970">
        <v>0</v>
      </c>
      <c r="ML46" s="970">
        <v>67.458911764705903</v>
      </c>
      <c r="MM46" s="971">
        <v>192.18889366635821</v>
      </c>
      <c r="MN46" s="969">
        <v>0</v>
      </c>
      <c r="MO46" s="970">
        <v>0</v>
      </c>
      <c r="MP46" s="970">
        <v>35.145970588235301</v>
      </c>
      <c r="MQ46" s="970">
        <v>43.946811273563654</v>
      </c>
      <c r="MR46" s="970">
        <v>0</v>
      </c>
      <c r="MS46" s="970">
        <v>0</v>
      </c>
      <c r="MT46" s="970">
        <v>26.857147058823529</v>
      </c>
      <c r="MU46" s="970">
        <v>25.449005314835802</v>
      </c>
      <c r="MV46" s="970">
        <v>0</v>
      </c>
      <c r="MW46" s="970">
        <v>0</v>
      </c>
      <c r="MX46" s="970">
        <v>87.855970588235323</v>
      </c>
      <c r="MY46" s="971">
        <v>269.90796643736655</v>
      </c>
      <c r="MZ46" s="969">
        <v>0</v>
      </c>
      <c r="NA46" s="970">
        <v>0</v>
      </c>
      <c r="NB46" s="970">
        <v>29.169176470588241</v>
      </c>
      <c r="NC46" s="970">
        <v>50.193079740325842</v>
      </c>
      <c r="ND46" s="970">
        <v>0</v>
      </c>
      <c r="NE46" s="970">
        <v>0</v>
      </c>
      <c r="NF46" s="970">
        <v>22.202617647058823</v>
      </c>
      <c r="NG46" s="970">
        <v>32.394428155476014</v>
      </c>
      <c r="NH46" s="970">
        <v>0</v>
      </c>
      <c r="NI46" s="970">
        <v>0</v>
      </c>
      <c r="NJ46" s="970">
        <v>73.470676470588245</v>
      </c>
      <c r="NK46" s="971">
        <v>275.99910943492864</v>
      </c>
      <c r="NL46" s="969">
        <v>0</v>
      </c>
      <c r="NM46" s="970">
        <v>0</v>
      </c>
      <c r="NN46" s="970">
        <v>27.741882352941182</v>
      </c>
      <c r="NO46" s="970">
        <v>42.576270592206022</v>
      </c>
      <c r="NP46" s="970">
        <v>0</v>
      </c>
      <c r="NQ46" s="970">
        <v>0</v>
      </c>
      <c r="NR46" s="970">
        <v>21.091088235294123</v>
      </c>
      <c r="NS46" s="970">
        <v>28.863421251046539</v>
      </c>
      <c r="NT46" s="970">
        <v>0</v>
      </c>
      <c r="NU46" s="970">
        <v>0</v>
      </c>
      <c r="NV46" s="970">
        <v>70.035382352941184</v>
      </c>
      <c r="NW46" s="971">
        <v>197.42587297468944</v>
      </c>
      <c r="NX46" s="969">
        <v>0</v>
      </c>
      <c r="NY46" s="970">
        <v>0</v>
      </c>
      <c r="NZ46" s="970">
        <v>26.136176470588236</v>
      </c>
      <c r="OA46" s="970">
        <v>48.091389215184542</v>
      </c>
      <c r="OB46" s="970">
        <v>0</v>
      </c>
      <c r="OC46" s="970">
        <v>0</v>
      </c>
      <c r="OD46" s="970">
        <v>19.840617647058824</v>
      </c>
      <c r="OE46" s="970">
        <v>34.194511974477777</v>
      </c>
      <c r="OF46" s="970">
        <v>0</v>
      </c>
      <c r="OG46" s="970">
        <v>0</v>
      </c>
      <c r="OH46" s="970">
        <v>66.170676470588248</v>
      </c>
      <c r="OI46" s="971">
        <v>197.98574652126507</v>
      </c>
      <c r="OJ46" s="969">
        <v>0</v>
      </c>
      <c r="OK46" s="970">
        <v>0</v>
      </c>
      <c r="OL46" s="970">
        <v>30.150441176470594</v>
      </c>
      <c r="OM46" s="970">
        <v>39.931401585801076</v>
      </c>
      <c r="ON46" s="970">
        <v>0</v>
      </c>
      <c r="OO46" s="970">
        <v>0</v>
      </c>
      <c r="OP46" s="970">
        <v>22.966794117647058</v>
      </c>
      <c r="OQ46" s="970">
        <v>24.858764174337697</v>
      </c>
      <c r="OR46" s="970">
        <v>0</v>
      </c>
      <c r="OS46" s="970">
        <v>0</v>
      </c>
      <c r="OT46" s="970">
        <v>75.832441176470596</v>
      </c>
      <c r="OU46" s="971">
        <v>222.70759629530269</v>
      </c>
      <c r="OV46" s="969">
        <v>0</v>
      </c>
      <c r="OW46" s="970">
        <v>0</v>
      </c>
      <c r="OX46" s="970">
        <v>24.798088235294117</v>
      </c>
      <c r="OY46" s="970">
        <v>33.879538775156831</v>
      </c>
      <c r="OZ46" s="970">
        <v>0</v>
      </c>
      <c r="PA46" s="970">
        <v>0</v>
      </c>
      <c r="PB46" s="970">
        <v>18.798558823529412</v>
      </c>
      <c r="PC46" s="970">
        <v>22.580847064200452</v>
      </c>
      <c r="PD46" s="970">
        <v>0</v>
      </c>
      <c r="PE46" s="970">
        <v>0</v>
      </c>
      <c r="PF46" s="970">
        <v>62.950088235294132</v>
      </c>
      <c r="PG46" s="971">
        <v>164.21275456102541</v>
      </c>
      <c r="PH46" s="969">
        <v>0</v>
      </c>
      <c r="PI46" s="970">
        <v>0</v>
      </c>
      <c r="PJ46" s="970">
        <v>33.897088235294127</v>
      </c>
      <c r="PK46" s="970">
        <v>46.656482045659757</v>
      </c>
      <c r="PL46" s="970">
        <v>0</v>
      </c>
      <c r="PM46" s="970">
        <v>0</v>
      </c>
      <c r="PN46" s="970">
        <v>25.884558823529414</v>
      </c>
      <c r="PO46" s="970">
        <v>29.552856874432941</v>
      </c>
      <c r="PP46" s="970">
        <v>0</v>
      </c>
      <c r="PQ46" s="970">
        <v>0</v>
      </c>
      <c r="PR46" s="970">
        <v>84.850088235294137</v>
      </c>
      <c r="PS46" s="971">
        <v>243.8329568499496</v>
      </c>
      <c r="PT46" s="969">
        <v>0</v>
      </c>
      <c r="PU46" s="970">
        <v>0</v>
      </c>
      <c r="PV46" s="970">
        <v>26.403794117647063</v>
      </c>
      <c r="PW46" s="970">
        <v>38.491602837432737</v>
      </c>
      <c r="PX46" s="970">
        <v>0</v>
      </c>
      <c r="PY46" s="970">
        <v>0</v>
      </c>
      <c r="PZ46" s="970">
        <v>20.04902941176471</v>
      </c>
      <c r="QA46" s="970">
        <v>26.248482482233303</v>
      </c>
      <c r="QB46" s="970">
        <v>0</v>
      </c>
      <c r="QC46" s="970">
        <v>0</v>
      </c>
      <c r="QD46" s="970">
        <v>66.814794117647068</v>
      </c>
      <c r="QE46" s="971">
        <v>176.91525103824628</v>
      </c>
      <c r="QF46" s="969">
        <v>0</v>
      </c>
      <c r="QG46" s="970">
        <v>0</v>
      </c>
      <c r="QH46" s="970">
        <v>25.957764705882354</v>
      </c>
      <c r="QI46" s="970">
        <v>44.405798988401571</v>
      </c>
      <c r="QJ46" s="970">
        <v>0</v>
      </c>
      <c r="QK46" s="970">
        <v>0</v>
      </c>
      <c r="QL46" s="970">
        <v>19.701676470588239</v>
      </c>
      <c r="QM46" s="970">
        <v>31.221623485846411</v>
      </c>
      <c r="QN46" s="970">
        <v>0</v>
      </c>
      <c r="QO46" s="970">
        <v>0</v>
      </c>
      <c r="QP46" s="970">
        <v>65.741264705882358</v>
      </c>
      <c r="QQ46" s="971">
        <v>191.92262144492136</v>
      </c>
      <c r="QR46" s="969">
        <v>0</v>
      </c>
      <c r="QS46" s="970">
        <v>0</v>
      </c>
      <c r="QT46" s="970">
        <v>29.347588235294126</v>
      </c>
      <c r="QU46" s="970">
        <v>41.323353901335388</v>
      </c>
      <c r="QV46" s="970">
        <v>0</v>
      </c>
      <c r="QW46" s="970">
        <v>0</v>
      </c>
      <c r="QX46" s="970">
        <v>22.341558823529414</v>
      </c>
      <c r="QY46" s="970">
        <v>24.193745117497635</v>
      </c>
      <c r="QZ46" s="970">
        <v>0</v>
      </c>
      <c r="RA46" s="970">
        <v>0</v>
      </c>
      <c r="RB46" s="970">
        <v>73.900088235294135</v>
      </c>
      <c r="RC46" s="971">
        <v>259.15162266610878</v>
      </c>
      <c r="RD46" s="969">
        <v>0</v>
      </c>
      <c r="RE46" s="970">
        <v>0</v>
      </c>
      <c r="RF46" s="970">
        <v>26.314588235294117</v>
      </c>
      <c r="RG46" s="970">
        <v>41.25504390195195</v>
      </c>
      <c r="RH46" s="970">
        <v>0</v>
      </c>
      <c r="RI46" s="970">
        <v>0</v>
      </c>
      <c r="RJ46" s="970">
        <v>19.979558823529416</v>
      </c>
      <c r="RK46" s="970">
        <v>28.560269184591686</v>
      </c>
      <c r="RL46" s="970">
        <v>0</v>
      </c>
      <c r="RM46" s="970">
        <v>0</v>
      </c>
      <c r="RN46" s="970">
        <v>66.600088235294123</v>
      </c>
      <c r="RO46" s="971">
        <v>184.00073182324732</v>
      </c>
      <c r="RP46" s="969">
        <v>0</v>
      </c>
      <c r="RQ46" s="970">
        <v>0</v>
      </c>
      <c r="RR46" s="970">
        <v>26.136176470588236</v>
      </c>
      <c r="RS46" s="970">
        <v>40.156865561864294</v>
      </c>
      <c r="RT46" s="970">
        <v>0</v>
      </c>
      <c r="RU46" s="970">
        <v>0</v>
      </c>
      <c r="RV46" s="970">
        <v>19.840617647058824</v>
      </c>
      <c r="RW46" s="970">
        <v>27.699408848823808</v>
      </c>
      <c r="RX46" s="970">
        <v>0</v>
      </c>
      <c r="RY46" s="970">
        <v>0</v>
      </c>
      <c r="RZ46" s="970">
        <v>66.170676470588248</v>
      </c>
      <c r="SA46" s="971">
        <v>182.23432242856265</v>
      </c>
    </row>
    <row r="47" spans="1:495">
      <c r="A47" s="966">
        <f>[3]Eingabedaten!A49</f>
        <v>12.08</v>
      </c>
      <c r="B47" s="169" t="str">
        <f>[3]Eingabedaten!C49</f>
        <v>Garderobe, Dusche</v>
      </c>
      <c r="C47" s="987">
        <f t="shared" si="1"/>
        <v>41</v>
      </c>
      <c r="D47" s="954" cm="1">
        <f t="array" ref="D47">INDEX($P$7:$SA$51,$C47,$G$3-1+D$2)</f>
        <v>0</v>
      </c>
      <c r="E47" s="955" cm="1">
        <f t="array" ref="E47">INDEX($P$7:$SA$51,$C47,$G$3-1+E$2)</f>
        <v>0</v>
      </c>
      <c r="F47" s="955" cm="1">
        <f t="array" ref="F47">INDEX($P$7:$SA$51,$C47,$G$3-1+F$2)</f>
        <v>11.993470588235295</v>
      </c>
      <c r="G47" s="955" cm="1">
        <f t="array" ref="G47">INDEX($P$7:$SA$51,$C47,$G$3-1+G$2)</f>
        <v>24.290614197971614</v>
      </c>
      <c r="H47" s="955" cm="1">
        <f t="array" ref="H47">INDEX($P$7:$SA$51,$C47,$G$3-1+H$2)</f>
        <v>0</v>
      </c>
      <c r="I47" s="955" cm="1">
        <f t="array" ref="I47">INDEX($P$7:$SA$51,$C47,$G$3-1+I$2)</f>
        <v>0</v>
      </c>
      <c r="J47" s="955" cm="1">
        <f t="array" ref="J47">INDEX($P$7:$SA$51,$C47,$G$3-1+J$2)</f>
        <v>9.7436470588235302</v>
      </c>
      <c r="K47" s="955" cm="1">
        <f t="array" ref="K47">INDEX($P$7:$SA$51,$C47,$G$3-1+K$2)</f>
        <v>18.003642287087548</v>
      </c>
      <c r="L47" s="955" cm="1">
        <f t="array" ref="L47">INDEX($P$7:$SA$51,$C47,$G$3-1+L$2)</f>
        <v>0</v>
      </c>
      <c r="M47" s="955" cm="1">
        <f t="array" ref="M47">INDEX($P$7:$SA$51,$C47,$G$3-1+M$2)</f>
        <v>0</v>
      </c>
      <c r="N47" s="955" cm="1">
        <f t="array" ref="N47">INDEX($P$7:$SA$51,$C47,$G$3-1+N$2)</f>
        <v>35.943970588235295</v>
      </c>
      <c r="O47" s="956" cm="1">
        <f t="array" ref="O47">INDEX($P$7:$SA$51,$C47,$G$3-1+O$2)</f>
        <v>126.13033654046282</v>
      </c>
      <c r="P47" s="969">
        <v>0</v>
      </c>
      <c r="Q47" s="970">
        <v>0</v>
      </c>
      <c r="R47" s="970">
        <v>13.129694117647061</v>
      </c>
      <c r="S47" s="970">
        <v>26.437368019213665</v>
      </c>
      <c r="T47" s="970">
        <v>0</v>
      </c>
      <c r="U47" s="970">
        <v>0</v>
      </c>
      <c r="V47" s="970">
        <v>10.666729411764706</v>
      </c>
      <c r="W47" s="970">
        <v>17.610674186555318</v>
      </c>
      <c r="X47" s="970">
        <v>0</v>
      </c>
      <c r="Y47" s="970">
        <v>0</v>
      </c>
      <c r="Z47" s="970">
        <v>39.126794117647059</v>
      </c>
      <c r="AA47" s="971">
        <v>169.55149958898588</v>
      </c>
      <c r="AB47" s="969">
        <v>0</v>
      </c>
      <c r="AC47" s="970">
        <v>0</v>
      </c>
      <c r="AD47" s="970">
        <v>11.151823529411766</v>
      </c>
      <c r="AE47" s="970">
        <v>23.866455484887776</v>
      </c>
      <c r="AF47" s="970">
        <v>0</v>
      </c>
      <c r="AG47" s="970">
        <v>0</v>
      </c>
      <c r="AH47" s="970">
        <v>9.0598823529411767</v>
      </c>
      <c r="AI47" s="970">
        <v>17.864065059644457</v>
      </c>
      <c r="AJ47" s="970">
        <v>0</v>
      </c>
      <c r="AK47" s="970">
        <v>0</v>
      </c>
      <c r="AL47" s="970">
        <v>33.586323529411764</v>
      </c>
      <c r="AM47" s="971">
        <v>122.61477792411149</v>
      </c>
      <c r="AN47" s="969">
        <v>0</v>
      </c>
      <c r="AO47" s="970">
        <v>0</v>
      </c>
      <c r="AP47" s="970">
        <v>11.193905882352944</v>
      </c>
      <c r="AQ47" s="970">
        <v>27.931938801891089</v>
      </c>
      <c r="AR47" s="970">
        <v>0</v>
      </c>
      <c r="AS47" s="970">
        <v>0</v>
      </c>
      <c r="AT47" s="970">
        <v>9.0940705882352955</v>
      </c>
      <c r="AU47" s="970">
        <v>21.622868021816693</v>
      </c>
      <c r="AV47" s="970">
        <v>0</v>
      </c>
      <c r="AW47" s="970">
        <v>0</v>
      </c>
      <c r="AX47" s="970">
        <v>33.704205882352944</v>
      </c>
      <c r="AY47" s="971">
        <v>131.81963414358916</v>
      </c>
      <c r="AZ47" s="969">
        <v>0</v>
      </c>
      <c r="BA47" s="970">
        <v>0</v>
      </c>
      <c r="BB47" s="970">
        <v>11.572647058823531</v>
      </c>
      <c r="BC47" s="970">
        <v>21.379050746782827</v>
      </c>
      <c r="BD47" s="970">
        <v>0</v>
      </c>
      <c r="BE47" s="970">
        <v>0</v>
      </c>
      <c r="BF47" s="970">
        <v>9.4017647058823535</v>
      </c>
      <c r="BG47" s="970">
        <v>15.850980463878091</v>
      </c>
      <c r="BH47" s="970">
        <v>0</v>
      </c>
      <c r="BI47" s="970">
        <v>0</v>
      </c>
      <c r="BJ47" s="970">
        <v>34.76514705882353</v>
      </c>
      <c r="BK47" s="971">
        <v>113.7039174739145</v>
      </c>
      <c r="BL47" s="969">
        <v>0</v>
      </c>
      <c r="BM47" s="970">
        <v>0</v>
      </c>
      <c r="BN47" s="970">
        <v>11.951388235294118</v>
      </c>
      <c r="BO47" s="970">
        <v>24.529615490028597</v>
      </c>
      <c r="BP47" s="970">
        <v>0</v>
      </c>
      <c r="BQ47" s="970">
        <v>0</v>
      </c>
      <c r="BR47" s="970">
        <v>9.7094588235294115</v>
      </c>
      <c r="BS47" s="970">
        <v>18.034679986183431</v>
      </c>
      <c r="BT47" s="970">
        <v>0</v>
      </c>
      <c r="BU47" s="970">
        <v>0</v>
      </c>
      <c r="BV47" s="970">
        <v>35.826088235294115</v>
      </c>
      <c r="BW47" s="971">
        <v>128.74715940350336</v>
      </c>
      <c r="BX47" s="969">
        <v>0</v>
      </c>
      <c r="BY47" s="970">
        <v>0</v>
      </c>
      <c r="BZ47" s="970">
        <v>11.825141176470591</v>
      </c>
      <c r="CA47" s="970">
        <v>26.953996969392136</v>
      </c>
      <c r="CB47" s="970">
        <v>0</v>
      </c>
      <c r="CC47" s="970">
        <v>0</v>
      </c>
      <c r="CD47" s="970">
        <v>9.6068941176470588</v>
      </c>
      <c r="CE47" s="970">
        <v>20.58562638396392</v>
      </c>
      <c r="CF47" s="970">
        <v>0</v>
      </c>
      <c r="CG47" s="970">
        <v>0</v>
      </c>
      <c r="CH47" s="970">
        <v>35.472441176470589</v>
      </c>
      <c r="CI47" s="971">
        <v>128.92890746556139</v>
      </c>
      <c r="CJ47" s="969">
        <v>0</v>
      </c>
      <c r="CK47" s="970">
        <v>0</v>
      </c>
      <c r="CL47" s="970">
        <v>11.867223529411765</v>
      </c>
      <c r="CM47" s="970">
        <v>21.839956893353872</v>
      </c>
      <c r="CN47" s="970">
        <v>0</v>
      </c>
      <c r="CO47" s="970">
        <v>0</v>
      </c>
      <c r="CP47" s="970">
        <v>9.6410823529411758</v>
      </c>
      <c r="CQ47" s="970">
        <v>15.680247198516627</v>
      </c>
      <c r="CR47" s="970">
        <v>0</v>
      </c>
      <c r="CS47" s="970">
        <v>0</v>
      </c>
      <c r="CT47" s="970">
        <v>35.590323529411762</v>
      </c>
      <c r="CU47" s="971">
        <v>123.09758486215593</v>
      </c>
      <c r="CV47" s="969">
        <v>0</v>
      </c>
      <c r="CW47" s="970">
        <v>0</v>
      </c>
      <c r="CX47" s="970">
        <v>14.350082352941177</v>
      </c>
      <c r="CY47" s="970">
        <v>26.815849314532702</v>
      </c>
      <c r="CZ47" s="970">
        <v>0</v>
      </c>
      <c r="DA47" s="970">
        <v>0</v>
      </c>
      <c r="DB47" s="970">
        <v>11.658188235294118</v>
      </c>
      <c r="DC47" s="970">
        <v>17.76345534190682</v>
      </c>
      <c r="DD47" s="970">
        <v>0</v>
      </c>
      <c r="DE47" s="970">
        <v>0</v>
      </c>
      <c r="DF47" s="970">
        <v>42.545382352941182</v>
      </c>
      <c r="DG47" s="971">
        <v>186.24637076894717</v>
      </c>
      <c r="DH47" s="969">
        <v>0</v>
      </c>
      <c r="DI47" s="970">
        <v>0</v>
      </c>
      <c r="DJ47" s="970">
        <v>12.919282352941178</v>
      </c>
      <c r="DK47" s="970">
        <v>23.530712406341195</v>
      </c>
      <c r="DL47" s="970">
        <v>0</v>
      </c>
      <c r="DM47" s="970">
        <v>0</v>
      </c>
      <c r="DN47" s="970">
        <v>10.495788235294118</v>
      </c>
      <c r="DO47" s="970">
        <v>15.863564910608485</v>
      </c>
      <c r="DP47" s="970">
        <v>0</v>
      </c>
      <c r="DQ47" s="970">
        <v>0</v>
      </c>
      <c r="DR47" s="970">
        <v>38.537382352941179</v>
      </c>
      <c r="DS47" s="971">
        <v>154.50945464200259</v>
      </c>
      <c r="DT47" s="969">
        <v>0</v>
      </c>
      <c r="DU47" s="970">
        <v>0</v>
      </c>
      <c r="DV47" s="970">
        <v>13.550517647058825</v>
      </c>
      <c r="DW47" s="970">
        <v>32.927988801945247</v>
      </c>
      <c r="DX47" s="970">
        <v>0</v>
      </c>
      <c r="DY47" s="970">
        <v>0</v>
      </c>
      <c r="DZ47" s="970">
        <v>11.008611764705883</v>
      </c>
      <c r="EA47" s="970">
        <v>24.389538166905677</v>
      </c>
      <c r="EB47" s="970">
        <v>0</v>
      </c>
      <c r="EC47" s="970">
        <v>0</v>
      </c>
      <c r="ED47" s="970">
        <v>40.305617647058831</v>
      </c>
      <c r="EE47" s="971">
        <v>171.98189356071919</v>
      </c>
      <c r="EF47" s="969">
        <v>0</v>
      </c>
      <c r="EG47" s="970">
        <v>0</v>
      </c>
      <c r="EH47" s="970">
        <v>10.604752941176471</v>
      </c>
      <c r="EI47" s="970">
        <v>20.267573780048412</v>
      </c>
      <c r="EJ47" s="970">
        <v>0</v>
      </c>
      <c r="EK47" s="970">
        <v>0</v>
      </c>
      <c r="EL47" s="970">
        <v>8.6154352941176473</v>
      </c>
      <c r="EM47" s="970">
        <v>15.04934490718615</v>
      </c>
      <c r="EN47" s="970">
        <v>0</v>
      </c>
      <c r="EO47" s="970">
        <v>0</v>
      </c>
      <c r="EP47" s="970">
        <v>32.053852941176473</v>
      </c>
      <c r="EQ47" s="971">
        <v>110.24599552308545</v>
      </c>
      <c r="ER47" s="969">
        <v>0</v>
      </c>
      <c r="ES47" s="970">
        <v>0</v>
      </c>
      <c r="ET47" s="970">
        <v>12.28804705882353</v>
      </c>
      <c r="EU47" s="970">
        <v>33.974334181421987</v>
      </c>
      <c r="EV47" s="970">
        <v>0</v>
      </c>
      <c r="EW47" s="970">
        <v>0</v>
      </c>
      <c r="EX47" s="970">
        <v>9.9829647058823525</v>
      </c>
      <c r="EY47" s="970">
        <v>26.553021059257695</v>
      </c>
      <c r="EZ47" s="970">
        <v>0</v>
      </c>
      <c r="FA47" s="970">
        <v>0</v>
      </c>
      <c r="FB47" s="970">
        <v>36.769147058823528</v>
      </c>
      <c r="FC47" s="971">
        <v>149.37743045387182</v>
      </c>
      <c r="FD47" s="969">
        <v>0</v>
      </c>
      <c r="FE47" s="970">
        <v>0</v>
      </c>
      <c r="FF47" s="970">
        <v>15.317976470588237</v>
      </c>
      <c r="FG47" s="970">
        <v>29.881447936985161</v>
      </c>
      <c r="FH47" s="970">
        <v>0</v>
      </c>
      <c r="FI47" s="970">
        <v>0</v>
      </c>
      <c r="FJ47" s="970">
        <v>12.444517647058824</v>
      </c>
      <c r="FK47" s="970">
        <v>19.918591263949292</v>
      </c>
      <c r="FL47" s="970">
        <v>0</v>
      </c>
      <c r="FM47" s="970">
        <v>0</v>
      </c>
      <c r="FN47" s="970">
        <v>45.256676470588239</v>
      </c>
      <c r="FO47" s="971">
        <v>218.31727318385461</v>
      </c>
      <c r="FP47" s="969">
        <v>0</v>
      </c>
      <c r="FQ47" s="970">
        <v>0</v>
      </c>
      <c r="FR47" s="970">
        <v>11.783058823529414</v>
      </c>
      <c r="FS47" s="970">
        <v>26.836173348166842</v>
      </c>
      <c r="FT47" s="970">
        <v>0</v>
      </c>
      <c r="FU47" s="970">
        <v>0</v>
      </c>
      <c r="FV47" s="970">
        <v>9.5727058823529418</v>
      </c>
      <c r="FW47" s="970">
        <v>20.374582806798951</v>
      </c>
      <c r="FX47" s="970">
        <v>0</v>
      </c>
      <c r="FY47" s="970">
        <v>0</v>
      </c>
      <c r="FZ47" s="970">
        <v>35.354558823529416</v>
      </c>
      <c r="GA47" s="971">
        <v>130.82594873702556</v>
      </c>
      <c r="GB47" s="969">
        <v>0</v>
      </c>
      <c r="GC47" s="970">
        <v>0</v>
      </c>
      <c r="GD47" s="970">
        <v>11.783058823529414</v>
      </c>
      <c r="GE47" s="970">
        <v>27.242363058596634</v>
      </c>
      <c r="GF47" s="970">
        <v>0</v>
      </c>
      <c r="GG47" s="970">
        <v>0</v>
      </c>
      <c r="GH47" s="970">
        <v>9.5727058823529418</v>
      </c>
      <c r="GI47" s="970">
        <v>20.399514505192641</v>
      </c>
      <c r="GJ47" s="970">
        <v>0</v>
      </c>
      <c r="GK47" s="970">
        <v>0</v>
      </c>
      <c r="GL47" s="970">
        <v>35.354558823529416</v>
      </c>
      <c r="GM47" s="971">
        <v>137.35012105581416</v>
      </c>
      <c r="GN47" s="969">
        <v>0</v>
      </c>
      <c r="GO47" s="970">
        <v>0</v>
      </c>
      <c r="GP47" s="970">
        <v>12.835117647058825</v>
      </c>
      <c r="GQ47" s="970">
        <v>25.955922167497253</v>
      </c>
      <c r="GR47" s="970">
        <v>0</v>
      </c>
      <c r="GS47" s="970">
        <v>0</v>
      </c>
      <c r="GT47" s="970">
        <v>10.427411764705882</v>
      </c>
      <c r="GU47" s="970">
        <v>18.105276227188227</v>
      </c>
      <c r="GV47" s="970">
        <v>0</v>
      </c>
      <c r="GW47" s="970">
        <v>0</v>
      </c>
      <c r="GX47" s="970">
        <v>38.301617647058826</v>
      </c>
      <c r="GY47" s="971">
        <v>154.15972432486492</v>
      </c>
      <c r="GZ47" s="969">
        <v>0</v>
      </c>
      <c r="HA47" s="970">
        <v>0</v>
      </c>
      <c r="HB47" s="970">
        <v>12.877200000000002</v>
      </c>
      <c r="HC47" s="970">
        <v>31.553392014118458</v>
      </c>
      <c r="HD47" s="970">
        <v>0</v>
      </c>
      <c r="HE47" s="970">
        <v>0</v>
      </c>
      <c r="HF47" s="970">
        <v>10.461600000000001</v>
      </c>
      <c r="HG47" s="970">
        <v>23.081925860255126</v>
      </c>
      <c r="HH47" s="970">
        <v>0</v>
      </c>
      <c r="HI47" s="970">
        <v>0</v>
      </c>
      <c r="HJ47" s="970">
        <v>38.419500000000006</v>
      </c>
      <c r="HK47" s="971">
        <v>168.71158516547553</v>
      </c>
      <c r="HL47" s="969">
        <v>0</v>
      </c>
      <c r="HM47" s="970">
        <v>0</v>
      </c>
      <c r="HN47" s="970">
        <v>9.3843647058823549</v>
      </c>
      <c r="HO47" s="970">
        <v>15.345711253415736</v>
      </c>
      <c r="HP47" s="970">
        <v>0</v>
      </c>
      <c r="HQ47" s="970">
        <v>0</v>
      </c>
      <c r="HR47" s="970">
        <v>7.6239764705882358</v>
      </c>
      <c r="HS47" s="970">
        <v>11.136788078209303</v>
      </c>
      <c r="HT47" s="970">
        <v>0</v>
      </c>
      <c r="HU47" s="970">
        <v>0</v>
      </c>
      <c r="HV47" s="970">
        <v>28.635264705882353</v>
      </c>
      <c r="HW47" s="971">
        <v>92.665664814936932</v>
      </c>
      <c r="HX47" s="969">
        <v>0</v>
      </c>
      <c r="HY47" s="970">
        <v>0</v>
      </c>
      <c r="HZ47" s="970">
        <v>9.1739529411764718</v>
      </c>
      <c r="IA47" s="970">
        <v>14.531363088142678</v>
      </c>
      <c r="IB47" s="970">
        <v>0</v>
      </c>
      <c r="IC47" s="970">
        <v>0</v>
      </c>
      <c r="ID47" s="970">
        <v>7.4530352941176474</v>
      </c>
      <c r="IE47" s="970">
        <v>10.344314107761489</v>
      </c>
      <c r="IF47" s="970">
        <v>0</v>
      </c>
      <c r="IG47" s="970">
        <v>0</v>
      </c>
      <c r="IH47" s="970">
        <v>28.04585294117647</v>
      </c>
      <c r="II47" s="971">
        <v>91.869291105935105</v>
      </c>
      <c r="IJ47" s="969">
        <v>0</v>
      </c>
      <c r="IK47" s="970">
        <v>0</v>
      </c>
      <c r="IL47" s="970">
        <v>11.530564705882353</v>
      </c>
      <c r="IM47" s="970">
        <v>26.392899263431328</v>
      </c>
      <c r="IN47" s="970">
        <v>0</v>
      </c>
      <c r="IO47" s="970">
        <v>0</v>
      </c>
      <c r="IP47" s="970">
        <v>9.3675764705882347</v>
      </c>
      <c r="IQ47" s="970">
        <v>19.987467238171071</v>
      </c>
      <c r="IR47" s="970">
        <v>0</v>
      </c>
      <c r="IS47" s="970">
        <v>0</v>
      </c>
      <c r="IT47" s="970">
        <v>34.64726470588235</v>
      </c>
      <c r="IU47" s="971">
        <v>129.34780284499715</v>
      </c>
      <c r="IV47" s="969">
        <v>0</v>
      </c>
      <c r="IW47" s="970">
        <v>0</v>
      </c>
      <c r="IX47" s="970">
        <v>10.099764705882354</v>
      </c>
      <c r="IY47" s="970">
        <v>18.303853813188891</v>
      </c>
      <c r="IZ47" s="970">
        <v>0</v>
      </c>
      <c r="JA47" s="970">
        <v>0</v>
      </c>
      <c r="JB47" s="970">
        <v>8.2051764705882348</v>
      </c>
      <c r="JC47" s="970">
        <v>13.311731330558194</v>
      </c>
      <c r="JD47" s="970">
        <v>0</v>
      </c>
      <c r="JE47" s="970">
        <v>0</v>
      </c>
      <c r="JF47" s="970">
        <v>30.639264705882354</v>
      </c>
      <c r="JG47" s="971">
        <v>103.21566085578084</v>
      </c>
      <c r="JH47" s="969">
        <v>0</v>
      </c>
      <c r="JI47" s="970">
        <v>0</v>
      </c>
      <c r="JJ47" s="970">
        <v>12.877200000000002</v>
      </c>
      <c r="JK47" s="970">
        <v>20.379395248953411</v>
      </c>
      <c r="JL47" s="970">
        <v>0</v>
      </c>
      <c r="JM47" s="970">
        <v>0</v>
      </c>
      <c r="JN47" s="970">
        <v>10.461600000000001</v>
      </c>
      <c r="JO47" s="970">
        <v>13.281956219356653</v>
      </c>
      <c r="JP47" s="970">
        <v>0</v>
      </c>
      <c r="JQ47" s="970">
        <v>0</v>
      </c>
      <c r="JR47" s="970">
        <v>38.419500000000006</v>
      </c>
      <c r="JS47" s="971">
        <v>148.53697790780905</v>
      </c>
      <c r="JT47" s="969">
        <v>0</v>
      </c>
      <c r="JU47" s="970">
        <v>0</v>
      </c>
      <c r="JV47" s="970">
        <v>11.109741176470589</v>
      </c>
      <c r="JW47" s="970">
        <v>24.275093392027728</v>
      </c>
      <c r="JX47" s="970">
        <v>0</v>
      </c>
      <c r="JY47" s="970">
        <v>0</v>
      </c>
      <c r="JZ47" s="970">
        <v>9.025694117647058</v>
      </c>
      <c r="KA47" s="970">
        <v>18.362198115247736</v>
      </c>
      <c r="KB47" s="970">
        <v>0</v>
      </c>
      <c r="KC47" s="970">
        <v>0</v>
      </c>
      <c r="KD47" s="970">
        <v>33.468441176470591</v>
      </c>
      <c r="KE47" s="971">
        <v>120.9687402511307</v>
      </c>
      <c r="KF47" s="969">
        <v>0</v>
      </c>
      <c r="KG47" s="970">
        <v>0</v>
      </c>
      <c r="KH47" s="970">
        <v>11.656811764705884</v>
      </c>
      <c r="KI47" s="970">
        <v>24.216983362966943</v>
      </c>
      <c r="KJ47" s="970">
        <v>0</v>
      </c>
      <c r="KK47" s="970">
        <v>0</v>
      </c>
      <c r="KL47" s="970">
        <v>9.4701411764705874</v>
      </c>
      <c r="KM47" s="970">
        <v>18.034875763795732</v>
      </c>
      <c r="KN47" s="970">
        <v>0</v>
      </c>
      <c r="KO47" s="970">
        <v>0</v>
      </c>
      <c r="KP47" s="970">
        <v>35.000911764705883</v>
      </c>
      <c r="KQ47" s="971">
        <v>125.00730831980209</v>
      </c>
      <c r="KR47" s="969">
        <v>0</v>
      </c>
      <c r="KS47" s="970">
        <v>0</v>
      </c>
      <c r="KT47" s="970">
        <v>11.867223529411765</v>
      </c>
      <c r="KU47" s="970">
        <v>30.627194164074794</v>
      </c>
      <c r="KV47" s="970">
        <v>0</v>
      </c>
      <c r="KW47" s="970">
        <v>0</v>
      </c>
      <c r="KX47" s="970">
        <v>9.6410823529411758</v>
      </c>
      <c r="KY47" s="970">
        <v>23.231671364796288</v>
      </c>
      <c r="KZ47" s="970">
        <v>0</v>
      </c>
      <c r="LA47" s="970">
        <v>0</v>
      </c>
      <c r="LB47" s="970">
        <v>35.590323529411762</v>
      </c>
      <c r="LC47" s="971">
        <v>152.30133378855314</v>
      </c>
      <c r="LD47" s="969">
        <v>0</v>
      </c>
      <c r="LE47" s="970">
        <v>0</v>
      </c>
      <c r="LF47" s="970">
        <v>10.646835294117649</v>
      </c>
      <c r="LG47" s="970">
        <v>19.234453923433549</v>
      </c>
      <c r="LH47" s="970">
        <v>0</v>
      </c>
      <c r="LI47" s="970">
        <v>0</v>
      </c>
      <c r="LJ47" s="970">
        <v>8.6496235294117643</v>
      </c>
      <c r="LK47" s="970">
        <v>14.249962422067473</v>
      </c>
      <c r="LL47" s="970">
        <v>0</v>
      </c>
      <c r="LM47" s="970">
        <v>0</v>
      </c>
      <c r="LN47" s="970">
        <v>32.171735294117653</v>
      </c>
      <c r="LO47" s="971">
        <v>106.21574018235188</v>
      </c>
      <c r="LP47" s="969">
        <v>0</v>
      </c>
      <c r="LQ47" s="970">
        <v>0</v>
      </c>
      <c r="LR47" s="970">
        <v>12.119717647058826</v>
      </c>
      <c r="LS47" s="970">
        <v>28.769337456829508</v>
      </c>
      <c r="LT47" s="970">
        <v>0</v>
      </c>
      <c r="LU47" s="970">
        <v>0</v>
      </c>
      <c r="LV47" s="970">
        <v>9.8462117647058829</v>
      </c>
      <c r="LW47" s="970">
        <v>20.573815913332105</v>
      </c>
      <c r="LX47" s="970">
        <v>0</v>
      </c>
      <c r="LY47" s="970">
        <v>0</v>
      </c>
      <c r="LZ47" s="970">
        <v>36.297617647058829</v>
      </c>
      <c r="MA47" s="971">
        <v>159.97792631736229</v>
      </c>
      <c r="MB47" s="969">
        <v>0</v>
      </c>
      <c r="MC47" s="970">
        <v>0</v>
      </c>
      <c r="MD47" s="970">
        <v>12.245964705882354</v>
      </c>
      <c r="ME47" s="970">
        <v>26.416911048659557</v>
      </c>
      <c r="MF47" s="970">
        <v>0</v>
      </c>
      <c r="MG47" s="970">
        <v>0</v>
      </c>
      <c r="MH47" s="970">
        <v>9.9487764705882356</v>
      </c>
      <c r="MI47" s="970">
        <v>19.943768022361102</v>
      </c>
      <c r="MJ47" s="970">
        <v>0</v>
      </c>
      <c r="MK47" s="970">
        <v>0</v>
      </c>
      <c r="ML47" s="970">
        <v>36.651264705882355</v>
      </c>
      <c r="MM47" s="971">
        <v>131.6004851416568</v>
      </c>
      <c r="MN47" s="969">
        <v>0</v>
      </c>
      <c r="MO47" s="970">
        <v>0</v>
      </c>
      <c r="MP47" s="970">
        <v>16.243788235294119</v>
      </c>
      <c r="MQ47" s="970">
        <v>29.687846174388682</v>
      </c>
      <c r="MR47" s="970">
        <v>0</v>
      </c>
      <c r="MS47" s="970">
        <v>0</v>
      </c>
      <c r="MT47" s="970">
        <v>13.196658823529413</v>
      </c>
      <c r="MU47" s="970">
        <v>19.693812741894124</v>
      </c>
      <c r="MV47" s="970">
        <v>0</v>
      </c>
      <c r="MW47" s="970">
        <v>0</v>
      </c>
      <c r="MX47" s="970">
        <v>47.850088235294123</v>
      </c>
      <c r="MY47" s="971">
        <v>202.80795470705596</v>
      </c>
      <c r="MZ47" s="969">
        <v>0</v>
      </c>
      <c r="NA47" s="970">
        <v>0</v>
      </c>
      <c r="NB47" s="970">
        <v>13.424270588235295</v>
      </c>
      <c r="NC47" s="970">
        <v>32.50850451293212</v>
      </c>
      <c r="ND47" s="970">
        <v>0</v>
      </c>
      <c r="NE47" s="970">
        <v>0</v>
      </c>
      <c r="NF47" s="970">
        <v>10.906047058823528</v>
      </c>
      <c r="NG47" s="970">
        <v>22.429900770724281</v>
      </c>
      <c r="NH47" s="970">
        <v>0</v>
      </c>
      <c r="NI47" s="970">
        <v>0</v>
      </c>
      <c r="NJ47" s="970">
        <v>39.951970588235298</v>
      </c>
      <c r="NK47" s="971">
        <v>196.15088468772456</v>
      </c>
      <c r="NL47" s="969">
        <v>0</v>
      </c>
      <c r="NM47" s="970">
        <v>0</v>
      </c>
      <c r="NN47" s="970">
        <v>12.750952941176473</v>
      </c>
      <c r="NO47" s="970">
        <v>26.013618815408076</v>
      </c>
      <c r="NP47" s="970">
        <v>0</v>
      </c>
      <c r="NQ47" s="970">
        <v>0</v>
      </c>
      <c r="NR47" s="970">
        <v>10.359035294117648</v>
      </c>
      <c r="NS47" s="970">
        <v>19.120672784444874</v>
      </c>
      <c r="NT47" s="970">
        <v>0</v>
      </c>
      <c r="NU47" s="970">
        <v>0</v>
      </c>
      <c r="NV47" s="970">
        <v>38.065852941176473</v>
      </c>
      <c r="NW47" s="971">
        <v>137.54066920543329</v>
      </c>
      <c r="NX47" s="969">
        <v>0</v>
      </c>
      <c r="NY47" s="970">
        <v>0</v>
      </c>
      <c r="NZ47" s="970">
        <v>11.993470588235295</v>
      </c>
      <c r="OA47" s="970">
        <v>28.04554702545262</v>
      </c>
      <c r="OB47" s="970">
        <v>0</v>
      </c>
      <c r="OC47" s="970">
        <v>0</v>
      </c>
      <c r="OD47" s="970">
        <v>9.7436470588235302</v>
      </c>
      <c r="OE47" s="970">
        <v>21.427382044379197</v>
      </c>
      <c r="OF47" s="970">
        <v>0</v>
      </c>
      <c r="OG47" s="970">
        <v>0</v>
      </c>
      <c r="OH47" s="970">
        <v>35.943970588235295</v>
      </c>
      <c r="OI47" s="971">
        <v>133.09291183456381</v>
      </c>
      <c r="OJ47" s="969">
        <v>0</v>
      </c>
      <c r="OK47" s="970">
        <v>0</v>
      </c>
      <c r="OL47" s="970">
        <v>13.887176470588237</v>
      </c>
      <c r="OM47" s="970">
        <v>26.109671571588244</v>
      </c>
      <c r="ON47" s="970">
        <v>0</v>
      </c>
      <c r="OO47" s="970">
        <v>0</v>
      </c>
      <c r="OP47" s="970">
        <v>11.282117647058824</v>
      </c>
      <c r="OQ47" s="970">
        <v>17.909591215994574</v>
      </c>
      <c r="OR47" s="970">
        <v>0</v>
      </c>
      <c r="OS47" s="970">
        <v>0</v>
      </c>
      <c r="OT47" s="970">
        <v>41.248676470588236</v>
      </c>
      <c r="OU47" s="971">
        <v>163.77780888465193</v>
      </c>
      <c r="OV47" s="969">
        <v>0</v>
      </c>
      <c r="OW47" s="970">
        <v>0</v>
      </c>
      <c r="OX47" s="970">
        <v>11.362235294117648</v>
      </c>
      <c r="OY47" s="970">
        <v>20.932829896493537</v>
      </c>
      <c r="OZ47" s="970">
        <v>0</v>
      </c>
      <c r="PA47" s="970">
        <v>0</v>
      </c>
      <c r="PB47" s="970">
        <v>9.2308235294117651</v>
      </c>
      <c r="PC47" s="970">
        <v>15.164468915986076</v>
      </c>
      <c r="PD47" s="970">
        <v>0</v>
      </c>
      <c r="PE47" s="970">
        <v>0</v>
      </c>
      <c r="PF47" s="970">
        <v>34.175735294117644</v>
      </c>
      <c r="PG47" s="971">
        <v>115.11703070786561</v>
      </c>
      <c r="PH47" s="969">
        <v>0</v>
      </c>
      <c r="PI47" s="970">
        <v>0</v>
      </c>
      <c r="PJ47" s="970">
        <v>15.65463529411765</v>
      </c>
      <c r="PK47" s="970">
        <v>29.226925876648938</v>
      </c>
      <c r="PL47" s="970">
        <v>0</v>
      </c>
      <c r="PM47" s="970">
        <v>0</v>
      </c>
      <c r="PN47" s="970">
        <v>12.718023529411767</v>
      </c>
      <c r="PO47" s="970">
        <v>20.729221383002283</v>
      </c>
      <c r="PP47" s="970">
        <v>0</v>
      </c>
      <c r="PQ47" s="970">
        <v>0</v>
      </c>
      <c r="PR47" s="970">
        <v>46.199735294117659</v>
      </c>
      <c r="PS47" s="971">
        <v>181.56505262607425</v>
      </c>
      <c r="PT47" s="969">
        <v>0</v>
      </c>
      <c r="PU47" s="970">
        <v>0</v>
      </c>
      <c r="PV47" s="970">
        <v>12.119717647058826</v>
      </c>
      <c r="PW47" s="970">
        <v>23.402817958274841</v>
      </c>
      <c r="PX47" s="970">
        <v>0</v>
      </c>
      <c r="PY47" s="970">
        <v>0</v>
      </c>
      <c r="PZ47" s="970">
        <v>9.8462117647058829</v>
      </c>
      <c r="QA47" s="970">
        <v>17.371484789936041</v>
      </c>
      <c r="QB47" s="970">
        <v>0</v>
      </c>
      <c r="QC47" s="970">
        <v>0</v>
      </c>
      <c r="QD47" s="970">
        <v>36.297617647058829</v>
      </c>
      <c r="QE47" s="971">
        <v>121.64537231720243</v>
      </c>
      <c r="QF47" s="969">
        <v>0</v>
      </c>
      <c r="QG47" s="970">
        <v>0</v>
      </c>
      <c r="QH47" s="970">
        <v>11.909305882352943</v>
      </c>
      <c r="QI47" s="970">
        <v>26.36869316764291</v>
      </c>
      <c r="QJ47" s="970">
        <v>0</v>
      </c>
      <c r="QK47" s="970">
        <v>0</v>
      </c>
      <c r="QL47" s="970">
        <v>9.6752705882352945</v>
      </c>
      <c r="QM47" s="970">
        <v>19.80356058048714</v>
      </c>
      <c r="QN47" s="970">
        <v>0</v>
      </c>
      <c r="QO47" s="970">
        <v>0</v>
      </c>
      <c r="QP47" s="970">
        <v>35.708205882352942</v>
      </c>
      <c r="QQ47" s="971">
        <v>131.48412594969108</v>
      </c>
      <c r="QR47" s="969">
        <v>0</v>
      </c>
      <c r="QS47" s="970">
        <v>0</v>
      </c>
      <c r="QT47" s="970">
        <v>13.50843529411765</v>
      </c>
      <c r="QU47" s="970">
        <v>28.658756069446216</v>
      </c>
      <c r="QV47" s="970">
        <v>0</v>
      </c>
      <c r="QW47" s="970">
        <v>0</v>
      </c>
      <c r="QX47" s="970">
        <v>10.974423529411766</v>
      </c>
      <c r="QY47" s="970">
        <v>18.811032482305635</v>
      </c>
      <c r="QZ47" s="970">
        <v>0</v>
      </c>
      <c r="RA47" s="970">
        <v>0</v>
      </c>
      <c r="RB47" s="970">
        <v>40.187735294117658</v>
      </c>
      <c r="RC47" s="971">
        <v>187.18888979084639</v>
      </c>
      <c r="RD47" s="969">
        <v>0</v>
      </c>
      <c r="RE47" s="970">
        <v>0</v>
      </c>
      <c r="RF47" s="970">
        <v>12.077635294117648</v>
      </c>
      <c r="RG47" s="970">
        <v>24.817945226851013</v>
      </c>
      <c r="RH47" s="970">
        <v>0</v>
      </c>
      <c r="RI47" s="970">
        <v>0</v>
      </c>
      <c r="RJ47" s="970">
        <v>9.8120235294117641</v>
      </c>
      <c r="RK47" s="970">
        <v>18.47759766128118</v>
      </c>
      <c r="RL47" s="970">
        <v>0</v>
      </c>
      <c r="RM47" s="970">
        <v>0</v>
      </c>
      <c r="RN47" s="970">
        <v>36.179735294117648</v>
      </c>
      <c r="RO47" s="971">
        <v>126.74674646500657</v>
      </c>
      <c r="RP47" s="969">
        <v>0</v>
      </c>
      <c r="RQ47" s="970">
        <v>0</v>
      </c>
      <c r="RR47" s="970">
        <v>11.993470588235295</v>
      </c>
      <c r="RS47" s="970">
        <v>24.290614197971614</v>
      </c>
      <c r="RT47" s="970">
        <v>0</v>
      </c>
      <c r="RU47" s="970">
        <v>0</v>
      </c>
      <c r="RV47" s="970">
        <v>9.7436470588235302</v>
      </c>
      <c r="RW47" s="970">
        <v>18.003642287087548</v>
      </c>
      <c r="RX47" s="970">
        <v>0</v>
      </c>
      <c r="RY47" s="970">
        <v>0</v>
      </c>
      <c r="RZ47" s="970">
        <v>35.943970588235295</v>
      </c>
      <c r="SA47" s="971">
        <v>126.13033654046282</v>
      </c>
    </row>
    <row r="48" spans="1:495">
      <c r="A48" s="966">
        <f>[3]Eingabedaten!A50</f>
        <v>12.09</v>
      </c>
      <c r="B48" s="169" t="str">
        <f>[3]Eingabedaten!C50</f>
        <v>Parkhaus</v>
      </c>
      <c r="C48" s="987">
        <f t="shared" si="1"/>
        <v>42</v>
      </c>
      <c r="D48" s="954" cm="1">
        <f t="array" ref="D48">INDEX($P$7:$SA$51,$C48,$G$3-1+D$2)</f>
        <v>0</v>
      </c>
      <c r="E48" s="955" cm="1">
        <f t="array" ref="E48">INDEX($P$7:$SA$51,$C48,$G$3-1+E$2)</f>
        <v>0</v>
      </c>
      <c r="F48" s="955" cm="1">
        <f t="array" ref="F48">INDEX($P$7:$SA$51,$C48,$G$3-1+F$2)</f>
        <v>0</v>
      </c>
      <c r="G48" s="955" cm="1">
        <f t="array" ref="G48">INDEX($P$7:$SA$51,$C48,$G$3-1+G$2)</f>
        <v>0</v>
      </c>
      <c r="H48" s="955" cm="1">
        <f t="array" ref="H48">INDEX($P$7:$SA$51,$C48,$G$3-1+H$2)</f>
        <v>0</v>
      </c>
      <c r="I48" s="955" cm="1">
        <f t="array" ref="I48">INDEX($P$7:$SA$51,$C48,$G$3-1+I$2)</f>
        <v>0</v>
      </c>
      <c r="J48" s="955" cm="1">
        <f t="array" ref="J48">INDEX($P$7:$SA$51,$C48,$G$3-1+J$2)</f>
        <v>0</v>
      </c>
      <c r="K48" s="955" cm="1">
        <f t="array" ref="K48">INDEX($P$7:$SA$51,$C48,$G$3-1+K$2)</f>
        <v>0</v>
      </c>
      <c r="L48" s="955" cm="1">
        <f t="array" ref="L48">INDEX($P$7:$SA$51,$C48,$G$3-1+L$2)</f>
        <v>0</v>
      </c>
      <c r="M48" s="955" cm="1">
        <f t="array" ref="M48">INDEX($P$7:$SA$51,$C48,$G$3-1+M$2)</f>
        <v>0</v>
      </c>
      <c r="N48" s="955" cm="1">
        <f t="array" ref="N48">INDEX($P$7:$SA$51,$C48,$G$3-1+N$2)</f>
        <v>0</v>
      </c>
      <c r="O48" s="956" cm="1">
        <f t="array" ref="O48">INDEX($P$7:$SA$51,$C48,$G$3-1+O$2)</f>
        <v>0</v>
      </c>
      <c r="P48" s="969">
        <v>0</v>
      </c>
      <c r="Q48" s="970">
        <v>0</v>
      </c>
      <c r="R48" s="970">
        <v>0</v>
      </c>
      <c r="S48" s="970">
        <v>0</v>
      </c>
      <c r="T48" s="970">
        <v>0</v>
      </c>
      <c r="U48" s="970">
        <v>0</v>
      </c>
      <c r="V48" s="970">
        <v>0</v>
      </c>
      <c r="W48" s="970">
        <v>0</v>
      </c>
      <c r="X48" s="970">
        <v>0</v>
      </c>
      <c r="Y48" s="970">
        <v>0</v>
      </c>
      <c r="Z48" s="970">
        <v>0</v>
      </c>
      <c r="AA48" s="971">
        <v>0</v>
      </c>
      <c r="AB48" s="969">
        <v>0</v>
      </c>
      <c r="AC48" s="970">
        <v>0</v>
      </c>
      <c r="AD48" s="970">
        <v>0</v>
      </c>
      <c r="AE48" s="970">
        <v>0</v>
      </c>
      <c r="AF48" s="970">
        <v>0</v>
      </c>
      <c r="AG48" s="970">
        <v>0</v>
      </c>
      <c r="AH48" s="970">
        <v>0</v>
      </c>
      <c r="AI48" s="970">
        <v>0</v>
      </c>
      <c r="AJ48" s="970">
        <v>0</v>
      </c>
      <c r="AK48" s="970">
        <v>0</v>
      </c>
      <c r="AL48" s="970">
        <v>0</v>
      </c>
      <c r="AM48" s="971">
        <v>0</v>
      </c>
      <c r="AN48" s="969">
        <v>0</v>
      </c>
      <c r="AO48" s="970">
        <v>0</v>
      </c>
      <c r="AP48" s="970">
        <v>0</v>
      </c>
      <c r="AQ48" s="970">
        <v>0</v>
      </c>
      <c r="AR48" s="970">
        <v>0</v>
      </c>
      <c r="AS48" s="970">
        <v>0</v>
      </c>
      <c r="AT48" s="970">
        <v>0</v>
      </c>
      <c r="AU48" s="970">
        <v>0</v>
      </c>
      <c r="AV48" s="970">
        <v>0</v>
      </c>
      <c r="AW48" s="970">
        <v>0</v>
      </c>
      <c r="AX48" s="970">
        <v>0</v>
      </c>
      <c r="AY48" s="971">
        <v>0</v>
      </c>
      <c r="AZ48" s="969">
        <v>0</v>
      </c>
      <c r="BA48" s="970">
        <v>0</v>
      </c>
      <c r="BB48" s="970">
        <v>0</v>
      </c>
      <c r="BC48" s="970">
        <v>0</v>
      </c>
      <c r="BD48" s="970">
        <v>0</v>
      </c>
      <c r="BE48" s="970">
        <v>0</v>
      </c>
      <c r="BF48" s="970">
        <v>0</v>
      </c>
      <c r="BG48" s="970">
        <v>0</v>
      </c>
      <c r="BH48" s="970">
        <v>0</v>
      </c>
      <c r="BI48" s="970">
        <v>0</v>
      </c>
      <c r="BJ48" s="970">
        <v>0</v>
      </c>
      <c r="BK48" s="971">
        <v>0</v>
      </c>
      <c r="BL48" s="969">
        <v>0</v>
      </c>
      <c r="BM48" s="970">
        <v>0</v>
      </c>
      <c r="BN48" s="970">
        <v>0</v>
      </c>
      <c r="BO48" s="970">
        <v>0</v>
      </c>
      <c r="BP48" s="970">
        <v>0</v>
      </c>
      <c r="BQ48" s="970">
        <v>0</v>
      </c>
      <c r="BR48" s="970">
        <v>0</v>
      </c>
      <c r="BS48" s="970">
        <v>0</v>
      </c>
      <c r="BT48" s="970">
        <v>0</v>
      </c>
      <c r="BU48" s="970">
        <v>0</v>
      </c>
      <c r="BV48" s="970">
        <v>0</v>
      </c>
      <c r="BW48" s="971">
        <v>0</v>
      </c>
      <c r="BX48" s="969">
        <v>0</v>
      </c>
      <c r="BY48" s="970">
        <v>0</v>
      </c>
      <c r="BZ48" s="970">
        <v>0</v>
      </c>
      <c r="CA48" s="970">
        <v>0</v>
      </c>
      <c r="CB48" s="970">
        <v>0</v>
      </c>
      <c r="CC48" s="970">
        <v>0</v>
      </c>
      <c r="CD48" s="970">
        <v>0</v>
      </c>
      <c r="CE48" s="970">
        <v>0</v>
      </c>
      <c r="CF48" s="970">
        <v>0</v>
      </c>
      <c r="CG48" s="970">
        <v>0</v>
      </c>
      <c r="CH48" s="970">
        <v>0</v>
      </c>
      <c r="CI48" s="971">
        <v>0</v>
      </c>
      <c r="CJ48" s="969">
        <v>0</v>
      </c>
      <c r="CK48" s="970">
        <v>0</v>
      </c>
      <c r="CL48" s="970">
        <v>0</v>
      </c>
      <c r="CM48" s="970">
        <v>0</v>
      </c>
      <c r="CN48" s="970">
        <v>0</v>
      </c>
      <c r="CO48" s="970">
        <v>0</v>
      </c>
      <c r="CP48" s="970">
        <v>0</v>
      </c>
      <c r="CQ48" s="970">
        <v>0</v>
      </c>
      <c r="CR48" s="970">
        <v>0</v>
      </c>
      <c r="CS48" s="970">
        <v>0</v>
      </c>
      <c r="CT48" s="970">
        <v>0</v>
      </c>
      <c r="CU48" s="971">
        <v>0</v>
      </c>
      <c r="CV48" s="969">
        <v>0</v>
      </c>
      <c r="CW48" s="970">
        <v>0</v>
      </c>
      <c r="CX48" s="970">
        <v>0</v>
      </c>
      <c r="CY48" s="970">
        <v>0</v>
      </c>
      <c r="CZ48" s="970">
        <v>0</v>
      </c>
      <c r="DA48" s="970">
        <v>0</v>
      </c>
      <c r="DB48" s="970">
        <v>0</v>
      </c>
      <c r="DC48" s="970">
        <v>0</v>
      </c>
      <c r="DD48" s="970">
        <v>0</v>
      </c>
      <c r="DE48" s="970">
        <v>0</v>
      </c>
      <c r="DF48" s="970">
        <v>0</v>
      </c>
      <c r="DG48" s="971">
        <v>0</v>
      </c>
      <c r="DH48" s="969">
        <v>0</v>
      </c>
      <c r="DI48" s="970">
        <v>0</v>
      </c>
      <c r="DJ48" s="970">
        <v>0</v>
      </c>
      <c r="DK48" s="970">
        <v>0</v>
      </c>
      <c r="DL48" s="970">
        <v>0</v>
      </c>
      <c r="DM48" s="970">
        <v>0</v>
      </c>
      <c r="DN48" s="970">
        <v>0</v>
      </c>
      <c r="DO48" s="970">
        <v>0</v>
      </c>
      <c r="DP48" s="970">
        <v>0</v>
      </c>
      <c r="DQ48" s="970">
        <v>0</v>
      </c>
      <c r="DR48" s="970">
        <v>0</v>
      </c>
      <c r="DS48" s="971">
        <v>0</v>
      </c>
      <c r="DT48" s="969">
        <v>0</v>
      </c>
      <c r="DU48" s="970">
        <v>0</v>
      </c>
      <c r="DV48" s="970">
        <v>0</v>
      </c>
      <c r="DW48" s="970">
        <v>0</v>
      </c>
      <c r="DX48" s="970">
        <v>0</v>
      </c>
      <c r="DY48" s="970">
        <v>0</v>
      </c>
      <c r="DZ48" s="970">
        <v>0</v>
      </c>
      <c r="EA48" s="970">
        <v>0</v>
      </c>
      <c r="EB48" s="970">
        <v>0</v>
      </c>
      <c r="EC48" s="970">
        <v>0</v>
      </c>
      <c r="ED48" s="970">
        <v>0</v>
      </c>
      <c r="EE48" s="971">
        <v>0</v>
      </c>
      <c r="EF48" s="969">
        <v>0</v>
      </c>
      <c r="EG48" s="970">
        <v>0</v>
      </c>
      <c r="EH48" s="970">
        <v>0</v>
      </c>
      <c r="EI48" s="970">
        <v>0</v>
      </c>
      <c r="EJ48" s="970">
        <v>0</v>
      </c>
      <c r="EK48" s="970">
        <v>0</v>
      </c>
      <c r="EL48" s="970">
        <v>0</v>
      </c>
      <c r="EM48" s="970">
        <v>0</v>
      </c>
      <c r="EN48" s="970">
        <v>0</v>
      </c>
      <c r="EO48" s="970">
        <v>0</v>
      </c>
      <c r="EP48" s="970">
        <v>0</v>
      </c>
      <c r="EQ48" s="971">
        <v>0</v>
      </c>
      <c r="ER48" s="969">
        <v>0</v>
      </c>
      <c r="ES48" s="970">
        <v>0</v>
      </c>
      <c r="ET48" s="970">
        <v>0</v>
      </c>
      <c r="EU48" s="970">
        <v>0</v>
      </c>
      <c r="EV48" s="970">
        <v>0</v>
      </c>
      <c r="EW48" s="970">
        <v>0</v>
      </c>
      <c r="EX48" s="970">
        <v>0</v>
      </c>
      <c r="EY48" s="970">
        <v>0</v>
      </c>
      <c r="EZ48" s="970">
        <v>0</v>
      </c>
      <c r="FA48" s="970">
        <v>0</v>
      </c>
      <c r="FB48" s="970">
        <v>0</v>
      </c>
      <c r="FC48" s="971">
        <v>0</v>
      </c>
      <c r="FD48" s="969">
        <v>0</v>
      </c>
      <c r="FE48" s="970">
        <v>0</v>
      </c>
      <c r="FF48" s="970">
        <v>0</v>
      </c>
      <c r="FG48" s="970">
        <v>0</v>
      </c>
      <c r="FH48" s="970">
        <v>0</v>
      </c>
      <c r="FI48" s="970">
        <v>0</v>
      </c>
      <c r="FJ48" s="970">
        <v>0</v>
      </c>
      <c r="FK48" s="970">
        <v>0</v>
      </c>
      <c r="FL48" s="970">
        <v>0</v>
      </c>
      <c r="FM48" s="970">
        <v>0</v>
      </c>
      <c r="FN48" s="970">
        <v>0</v>
      </c>
      <c r="FO48" s="971">
        <v>0</v>
      </c>
      <c r="FP48" s="969">
        <v>0</v>
      </c>
      <c r="FQ48" s="970">
        <v>0</v>
      </c>
      <c r="FR48" s="970">
        <v>0</v>
      </c>
      <c r="FS48" s="970">
        <v>0</v>
      </c>
      <c r="FT48" s="970">
        <v>0</v>
      </c>
      <c r="FU48" s="970">
        <v>0</v>
      </c>
      <c r="FV48" s="970">
        <v>0</v>
      </c>
      <c r="FW48" s="970">
        <v>0</v>
      </c>
      <c r="FX48" s="970">
        <v>0</v>
      </c>
      <c r="FY48" s="970">
        <v>0</v>
      </c>
      <c r="FZ48" s="970">
        <v>0</v>
      </c>
      <c r="GA48" s="971">
        <v>0</v>
      </c>
      <c r="GB48" s="969">
        <v>0</v>
      </c>
      <c r="GC48" s="970">
        <v>0</v>
      </c>
      <c r="GD48" s="970">
        <v>0</v>
      </c>
      <c r="GE48" s="970">
        <v>0</v>
      </c>
      <c r="GF48" s="970">
        <v>0</v>
      </c>
      <c r="GG48" s="970">
        <v>0</v>
      </c>
      <c r="GH48" s="970">
        <v>0</v>
      </c>
      <c r="GI48" s="970">
        <v>0</v>
      </c>
      <c r="GJ48" s="970">
        <v>0</v>
      </c>
      <c r="GK48" s="970">
        <v>0</v>
      </c>
      <c r="GL48" s="970">
        <v>0</v>
      </c>
      <c r="GM48" s="971">
        <v>0</v>
      </c>
      <c r="GN48" s="969">
        <v>0</v>
      </c>
      <c r="GO48" s="970">
        <v>0</v>
      </c>
      <c r="GP48" s="970">
        <v>0</v>
      </c>
      <c r="GQ48" s="970">
        <v>0</v>
      </c>
      <c r="GR48" s="970">
        <v>0</v>
      </c>
      <c r="GS48" s="970">
        <v>0</v>
      </c>
      <c r="GT48" s="970">
        <v>0</v>
      </c>
      <c r="GU48" s="970">
        <v>0</v>
      </c>
      <c r="GV48" s="970">
        <v>0</v>
      </c>
      <c r="GW48" s="970">
        <v>0</v>
      </c>
      <c r="GX48" s="970">
        <v>0</v>
      </c>
      <c r="GY48" s="971">
        <v>0</v>
      </c>
      <c r="GZ48" s="969">
        <v>0</v>
      </c>
      <c r="HA48" s="970">
        <v>0</v>
      </c>
      <c r="HB48" s="970">
        <v>0</v>
      </c>
      <c r="HC48" s="970">
        <v>0</v>
      </c>
      <c r="HD48" s="970">
        <v>0</v>
      </c>
      <c r="HE48" s="970">
        <v>0</v>
      </c>
      <c r="HF48" s="970">
        <v>0</v>
      </c>
      <c r="HG48" s="970">
        <v>0</v>
      </c>
      <c r="HH48" s="970">
        <v>0</v>
      </c>
      <c r="HI48" s="970">
        <v>0</v>
      </c>
      <c r="HJ48" s="970">
        <v>0</v>
      </c>
      <c r="HK48" s="971">
        <v>0</v>
      </c>
      <c r="HL48" s="969">
        <v>0</v>
      </c>
      <c r="HM48" s="970">
        <v>0</v>
      </c>
      <c r="HN48" s="970">
        <v>0</v>
      </c>
      <c r="HO48" s="970">
        <v>0</v>
      </c>
      <c r="HP48" s="970">
        <v>0</v>
      </c>
      <c r="HQ48" s="970">
        <v>0</v>
      </c>
      <c r="HR48" s="970">
        <v>0</v>
      </c>
      <c r="HS48" s="970">
        <v>0</v>
      </c>
      <c r="HT48" s="970">
        <v>0</v>
      </c>
      <c r="HU48" s="970">
        <v>0</v>
      </c>
      <c r="HV48" s="970">
        <v>0</v>
      </c>
      <c r="HW48" s="971">
        <v>0</v>
      </c>
      <c r="HX48" s="969">
        <v>0</v>
      </c>
      <c r="HY48" s="970">
        <v>0</v>
      </c>
      <c r="HZ48" s="970">
        <v>0</v>
      </c>
      <c r="IA48" s="970">
        <v>0</v>
      </c>
      <c r="IB48" s="970">
        <v>0</v>
      </c>
      <c r="IC48" s="970">
        <v>0</v>
      </c>
      <c r="ID48" s="970">
        <v>0</v>
      </c>
      <c r="IE48" s="970">
        <v>0</v>
      </c>
      <c r="IF48" s="970">
        <v>0</v>
      </c>
      <c r="IG48" s="970">
        <v>0</v>
      </c>
      <c r="IH48" s="970">
        <v>0</v>
      </c>
      <c r="II48" s="971">
        <v>0</v>
      </c>
      <c r="IJ48" s="969">
        <v>0</v>
      </c>
      <c r="IK48" s="970">
        <v>0</v>
      </c>
      <c r="IL48" s="970">
        <v>0</v>
      </c>
      <c r="IM48" s="970">
        <v>0</v>
      </c>
      <c r="IN48" s="970">
        <v>0</v>
      </c>
      <c r="IO48" s="970">
        <v>0</v>
      </c>
      <c r="IP48" s="970">
        <v>0</v>
      </c>
      <c r="IQ48" s="970">
        <v>0</v>
      </c>
      <c r="IR48" s="970">
        <v>0</v>
      </c>
      <c r="IS48" s="970">
        <v>0</v>
      </c>
      <c r="IT48" s="970">
        <v>0</v>
      </c>
      <c r="IU48" s="971">
        <v>0</v>
      </c>
      <c r="IV48" s="969">
        <v>0</v>
      </c>
      <c r="IW48" s="970">
        <v>0</v>
      </c>
      <c r="IX48" s="970">
        <v>0</v>
      </c>
      <c r="IY48" s="970">
        <v>0</v>
      </c>
      <c r="IZ48" s="970">
        <v>0</v>
      </c>
      <c r="JA48" s="970">
        <v>0</v>
      </c>
      <c r="JB48" s="970">
        <v>0</v>
      </c>
      <c r="JC48" s="970">
        <v>0</v>
      </c>
      <c r="JD48" s="970">
        <v>0</v>
      </c>
      <c r="JE48" s="970">
        <v>0</v>
      </c>
      <c r="JF48" s="970">
        <v>0</v>
      </c>
      <c r="JG48" s="971">
        <v>0</v>
      </c>
      <c r="JH48" s="969">
        <v>0</v>
      </c>
      <c r="JI48" s="970">
        <v>0</v>
      </c>
      <c r="JJ48" s="970">
        <v>0</v>
      </c>
      <c r="JK48" s="970">
        <v>0</v>
      </c>
      <c r="JL48" s="970">
        <v>0</v>
      </c>
      <c r="JM48" s="970">
        <v>0</v>
      </c>
      <c r="JN48" s="970">
        <v>0</v>
      </c>
      <c r="JO48" s="970">
        <v>0</v>
      </c>
      <c r="JP48" s="970">
        <v>0</v>
      </c>
      <c r="JQ48" s="970">
        <v>0</v>
      </c>
      <c r="JR48" s="970">
        <v>0</v>
      </c>
      <c r="JS48" s="971">
        <v>0</v>
      </c>
      <c r="JT48" s="969">
        <v>0</v>
      </c>
      <c r="JU48" s="970">
        <v>0</v>
      </c>
      <c r="JV48" s="970">
        <v>0</v>
      </c>
      <c r="JW48" s="970">
        <v>0</v>
      </c>
      <c r="JX48" s="970">
        <v>0</v>
      </c>
      <c r="JY48" s="970">
        <v>0</v>
      </c>
      <c r="JZ48" s="970">
        <v>0</v>
      </c>
      <c r="KA48" s="970">
        <v>0</v>
      </c>
      <c r="KB48" s="970">
        <v>0</v>
      </c>
      <c r="KC48" s="970">
        <v>0</v>
      </c>
      <c r="KD48" s="970">
        <v>0</v>
      </c>
      <c r="KE48" s="971">
        <v>0</v>
      </c>
      <c r="KF48" s="969">
        <v>0</v>
      </c>
      <c r="KG48" s="970">
        <v>0</v>
      </c>
      <c r="KH48" s="970">
        <v>0</v>
      </c>
      <c r="KI48" s="970">
        <v>0</v>
      </c>
      <c r="KJ48" s="970">
        <v>0</v>
      </c>
      <c r="KK48" s="970">
        <v>0</v>
      </c>
      <c r="KL48" s="970">
        <v>0</v>
      </c>
      <c r="KM48" s="970">
        <v>0</v>
      </c>
      <c r="KN48" s="970">
        <v>0</v>
      </c>
      <c r="KO48" s="970">
        <v>0</v>
      </c>
      <c r="KP48" s="970">
        <v>0</v>
      </c>
      <c r="KQ48" s="971">
        <v>0</v>
      </c>
      <c r="KR48" s="969">
        <v>0</v>
      </c>
      <c r="KS48" s="970">
        <v>0</v>
      </c>
      <c r="KT48" s="970">
        <v>0</v>
      </c>
      <c r="KU48" s="970">
        <v>0</v>
      </c>
      <c r="KV48" s="970">
        <v>0</v>
      </c>
      <c r="KW48" s="970">
        <v>0</v>
      </c>
      <c r="KX48" s="970">
        <v>0</v>
      </c>
      <c r="KY48" s="970">
        <v>0</v>
      </c>
      <c r="KZ48" s="970">
        <v>0</v>
      </c>
      <c r="LA48" s="970">
        <v>0</v>
      </c>
      <c r="LB48" s="970">
        <v>0</v>
      </c>
      <c r="LC48" s="971">
        <v>0</v>
      </c>
      <c r="LD48" s="969">
        <v>0</v>
      </c>
      <c r="LE48" s="970">
        <v>0</v>
      </c>
      <c r="LF48" s="970">
        <v>0</v>
      </c>
      <c r="LG48" s="970">
        <v>0</v>
      </c>
      <c r="LH48" s="970">
        <v>0</v>
      </c>
      <c r="LI48" s="970">
        <v>0</v>
      </c>
      <c r="LJ48" s="970">
        <v>0</v>
      </c>
      <c r="LK48" s="970">
        <v>0</v>
      </c>
      <c r="LL48" s="970">
        <v>0</v>
      </c>
      <c r="LM48" s="970">
        <v>0</v>
      </c>
      <c r="LN48" s="970">
        <v>0</v>
      </c>
      <c r="LO48" s="971">
        <v>0</v>
      </c>
      <c r="LP48" s="969">
        <v>0</v>
      </c>
      <c r="LQ48" s="970">
        <v>0</v>
      </c>
      <c r="LR48" s="970">
        <v>0</v>
      </c>
      <c r="LS48" s="970">
        <v>0</v>
      </c>
      <c r="LT48" s="970">
        <v>0</v>
      </c>
      <c r="LU48" s="970">
        <v>0</v>
      </c>
      <c r="LV48" s="970">
        <v>0</v>
      </c>
      <c r="LW48" s="970">
        <v>0</v>
      </c>
      <c r="LX48" s="970">
        <v>0</v>
      </c>
      <c r="LY48" s="970">
        <v>0</v>
      </c>
      <c r="LZ48" s="970">
        <v>0</v>
      </c>
      <c r="MA48" s="971">
        <v>0</v>
      </c>
      <c r="MB48" s="969">
        <v>0</v>
      </c>
      <c r="MC48" s="970">
        <v>0</v>
      </c>
      <c r="MD48" s="970">
        <v>0</v>
      </c>
      <c r="ME48" s="970">
        <v>0</v>
      </c>
      <c r="MF48" s="970">
        <v>0</v>
      </c>
      <c r="MG48" s="970">
        <v>0</v>
      </c>
      <c r="MH48" s="970">
        <v>0</v>
      </c>
      <c r="MI48" s="970">
        <v>0</v>
      </c>
      <c r="MJ48" s="970">
        <v>0</v>
      </c>
      <c r="MK48" s="970">
        <v>0</v>
      </c>
      <c r="ML48" s="970">
        <v>0</v>
      </c>
      <c r="MM48" s="971">
        <v>0</v>
      </c>
      <c r="MN48" s="969">
        <v>0</v>
      </c>
      <c r="MO48" s="970">
        <v>0</v>
      </c>
      <c r="MP48" s="970">
        <v>0</v>
      </c>
      <c r="MQ48" s="970">
        <v>0</v>
      </c>
      <c r="MR48" s="970">
        <v>0</v>
      </c>
      <c r="MS48" s="970">
        <v>0</v>
      </c>
      <c r="MT48" s="970">
        <v>0</v>
      </c>
      <c r="MU48" s="970">
        <v>0</v>
      </c>
      <c r="MV48" s="970">
        <v>0</v>
      </c>
      <c r="MW48" s="970">
        <v>0</v>
      </c>
      <c r="MX48" s="970">
        <v>0</v>
      </c>
      <c r="MY48" s="971">
        <v>0</v>
      </c>
      <c r="MZ48" s="969">
        <v>0</v>
      </c>
      <c r="NA48" s="970">
        <v>0</v>
      </c>
      <c r="NB48" s="970">
        <v>0</v>
      </c>
      <c r="NC48" s="970">
        <v>0</v>
      </c>
      <c r="ND48" s="970">
        <v>0</v>
      </c>
      <c r="NE48" s="970">
        <v>0</v>
      </c>
      <c r="NF48" s="970">
        <v>0</v>
      </c>
      <c r="NG48" s="970">
        <v>0</v>
      </c>
      <c r="NH48" s="970">
        <v>0</v>
      </c>
      <c r="NI48" s="970">
        <v>0</v>
      </c>
      <c r="NJ48" s="970">
        <v>0</v>
      </c>
      <c r="NK48" s="971">
        <v>0</v>
      </c>
      <c r="NL48" s="969">
        <v>0</v>
      </c>
      <c r="NM48" s="970">
        <v>0</v>
      </c>
      <c r="NN48" s="970">
        <v>0</v>
      </c>
      <c r="NO48" s="970">
        <v>0</v>
      </c>
      <c r="NP48" s="970">
        <v>0</v>
      </c>
      <c r="NQ48" s="970">
        <v>0</v>
      </c>
      <c r="NR48" s="970">
        <v>0</v>
      </c>
      <c r="NS48" s="970">
        <v>0</v>
      </c>
      <c r="NT48" s="970">
        <v>0</v>
      </c>
      <c r="NU48" s="970">
        <v>0</v>
      </c>
      <c r="NV48" s="970">
        <v>0</v>
      </c>
      <c r="NW48" s="971">
        <v>0</v>
      </c>
      <c r="NX48" s="969">
        <v>0</v>
      </c>
      <c r="NY48" s="970">
        <v>0</v>
      </c>
      <c r="NZ48" s="970">
        <v>0</v>
      </c>
      <c r="OA48" s="970">
        <v>0</v>
      </c>
      <c r="OB48" s="970">
        <v>0</v>
      </c>
      <c r="OC48" s="970">
        <v>0</v>
      </c>
      <c r="OD48" s="970">
        <v>0</v>
      </c>
      <c r="OE48" s="970">
        <v>0</v>
      </c>
      <c r="OF48" s="970">
        <v>0</v>
      </c>
      <c r="OG48" s="970">
        <v>0</v>
      </c>
      <c r="OH48" s="970">
        <v>0</v>
      </c>
      <c r="OI48" s="971">
        <v>0</v>
      </c>
      <c r="OJ48" s="969">
        <v>0</v>
      </c>
      <c r="OK48" s="970">
        <v>0</v>
      </c>
      <c r="OL48" s="970">
        <v>0</v>
      </c>
      <c r="OM48" s="970">
        <v>0</v>
      </c>
      <c r="ON48" s="970">
        <v>0</v>
      </c>
      <c r="OO48" s="970">
        <v>0</v>
      </c>
      <c r="OP48" s="970">
        <v>0</v>
      </c>
      <c r="OQ48" s="970">
        <v>0</v>
      </c>
      <c r="OR48" s="970">
        <v>0</v>
      </c>
      <c r="OS48" s="970">
        <v>0</v>
      </c>
      <c r="OT48" s="970">
        <v>0</v>
      </c>
      <c r="OU48" s="971">
        <v>0</v>
      </c>
      <c r="OV48" s="969">
        <v>0</v>
      </c>
      <c r="OW48" s="970">
        <v>0</v>
      </c>
      <c r="OX48" s="970">
        <v>0</v>
      </c>
      <c r="OY48" s="970">
        <v>0</v>
      </c>
      <c r="OZ48" s="970">
        <v>0</v>
      </c>
      <c r="PA48" s="970">
        <v>0</v>
      </c>
      <c r="PB48" s="970">
        <v>0</v>
      </c>
      <c r="PC48" s="970">
        <v>0</v>
      </c>
      <c r="PD48" s="970">
        <v>0</v>
      </c>
      <c r="PE48" s="970">
        <v>0</v>
      </c>
      <c r="PF48" s="970">
        <v>0</v>
      </c>
      <c r="PG48" s="971">
        <v>0</v>
      </c>
      <c r="PH48" s="969">
        <v>0</v>
      </c>
      <c r="PI48" s="970">
        <v>0</v>
      </c>
      <c r="PJ48" s="970">
        <v>0</v>
      </c>
      <c r="PK48" s="970">
        <v>0</v>
      </c>
      <c r="PL48" s="970">
        <v>0</v>
      </c>
      <c r="PM48" s="970">
        <v>0</v>
      </c>
      <c r="PN48" s="970">
        <v>0</v>
      </c>
      <c r="PO48" s="970">
        <v>0</v>
      </c>
      <c r="PP48" s="970">
        <v>0</v>
      </c>
      <c r="PQ48" s="970">
        <v>0</v>
      </c>
      <c r="PR48" s="970">
        <v>0</v>
      </c>
      <c r="PS48" s="971">
        <v>0</v>
      </c>
      <c r="PT48" s="969">
        <v>0</v>
      </c>
      <c r="PU48" s="970">
        <v>0</v>
      </c>
      <c r="PV48" s="970">
        <v>0</v>
      </c>
      <c r="PW48" s="970">
        <v>0</v>
      </c>
      <c r="PX48" s="970">
        <v>0</v>
      </c>
      <c r="PY48" s="970">
        <v>0</v>
      </c>
      <c r="PZ48" s="970">
        <v>0</v>
      </c>
      <c r="QA48" s="970">
        <v>0</v>
      </c>
      <c r="QB48" s="970">
        <v>0</v>
      </c>
      <c r="QC48" s="970">
        <v>0</v>
      </c>
      <c r="QD48" s="970">
        <v>0</v>
      </c>
      <c r="QE48" s="971">
        <v>0</v>
      </c>
      <c r="QF48" s="969">
        <v>0</v>
      </c>
      <c r="QG48" s="970">
        <v>0</v>
      </c>
      <c r="QH48" s="970">
        <v>0</v>
      </c>
      <c r="QI48" s="970">
        <v>0</v>
      </c>
      <c r="QJ48" s="970">
        <v>0</v>
      </c>
      <c r="QK48" s="970">
        <v>0</v>
      </c>
      <c r="QL48" s="970">
        <v>0</v>
      </c>
      <c r="QM48" s="970">
        <v>0</v>
      </c>
      <c r="QN48" s="970">
        <v>0</v>
      </c>
      <c r="QO48" s="970">
        <v>0</v>
      </c>
      <c r="QP48" s="970">
        <v>0</v>
      </c>
      <c r="QQ48" s="971">
        <v>0</v>
      </c>
      <c r="QR48" s="969">
        <v>0</v>
      </c>
      <c r="QS48" s="970">
        <v>0</v>
      </c>
      <c r="QT48" s="970">
        <v>0</v>
      </c>
      <c r="QU48" s="970">
        <v>0</v>
      </c>
      <c r="QV48" s="970">
        <v>0</v>
      </c>
      <c r="QW48" s="970">
        <v>0</v>
      </c>
      <c r="QX48" s="970">
        <v>0</v>
      </c>
      <c r="QY48" s="970">
        <v>0</v>
      </c>
      <c r="QZ48" s="970">
        <v>0</v>
      </c>
      <c r="RA48" s="970">
        <v>0</v>
      </c>
      <c r="RB48" s="970">
        <v>0</v>
      </c>
      <c r="RC48" s="971">
        <v>0</v>
      </c>
      <c r="RD48" s="969">
        <v>0</v>
      </c>
      <c r="RE48" s="970">
        <v>0</v>
      </c>
      <c r="RF48" s="970">
        <v>0</v>
      </c>
      <c r="RG48" s="970">
        <v>0</v>
      </c>
      <c r="RH48" s="970">
        <v>0</v>
      </c>
      <c r="RI48" s="970">
        <v>0</v>
      </c>
      <c r="RJ48" s="970">
        <v>0</v>
      </c>
      <c r="RK48" s="970">
        <v>0</v>
      </c>
      <c r="RL48" s="970">
        <v>0</v>
      </c>
      <c r="RM48" s="970">
        <v>0</v>
      </c>
      <c r="RN48" s="970">
        <v>0</v>
      </c>
      <c r="RO48" s="971">
        <v>0</v>
      </c>
      <c r="RP48" s="969">
        <v>0</v>
      </c>
      <c r="RQ48" s="970">
        <v>0</v>
      </c>
      <c r="RR48" s="970">
        <v>0</v>
      </c>
      <c r="RS48" s="970">
        <v>0</v>
      </c>
      <c r="RT48" s="970">
        <v>0</v>
      </c>
      <c r="RU48" s="970">
        <v>0</v>
      </c>
      <c r="RV48" s="970">
        <v>0</v>
      </c>
      <c r="RW48" s="970">
        <v>0</v>
      </c>
      <c r="RX48" s="970">
        <v>0</v>
      </c>
      <c r="RY48" s="970">
        <v>0</v>
      </c>
      <c r="RZ48" s="970">
        <v>0</v>
      </c>
      <c r="SA48" s="971">
        <v>0</v>
      </c>
    </row>
    <row r="49" spans="1:495">
      <c r="A49" s="966">
        <f>[3]Eingabedaten!A51</f>
        <v>12.1</v>
      </c>
      <c r="B49" s="169" t="str">
        <f>[3]Eingabedaten!C51</f>
        <v>Wasch- und Trockenraum</v>
      </c>
      <c r="C49" s="987">
        <f t="shared" si="1"/>
        <v>43</v>
      </c>
      <c r="D49" s="954" cm="1">
        <f t="array" ref="D49">INDEX($P$7:$SA$51,$C49,$G$3-1+D$2)</f>
        <v>0</v>
      </c>
      <c r="E49" s="955" cm="1">
        <f t="array" ref="E49">INDEX($P$7:$SA$51,$C49,$G$3-1+E$2)</f>
        <v>0</v>
      </c>
      <c r="F49" s="955" cm="1">
        <f t="array" ref="F49">INDEX($P$7:$SA$51,$C49,$G$3-1+F$2)</f>
        <v>3.1561764705882358</v>
      </c>
      <c r="G49" s="955" cm="1">
        <f t="array" ref="G49">INDEX($P$7:$SA$51,$C49,$G$3-1+G$2)</f>
        <v>6.115773410874275</v>
      </c>
      <c r="H49" s="955" cm="1">
        <f t="array" ref="H49">INDEX($P$7:$SA$51,$C49,$G$3-1+H$2)</f>
        <v>0</v>
      </c>
      <c r="I49" s="955" cm="1">
        <f t="array" ref="I49">INDEX($P$7:$SA$51,$C49,$G$3-1+I$2)</f>
        <v>0</v>
      </c>
      <c r="J49" s="955" cm="1">
        <f t="array" ref="J49">INDEX($P$7:$SA$51,$C49,$G$3-1+J$2)</f>
        <v>2.5641176470588234</v>
      </c>
      <c r="K49" s="955" cm="1">
        <f t="array" ref="K49">INDEX($P$7:$SA$51,$C49,$G$3-1+K$2)</f>
        <v>3.6183261973137975</v>
      </c>
      <c r="L49" s="955" cm="1">
        <f t="array" ref="L49">INDEX($P$7:$SA$51,$C49,$G$3-1+L$2)</f>
        <v>0</v>
      </c>
      <c r="M49" s="955" cm="1">
        <f t="array" ref="M49">INDEX($P$7:$SA$51,$C49,$G$3-1+M$2)</f>
        <v>0</v>
      </c>
      <c r="N49" s="955" cm="1">
        <f t="array" ref="N49">INDEX($P$7:$SA$51,$C49,$G$3-1+N$2)</f>
        <v>11.188676470588234</v>
      </c>
      <c r="O49" s="956" cm="1">
        <f t="array" ref="O49">INDEX($P$7:$SA$51,$C49,$G$3-1+O$2)</f>
        <v>38.533936555581924</v>
      </c>
      <c r="P49" s="969">
        <v>0</v>
      </c>
      <c r="Q49" s="970">
        <v>0</v>
      </c>
      <c r="R49" s="970">
        <v>4.2924000000000007</v>
      </c>
      <c r="S49" s="970">
        <v>4.9958217521100838</v>
      </c>
      <c r="T49" s="970">
        <v>0</v>
      </c>
      <c r="U49" s="970">
        <v>0</v>
      </c>
      <c r="V49" s="970">
        <v>3.4872000000000001</v>
      </c>
      <c r="W49" s="970">
        <v>2.0885666166529444</v>
      </c>
      <c r="X49" s="970">
        <v>0</v>
      </c>
      <c r="Y49" s="970">
        <v>0</v>
      </c>
      <c r="Z49" s="970">
        <v>14.371499999999997</v>
      </c>
      <c r="AA49" s="971">
        <v>45.671852646522517</v>
      </c>
      <c r="AB49" s="969">
        <v>0</v>
      </c>
      <c r="AC49" s="970">
        <v>0</v>
      </c>
      <c r="AD49" s="970">
        <v>2.3145294117647062</v>
      </c>
      <c r="AE49" s="970">
        <v>5.7070909210801561</v>
      </c>
      <c r="AF49" s="970">
        <v>0</v>
      </c>
      <c r="AG49" s="970">
        <v>0</v>
      </c>
      <c r="AH49" s="970">
        <v>1.8803529411764708</v>
      </c>
      <c r="AI49" s="970">
        <v>3.4571430550416227</v>
      </c>
      <c r="AJ49" s="970">
        <v>0</v>
      </c>
      <c r="AK49" s="970">
        <v>0</v>
      </c>
      <c r="AL49" s="970">
        <v>8.831029411764705</v>
      </c>
      <c r="AM49" s="971">
        <v>36.830867148672617</v>
      </c>
      <c r="AN49" s="969">
        <v>0</v>
      </c>
      <c r="AO49" s="970">
        <v>0</v>
      </c>
      <c r="AP49" s="970">
        <v>2.3566117647058826</v>
      </c>
      <c r="AQ49" s="970">
        <v>7.4575622116199147</v>
      </c>
      <c r="AR49" s="970">
        <v>0</v>
      </c>
      <c r="AS49" s="970">
        <v>0</v>
      </c>
      <c r="AT49" s="970">
        <v>1.9145411764705882</v>
      </c>
      <c r="AU49" s="970">
        <v>5.0727129460141542</v>
      </c>
      <c r="AV49" s="970">
        <v>0</v>
      </c>
      <c r="AW49" s="970">
        <v>0</v>
      </c>
      <c r="AX49" s="970">
        <v>8.9489117647058816</v>
      </c>
      <c r="AY49" s="971">
        <v>41.989820275394855</v>
      </c>
      <c r="AZ49" s="969">
        <v>0</v>
      </c>
      <c r="BA49" s="970">
        <v>0</v>
      </c>
      <c r="BB49" s="970">
        <v>2.7353529411764708</v>
      </c>
      <c r="BC49" s="970">
        <v>4.5417018845532358</v>
      </c>
      <c r="BD49" s="970">
        <v>0</v>
      </c>
      <c r="BE49" s="970">
        <v>0</v>
      </c>
      <c r="BF49" s="970">
        <v>2.2222352941176471</v>
      </c>
      <c r="BG49" s="970">
        <v>2.6141538205671901</v>
      </c>
      <c r="BH49" s="970">
        <v>0</v>
      </c>
      <c r="BI49" s="970">
        <v>0</v>
      </c>
      <c r="BJ49" s="970">
        <v>10.009852941176471</v>
      </c>
      <c r="BK49" s="971">
        <v>33.027926244395459</v>
      </c>
      <c r="BL49" s="969">
        <v>0</v>
      </c>
      <c r="BM49" s="970">
        <v>0</v>
      </c>
      <c r="BN49" s="970">
        <v>3.1140941176470589</v>
      </c>
      <c r="BO49" s="970">
        <v>6.2596505879268376</v>
      </c>
      <c r="BP49" s="970">
        <v>0</v>
      </c>
      <c r="BQ49" s="970">
        <v>0</v>
      </c>
      <c r="BR49" s="970">
        <v>2.529929411764706</v>
      </c>
      <c r="BS49" s="970">
        <v>3.6042347266638664</v>
      </c>
      <c r="BT49" s="970">
        <v>0</v>
      </c>
      <c r="BU49" s="970">
        <v>0</v>
      </c>
      <c r="BV49" s="970">
        <v>11.070794117647059</v>
      </c>
      <c r="BW49" s="971">
        <v>39.434340160119113</v>
      </c>
      <c r="BX49" s="969">
        <v>0</v>
      </c>
      <c r="BY49" s="970">
        <v>0</v>
      </c>
      <c r="BZ49" s="970">
        <v>2.9878470588235295</v>
      </c>
      <c r="CA49" s="970">
        <v>7.5214481709535166</v>
      </c>
      <c r="CB49" s="970">
        <v>0</v>
      </c>
      <c r="CC49" s="970">
        <v>0</v>
      </c>
      <c r="CD49" s="970">
        <v>2.4273647058823529</v>
      </c>
      <c r="CE49" s="970">
        <v>4.9290962227345778</v>
      </c>
      <c r="CF49" s="970">
        <v>0</v>
      </c>
      <c r="CG49" s="970">
        <v>0</v>
      </c>
      <c r="CH49" s="970">
        <v>10.717147058823528</v>
      </c>
      <c r="CI49" s="971">
        <v>41.614816775013153</v>
      </c>
      <c r="CJ49" s="969">
        <v>0</v>
      </c>
      <c r="CK49" s="970">
        <v>0</v>
      </c>
      <c r="CL49" s="970">
        <v>3.0299294117647064</v>
      </c>
      <c r="CM49" s="970">
        <v>4.5023661451759578</v>
      </c>
      <c r="CN49" s="970">
        <v>0</v>
      </c>
      <c r="CO49" s="970">
        <v>0</v>
      </c>
      <c r="CP49" s="970">
        <v>2.4615529411764707</v>
      </c>
      <c r="CQ49" s="970">
        <v>2.3391344610698201</v>
      </c>
      <c r="CR49" s="970">
        <v>0</v>
      </c>
      <c r="CS49" s="970">
        <v>0</v>
      </c>
      <c r="CT49" s="970">
        <v>10.835029411764706</v>
      </c>
      <c r="CU49" s="971">
        <v>35.027176171951403</v>
      </c>
      <c r="CV49" s="969">
        <v>0</v>
      </c>
      <c r="CW49" s="970">
        <v>0</v>
      </c>
      <c r="CX49" s="970">
        <v>5.512788235294118</v>
      </c>
      <c r="CY49" s="970">
        <v>6.8011212014809663</v>
      </c>
      <c r="CZ49" s="970">
        <v>0</v>
      </c>
      <c r="DA49" s="970">
        <v>0</v>
      </c>
      <c r="DB49" s="970">
        <v>4.478658823529412</v>
      </c>
      <c r="DC49" s="970">
        <v>2.8336714437317481</v>
      </c>
      <c r="DD49" s="970">
        <v>0</v>
      </c>
      <c r="DE49" s="970">
        <v>0</v>
      </c>
      <c r="DF49" s="970">
        <v>17.790088235294117</v>
      </c>
      <c r="DG49" s="971">
        <v>51.385309309857263</v>
      </c>
      <c r="DH49" s="969">
        <v>0</v>
      </c>
      <c r="DI49" s="970">
        <v>0</v>
      </c>
      <c r="DJ49" s="970">
        <v>4.0819882352941184</v>
      </c>
      <c r="DK49" s="970">
        <v>4.5423628948958266</v>
      </c>
      <c r="DL49" s="970">
        <v>0</v>
      </c>
      <c r="DM49" s="970">
        <v>0</v>
      </c>
      <c r="DN49" s="970">
        <v>3.3162588235294117</v>
      </c>
      <c r="DO49" s="970">
        <v>1.9082961790827382</v>
      </c>
      <c r="DP49" s="970">
        <v>0</v>
      </c>
      <c r="DQ49" s="970">
        <v>0</v>
      </c>
      <c r="DR49" s="970">
        <v>13.782088235294118</v>
      </c>
      <c r="DS49" s="971">
        <v>41.335372204300285</v>
      </c>
      <c r="DT49" s="969">
        <v>0</v>
      </c>
      <c r="DU49" s="970">
        <v>0</v>
      </c>
      <c r="DV49" s="970">
        <v>4.7132235294117653</v>
      </c>
      <c r="DW49" s="970">
        <v>10.182783197773833</v>
      </c>
      <c r="DX49" s="970">
        <v>0</v>
      </c>
      <c r="DY49" s="970">
        <v>0</v>
      </c>
      <c r="DZ49" s="970">
        <v>3.8290823529411764</v>
      </c>
      <c r="EA49" s="970">
        <v>6.4679158111865238</v>
      </c>
      <c r="EB49" s="970">
        <v>0</v>
      </c>
      <c r="EC49" s="970">
        <v>0</v>
      </c>
      <c r="ED49" s="970">
        <v>15.550323529411763</v>
      </c>
      <c r="EE49" s="971">
        <v>54.059722766487837</v>
      </c>
      <c r="EF49" s="969">
        <v>0</v>
      </c>
      <c r="EG49" s="970">
        <v>0</v>
      </c>
      <c r="EH49" s="970">
        <v>1.767458823529412</v>
      </c>
      <c r="EI49" s="970">
        <v>4.3162222232236056</v>
      </c>
      <c r="EJ49" s="970">
        <v>0</v>
      </c>
      <c r="EK49" s="970">
        <v>0</v>
      </c>
      <c r="EL49" s="970">
        <v>1.4359058823529411</v>
      </c>
      <c r="EM49" s="970">
        <v>2.4771803899158487</v>
      </c>
      <c r="EN49" s="970">
        <v>0</v>
      </c>
      <c r="EO49" s="970">
        <v>0</v>
      </c>
      <c r="EP49" s="970">
        <v>7.2985588235294134</v>
      </c>
      <c r="EQ49" s="971">
        <v>31.689774785799976</v>
      </c>
      <c r="ER49" s="969">
        <v>0</v>
      </c>
      <c r="ES49" s="970">
        <v>0</v>
      </c>
      <c r="ET49" s="970">
        <v>3.4507529411764706</v>
      </c>
      <c r="EU49" s="970">
        <v>10.335154421943981</v>
      </c>
      <c r="EV49" s="970">
        <v>0</v>
      </c>
      <c r="EW49" s="970">
        <v>0</v>
      </c>
      <c r="EX49" s="970">
        <v>2.8034352941176466</v>
      </c>
      <c r="EY49" s="970">
        <v>7.0735069052028798</v>
      </c>
      <c r="EZ49" s="970">
        <v>0</v>
      </c>
      <c r="FA49" s="970">
        <v>0</v>
      </c>
      <c r="FB49" s="970">
        <v>12.01385294117647</v>
      </c>
      <c r="FC49" s="971">
        <v>51.447241106275747</v>
      </c>
      <c r="FD49" s="969">
        <v>0</v>
      </c>
      <c r="FE49" s="970">
        <v>0</v>
      </c>
      <c r="FF49" s="970">
        <v>6.4806823529411774</v>
      </c>
      <c r="FG49" s="970">
        <v>9.5094257376725917</v>
      </c>
      <c r="FH49" s="970">
        <v>0</v>
      </c>
      <c r="FI49" s="970">
        <v>0</v>
      </c>
      <c r="FJ49" s="970">
        <v>5.2649882352941182</v>
      </c>
      <c r="FK49" s="970">
        <v>4.6940520009201316</v>
      </c>
      <c r="FL49" s="970">
        <v>0</v>
      </c>
      <c r="FM49" s="970">
        <v>0</v>
      </c>
      <c r="FN49" s="970">
        <v>20.501382352941178</v>
      </c>
      <c r="FO49" s="971">
        <v>60.983637009315473</v>
      </c>
      <c r="FP49" s="969">
        <v>0</v>
      </c>
      <c r="FQ49" s="970">
        <v>0</v>
      </c>
      <c r="FR49" s="970">
        <v>2.9457647058823535</v>
      </c>
      <c r="FS49" s="970">
        <v>7.5808113675349791</v>
      </c>
      <c r="FT49" s="970">
        <v>0</v>
      </c>
      <c r="FU49" s="970">
        <v>0</v>
      </c>
      <c r="FV49" s="970">
        <v>2.3931764705882355</v>
      </c>
      <c r="FW49" s="970">
        <v>4.8956745274546556</v>
      </c>
      <c r="FX49" s="970">
        <v>0</v>
      </c>
      <c r="FY49" s="970">
        <v>0</v>
      </c>
      <c r="FZ49" s="970">
        <v>10.599264705882353</v>
      </c>
      <c r="GA49" s="971">
        <v>42.08422982874567</v>
      </c>
      <c r="GB49" s="969">
        <v>0</v>
      </c>
      <c r="GC49" s="970">
        <v>0</v>
      </c>
      <c r="GD49" s="970">
        <v>2.9457647058823535</v>
      </c>
      <c r="GE49" s="970">
        <v>7.4630527830482212</v>
      </c>
      <c r="GF49" s="970">
        <v>0</v>
      </c>
      <c r="GG49" s="970">
        <v>0</v>
      </c>
      <c r="GH49" s="970">
        <v>2.3931764705882355</v>
      </c>
      <c r="GI49" s="970">
        <v>4.5259315298553577</v>
      </c>
      <c r="GJ49" s="970">
        <v>0</v>
      </c>
      <c r="GK49" s="970">
        <v>0</v>
      </c>
      <c r="GL49" s="970">
        <v>10.599264705882353</v>
      </c>
      <c r="GM49" s="971">
        <v>43.514624284792049</v>
      </c>
      <c r="GN49" s="969">
        <v>0</v>
      </c>
      <c r="GO49" s="970">
        <v>0</v>
      </c>
      <c r="GP49" s="970">
        <v>3.9978235294117654</v>
      </c>
      <c r="GQ49" s="970">
        <v>5.8969651548666944</v>
      </c>
      <c r="GR49" s="970">
        <v>0</v>
      </c>
      <c r="GS49" s="970">
        <v>0</v>
      </c>
      <c r="GT49" s="970">
        <v>3.2478823529411764</v>
      </c>
      <c r="GU49" s="970">
        <v>2.8916710019332696</v>
      </c>
      <c r="GV49" s="970">
        <v>0</v>
      </c>
      <c r="GW49" s="970">
        <v>0</v>
      </c>
      <c r="GX49" s="970">
        <v>13.546323529411765</v>
      </c>
      <c r="GY49" s="971">
        <v>44.718887107144226</v>
      </c>
      <c r="GZ49" s="969">
        <v>0</v>
      </c>
      <c r="HA49" s="970">
        <v>0</v>
      </c>
      <c r="HB49" s="970">
        <v>4.039905882352941</v>
      </c>
      <c r="HC49" s="970">
        <v>8.5710319171289466</v>
      </c>
      <c r="HD49" s="970">
        <v>0</v>
      </c>
      <c r="HE49" s="970">
        <v>0</v>
      </c>
      <c r="HF49" s="970">
        <v>3.2820705882352943</v>
      </c>
      <c r="HG49" s="970">
        <v>5.0002914769620554</v>
      </c>
      <c r="HH49" s="970">
        <v>0</v>
      </c>
      <c r="HI49" s="970">
        <v>0</v>
      </c>
      <c r="HJ49" s="970">
        <v>13.664205882352942</v>
      </c>
      <c r="HK49" s="971">
        <v>52.688235066822905</v>
      </c>
      <c r="HL49" s="969">
        <v>0</v>
      </c>
      <c r="HM49" s="970">
        <v>0</v>
      </c>
      <c r="HN49" s="970">
        <v>0.5470705882352942</v>
      </c>
      <c r="HO49" s="970">
        <v>1.1876582995920877</v>
      </c>
      <c r="HP49" s="970">
        <v>0</v>
      </c>
      <c r="HQ49" s="970">
        <v>0</v>
      </c>
      <c r="HR49" s="970">
        <v>0.44444705882352942</v>
      </c>
      <c r="HS49" s="970">
        <v>0.48415833721604024</v>
      </c>
      <c r="HT49" s="970">
        <v>0</v>
      </c>
      <c r="HU49" s="970">
        <v>0</v>
      </c>
      <c r="HV49" s="970">
        <v>3.8799705882352944</v>
      </c>
      <c r="HW49" s="971">
        <v>23.127891458748451</v>
      </c>
      <c r="HX49" s="969">
        <v>0</v>
      </c>
      <c r="HY49" s="970">
        <v>0</v>
      </c>
      <c r="HZ49" s="970">
        <v>0.33665882352941184</v>
      </c>
      <c r="IA49" s="970">
        <v>0.74991712878235661</v>
      </c>
      <c r="IB49" s="970">
        <v>0</v>
      </c>
      <c r="IC49" s="970">
        <v>0</v>
      </c>
      <c r="ID49" s="970">
        <v>0.27350588235294121</v>
      </c>
      <c r="IE49" s="970">
        <v>0.19784624181275667</v>
      </c>
      <c r="IF49" s="970">
        <v>0</v>
      </c>
      <c r="IG49" s="970">
        <v>0</v>
      </c>
      <c r="IH49" s="970">
        <v>3.2905588235294121</v>
      </c>
      <c r="II49" s="971">
        <v>21.953785933470876</v>
      </c>
      <c r="IJ49" s="969">
        <v>0</v>
      </c>
      <c r="IK49" s="970">
        <v>0</v>
      </c>
      <c r="IL49" s="970">
        <v>2.6932705882352947</v>
      </c>
      <c r="IM49" s="970">
        <v>7.1202176821385068</v>
      </c>
      <c r="IN49" s="970">
        <v>0</v>
      </c>
      <c r="IO49" s="970">
        <v>0</v>
      </c>
      <c r="IP49" s="970">
        <v>2.1880470588235297</v>
      </c>
      <c r="IQ49" s="970">
        <v>4.5727665562001096</v>
      </c>
      <c r="IR49" s="970">
        <v>0</v>
      </c>
      <c r="IS49" s="970">
        <v>0</v>
      </c>
      <c r="IT49" s="970">
        <v>9.891970588235294</v>
      </c>
      <c r="IU49" s="971">
        <v>40.83787503529846</v>
      </c>
      <c r="IV49" s="969">
        <v>0</v>
      </c>
      <c r="IW49" s="970">
        <v>0</v>
      </c>
      <c r="IX49" s="970">
        <v>1.2624705882352942</v>
      </c>
      <c r="IY49" s="970">
        <v>2.9362082386236805</v>
      </c>
      <c r="IZ49" s="970">
        <v>0</v>
      </c>
      <c r="JA49" s="970">
        <v>0</v>
      </c>
      <c r="JB49" s="970">
        <v>1.0256470588235294</v>
      </c>
      <c r="JC49" s="970">
        <v>1.5252746769957302</v>
      </c>
      <c r="JD49" s="970">
        <v>0</v>
      </c>
      <c r="JE49" s="970">
        <v>0</v>
      </c>
      <c r="JF49" s="970">
        <v>5.8839705882352931</v>
      </c>
      <c r="JG49" s="971">
        <v>28.695238348581317</v>
      </c>
      <c r="JH49" s="969">
        <v>0</v>
      </c>
      <c r="JI49" s="970">
        <v>0</v>
      </c>
      <c r="JJ49" s="970">
        <v>4.039905882352941</v>
      </c>
      <c r="JK49" s="970">
        <v>3.6475600884359198</v>
      </c>
      <c r="JL49" s="970">
        <v>0</v>
      </c>
      <c r="JM49" s="970">
        <v>0</v>
      </c>
      <c r="JN49" s="970">
        <v>3.2820705882352943</v>
      </c>
      <c r="JO49" s="970">
        <v>1.2280577120659519</v>
      </c>
      <c r="JP49" s="970">
        <v>0</v>
      </c>
      <c r="JQ49" s="970">
        <v>0</v>
      </c>
      <c r="JR49" s="970">
        <v>13.664205882352942</v>
      </c>
      <c r="JS49" s="971">
        <v>38.248730609552048</v>
      </c>
      <c r="JT49" s="969">
        <v>0</v>
      </c>
      <c r="JU49" s="970">
        <v>0</v>
      </c>
      <c r="JV49" s="970">
        <v>2.2724470588235297</v>
      </c>
      <c r="JW49" s="970">
        <v>6.1311884941780184</v>
      </c>
      <c r="JX49" s="970">
        <v>0</v>
      </c>
      <c r="JY49" s="970">
        <v>0</v>
      </c>
      <c r="JZ49" s="970">
        <v>1.8461647058823529</v>
      </c>
      <c r="KA49" s="970">
        <v>3.9200427666939492</v>
      </c>
      <c r="KB49" s="970">
        <v>0</v>
      </c>
      <c r="KC49" s="970">
        <v>0</v>
      </c>
      <c r="KD49" s="970">
        <v>8.7131470588235302</v>
      </c>
      <c r="KE49" s="971">
        <v>37.124217772469819</v>
      </c>
      <c r="KF49" s="969">
        <v>0</v>
      </c>
      <c r="KG49" s="970">
        <v>0</v>
      </c>
      <c r="KH49" s="970">
        <v>2.8195176470588241</v>
      </c>
      <c r="KI49" s="970">
        <v>6.4626197738435085</v>
      </c>
      <c r="KJ49" s="970">
        <v>0</v>
      </c>
      <c r="KK49" s="970">
        <v>0</v>
      </c>
      <c r="KL49" s="970">
        <v>2.2906117647058823</v>
      </c>
      <c r="KM49" s="970">
        <v>3.913926341897207</v>
      </c>
      <c r="KN49" s="970">
        <v>0</v>
      </c>
      <c r="KO49" s="970">
        <v>0</v>
      </c>
      <c r="KP49" s="970">
        <v>10.245617647058825</v>
      </c>
      <c r="KQ49" s="971">
        <v>38.492123415283508</v>
      </c>
      <c r="KR49" s="969">
        <v>0</v>
      </c>
      <c r="KS49" s="970">
        <v>0</v>
      </c>
      <c r="KT49" s="970">
        <v>3.0299294117647064</v>
      </c>
      <c r="KU49" s="970">
        <v>10.02090945430208</v>
      </c>
      <c r="KV49" s="970">
        <v>0</v>
      </c>
      <c r="KW49" s="970">
        <v>0</v>
      </c>
      <c r="KX49" s="970">
        <v>2.4615529411764707</v>
      </c>
      <c r="KY49" s="970">
        <v>6.8089466607991094</v>
      </c>
      <c r="KZ49" s="970">
        <v>0</v>
      </c>
      <c r="LA49" s="970">
        <v>0</v>
      </c>
      <c r="LB49" s="970">
        <v>10.835029411764706</v>
      </c>
      <c r="LC49" s="971">
        <v>49.38531189765429</v>
      </c>
      <c r="LD49" s="969">
        <v>0</v>
      </c>
      <c r="LE49" s="970">
        <v>0</v>
      </c>
      <c r="LF49" s="970">
        <v>1.8095411764705884</v>
      </c>
      <c r="LG49" s="970">
        <v>3.6298608138015598</v>
      </c>
      <c r="LH49" s="970">
        <v>0</v>
      </c>
      <c r="LI49" s="970">
        <v>0</v>
      </c>
      <c r="LJ49" s="970">
        <v>1.4700941176470588</v>
      </c>
      <c r="LK49" s="970">
        <v>2.0200382095014504</v>
      </c>
      <c r="LL49" s="970">
        <v>0</v>
      </c>
      <c r="LM49" s="970">
        <v>0</v>
      </c>
      <c r="LN49" s="970">
        <v>7.4164411764705882</v>
      </c>
      <c r="LO49" s="971">
        <v>29.775604463743992</v>
      </c>
      <c r="LP49" s="969">
        <v>0</v>
      </c>
      <c r="LQ49" s="970">
        <v>0</v>
      </c>
      <c r="LR49" s="970">
        <v>3.2824235294117652</v>
      </c>
      <c r="LS49" s="970">
        <v>7.1224440494544039</v>
      </c>
      <c r="LT49" s="970">
        <v>0</v>
      </c>
      <c r="LU49" s="970">
        <v>0</v>
      </c>
      <c r="LV49" s="970">
        <v>2.6666823529411765</v>
      </c>
      <c r="LW49" s="970">
        <v>3.8722260631911976</v>
      </c>
      <c r="LX49" s="970">
        <v>0</v>
      </c>
      <c r="LY49" s="970">
        <v>0</v>
      </c>
      <c r="LZ49" s="970">
        <v>11.542323529411766</v>
      </c>
      <c r="MA49" s="971">
        <v>47.795947382557834</v>
      </c>
      <c r="MB49" s="969">
        <v>0</v>
      </c>
      <c r="MC49" s="970">
        <v>0</v>
      </c>
      <c r="MD49" s="970">
        <v>3.4086705882352941</v>
      </c>
      <c r="ME49" s="970">
        <v>7.1673116016778486</v>
      </c>
      <c r="MF49" s="970">
        <v>0</v>
      </c>
      <c r="MG49" s="970">
        <v>0</v>
      </c>
      <c r="MH49" s="970">
        <v>2.7692470588235292</v>
      </c>
      <c r="MI49" s="970">
        <v>4.5196849059078481</v>
      </c>
      <c r="MJ49" s="970">
        <v>0</v>
      </c>
      <c r="MK49" s="970">
        <v>0</v>
      </c>
      <c r="ML49" s="970">
        <v>11.895970588235294</v>
      </c>
      <c r="MM49" s="971">
        <v>41.468179005233019</v>
      </c>
      <c r="MN49" s="969">
        <v>0</v>
      </c>
      <c r="MO49" s="970">
        <v>0</v>
      </c>
      <c r="MP49" s="970">
        <v>7.4064941176470604</v>
      </c>
      <c r="MQ49" s="970">
        <v>9.3549990545899142</v>
      </c>
      <c r="MR49" s="970">
        <v>0</v>
      </c>
      <c r="MS49" s="970">
        <v>0</v>
      </c>
      <c r="MT49" s="970">
        <v>6.0171294117647065</v>
      </c>
      <c r="MU49" s="970">
        <v>3.9718436566982636</v>
      </c>
      <c r="MV49" s="970">
        <v>0</v>
      </c>
      <c r="MW49" s="970">
        <v>0</v>
      </c>
      <c r="MX49" s="970">
        <v>23.094794117647062</v>
      </c>
      <c r="MY49" s="971">
        <v>59.643770189206528</v>
      </c>
      <c r="MZ49" s="969">
        <v>0</v>
      </c>
      <c r="NA49" s="970">
        <v>0</v>
      </c>
      <c r="NB49" s="970">
        <v>4.5869764705882359</v>
      </c>
      <c r="NC49" s="970">
        <v>9.000826036923451</v>
      </c>
      <c r="ND49" s="970">
        <v>0</v>
      </c>
      <c r="NE49" s="970">
        <v>0</v>
      </c>
      <c r="NF49" s="970">
        <v>3.7265176470588237</v>
      </c>
      <c r="NG49" s="970">
        <v>4.7100721000442034</v>
      </c>
      <c r="NH49" s="970">
        <v>0</v>
      </c>
      <c r="NI49" s="970">
        <v>0</v>
      </c>
      <c r="NJ49" s="970">
        <v>15.196676470588237</v>
      </c>
      <c r="NK49" s="971">
        <v>58.524447485156308</v>
      </c>
      <c r="NL49" s="969">
        <v>0</v>
      </c>
      <c r="NM49" s="970">
        <v>0</v>
      </c>
      <c r="NN49" s="970">
        <v>3.9136588235294125</v>
      </c>
      <c r="NO49" s="970">
        <v>6.7404461999335057</v>
      </c>
      <c r="NP49" s="970">
        <v>0</v>
      </c>
      <c r="NQ49" s="970">
        <v>0</v>
      </c>
      <c r="NR49" s="970">
        <v>3.1795058823529416</v>
      </c>
      <c r="NS49" s="970">
        <v>3.954499466124775</v>
      </c>
      <c r="NT49" s="970">
        <v>0</v>
      </c>
      <c r="NU49" s="970">
        <v>0</v>
      </c>
      <c r="NV49" s="970">
        <v>13.310558823529412</v>
      </c>
      <c r="NW49" s="971">
        <v>42.290456935587045</v>
      </c>
      <c r="NX49" s="969">
        <v>0</v>
      </c>
      <c r="NY49" s="970">
        <v>0</v>
      </c>
      <c r="NZ49" s="970">
        <v>3.1561764705882358</v>
      </c>
      <c r="OA49" s="970">
        <v>8.0797082165313032</v>
      </c>
      <c r="OB49" s="970">
        <v>0</v>
      </c>
      <c r="OC49" s="970">
        <v>0</v>
      </c>
      <c r="OD49" s="970">
        <v>2.5641176470588234</v>
      </c>
      <c r="OE49" s="970">
        <v>5.2987700164049025</v>
      </c>
      <c r="OF49" s="970">
        <v>0</v>
      </c>
      <c r="OG49" s="970">
        <v>0</v>
      </c>
      <c r="OH49" s="970">
        <v>11.188676470588234</v>
      </c>
      <c r="OI49" s="971">
        <v>43.657709636342709</v>
      </c>
      <c r="OJ49" s="969">
        <v>0</v>
      </c>
      <c r="OK49" s="970">
        <v>0</v>
      </c>
      <c r="OL49" s="970">
        <v>5.0498823529411769</v>
      </c>
      <c r="OM49" s="970">
        <v>7.4710421714053945</v>
      </c>
      <c r="ON49" s="970">
        <v>0</v>
      </c>
      <c r="OO49" s="970">
        <v>0</v>
      </c>
      <c r="OP49" s="970">
        <v>4.1025882352941174</v>
      </c>
      <c r="OQ49" s="970">
        <v>3.7131344234069026</v>
      </c>
      <c r="OR49" s="970">
        <v>0</v>
      </c>
      <c r="OS49" s="970">
        <v>0</v>
      </c>
      <c r="OT49" s="970">
        <v>16.493382352941175</v>
      </c>
      <c r="OU49" s="971">
        <v>47.871871480304314</v>
      </c>
      <c r="OV49" s="969">
        <v>0</v>
      </c>
      <c r="OW49" s="970">
        <v>0</v>
      </c>
      <c r="OX49" s="970">
        <v>2.5249411764705885</v>
      </c>
      <c r="OY49" s="970">
        <v>4.9239242057428312</v>
      </c>
      <c r="OZ49" s="970">
        <v>0</v>
      </c>
      <c r="PA49" s="970">
        <v>0</v>
      </c>
      <c r="PB49" s="970">
        <v>2.0512941176470587</v>
      </c>
      <c r="PC49" s="970">
        <v>2.6671814546088384</v>
      </c>
      <c r="PD49" s="970">
        <v>0</v>
      </c>
      <c r="PE49" s="970">
        <v>0</v>
      </c>
      <c r="PF49" s="970">
        <v>9.4204411764705878</v>
      </c>
      <c r="PG49" s="971">
        <v>34.117006123930445</v>
      </c>
      <c r="PH49" s="969">
        <v>0</v>
      </c>
      <c r="PI49" s="970">
        <v>0</v>
      </c>
      <c r="PJ49" s="970">
        <v>6.8173411764705882</v>
      </c>
      <c r="PK49" s="970">
        <v>10.019839047049864</v>
      </c>
      <c r="PL49" s="970">
        <v>0</v>
      </c>
      <c r="PM49" s="970">
        <v>0</v>
      </c>
      <c r="PN49" s="970">
        <v>5.5384941176470583</v>
      </c>
      <c r="PO49" s="970">
        <v>5.0257421367415489</v>
      </c>
      <c r="PP49" s="970">
        <v>0</v>
      </c>
      <c r="PQ49" s="970">
        <v>0</v>
      </c>
      <c r="PR49" s="970">
        <v>21.444441176470587</v>
      </c>
      <c r="PS49" s="971">
        <v>54.597919174721234</v>
      </c>
      <c r="PT49" s="969">
        <v>0</v>
      </c>
      <c r="PU49" s="970">
        <v>0</v>
      </c>
      <c r="PV49" s="970">
        <v>3.2824235294117652</v>
      </c>
      <c r="PW49" s="970">
        <v>5.3692428252586568</v>
      </c>
      <c r="PX49" s="970">
        <v>0</v>
      </c>
      <c r="PY49" s="970">
        <v>0</v>
      </c>
      <c r="PZ49" s="970">
        <v>2.6666823529411765</v>
      </c>
      <c r="QA49" s="970">
        <v>3.123396218376417</v>
      </c>
      <c r="QB49" s="970">
        <v>0</v>
      </c>
      <c r="QC49" s="970">
        <v>0</v>
      </c>
      <c r="QD49" s="970">
        <v>11.542323529411766</v>
      </c>
      <c r="QE49" s="971">
        <v>36.44209994952741</v>
      </c>
      <c r="QF49" s="969">
        <v>0</v>
      </c>
      <c r="QG49" s="970">
        <v>0</v>
      </c>
      <c r="QH49" s="970">
        <v>3.0720117647058824</v>
      </c>
      <c r="QI49" s="970">
        <v>7.5135172842872073</v>
      </c>
      <c r="QJ49" s="970">
        <v>0</v>
      </c>
      <c r="QK49" s="970">
        <v>0</v>
      </c>
      <c r="QL49" s="970">
        <v>2.4957411764705881</v>
      </c>
      <c r="QM49" s="970">
        <v>4.7494351270355253</v>
      </c>
      <c r="QN49" s="970">
        <v>0</v>
      </c>
      <c r="QO49" s="970">
        <v>0</v>
      </c>
      <c r="QP49" s="970">
        <v>10.952911764705883</v>
      </c>
      <c r="QQ49" s="971">
        <v>41.924148742744336</v>
      </c>
      <c r="QR49" s="969">
        <v>0</v>
      </c>
      <c r="QS49" s="970">
        <v>0</v>
      </c>
      <c r="QT49" s="970">
        <v>4.6711411764705888</v>
      </c>
      <c r="QU49" s="970">
        <v>6.4649547627791488</v>
      </c>
      <c r="QV49" s="970">
        <v>0</v>
      </c>
      <c r="QW49" s="970">
        <v>0</v>
      </c>
      <c r="QX49" s="970">
        <v>3.7948941176470585</v>
      </c>
      <c r="QY49" s="970">
        <v>2.7418980371923731</v>
      </c>
      <c r="QZ49" s="970">
        <v>0</v>
      </c>
      <c r="RA49" s="970">
        <v>0</v>
      </c>
      <c r="RB49" s="970">
        <v>15.432441176470586</v>
      </c>
      <c r="RC49" s="971">
        <v>52.7126178708141</v>
      </c>
      <c r="RD49" s="969">
        <v>0</v>
      </c>
      <c r="RE49" s="970">
        <v>0</v>
      </c>
      <c r="RF49" s="970">
        <v>3.2403411764705887</v>
      </c>
      <c r="RG49" s="970">
        <v>6.4817291846545242</v>
      </c>
      <c r="RH49" s="970">
        <v>0</v>
      </c>
      <c r="RI49" s="970">
        <v>0</v>
      </c>
      <c r="RJ49" s="970">
        <v>2.6324941176470591</v>
      </c>
      <c r="RK49" s="970">
        <v>3.8926001800033641</v>
      </c>
      <c r="RL49" s="970">
        <v>0</v>
      </c>
      <c r="RM49" s="970">
        <v>0</v>
      </c>
      <c r="RN49" s="970">
        <v>11.424441176470589</v>
      </c>
      <c r="RO49" s="971">
        <v>39.431797717075398</v>
      </c>
      <c r="RP49" s="969">
        <v>0</v>
      </c>
      <c r="RQ49" s="970">
        <v>0</v>
      </c>
      <c r="RR49" s="970">
        <v>3.1561764705882358</v>
      </c>
      <c r="RS49" s="970">
        <v>6.115773410874275</v>
      </c>
      <c r="RT49" s="970">
        <v>0</v>
      </c>
      <c r="RU49" s="970">
        <v>0</v>
      </c>
      <c r="RV49" s="970">
        <v>2.5641176470588234</v>
      </c>
      <c r="RW49" s="970">
        <v>3.6183261973137975</v>
      </c>
      <c r="RX49" s="970">
        <v>0</v>
      </c>
      <c r="RY49" s="970">
        <v>0</v>
      </c>
      <c r="RZ49" s="970">
        <v>11.188676470588234</v>
      </c>
      <c r="SA49" s="971">
        <v>38.533936555581924</v>
      </c>
    </row>
    <row r="50" spans="1:495">
      <c r="A50" s="952">
        <f>[3]Eingabedaten!A52</f>
        <v>12.11</v>
      </c>
      <c r="B50" s="169" t="str">
        <f>[3]Eingabedaten!C52</f>
        <v>Kühlraum</v>
      </c>
      <c r="C50" s="987">
        <f t="shared" si="1"/>
        <v>44</v>
      </c>
      <c r="D50" s="954" cm="1">
        <f t="array" ref="D50">INDEX($P$7:$SA$51,$C50,$G$3-1+D$2)</f>
        <v>0</v>
      </c>
      <c r="E50" s="955" cm="1">
        <f t="array" ref="E50">INDEX($P$7:$SA$51,$C50,$G$3-1+E$2)</f>
        <v>0</v>
      </c>
      <c r="F50" s="955" cm="1">
        <f t="array" ref="F50">INDEX($P$7:$SA$51,$C50,$G$3-1+F$2)</f>
        <v>0.82500000000000007</v>
      </c>
      <c r="G50" s="955" cm="1">
        <f t="array" ref="G50">INDEX($P$7:$SA$51,$C50,$G$3-1+G$2)</f>
        <v>0</v>
      </c>
      <c r="H50" s="955" cm="1">
        <f t="array" ref="H50">INDEX($P$7:$SA$51,$C50,$G$3-1+H$2)</f>
        <v>0</v>
      </c>
      <c r="I50" s="955" cm="1">
        <f t="array" ref="I50">INDEX($P$7:$SA$51,$C50,$G$3-1+I$2)</f>
        <v>0</v>
      </c>
      <c r="J50" s="955" cm="1">
        <f t="array" ref="J50">INDEX($P$7:$SA$51,$C50,$G$3-1+J$2)</f>
        <v>0.48529411764705888</v>
      </c>
      <c r="K50" s="955" cm="1">
        <f t="array" ref="K50">INDEX($P$7:$SA$51,$C50,$G$3-1+K$2)</f>
        <v>0</v>
      </c>
      <c r="L50" s="955" cm="1">
        <f t="array" ref="L50">INDEX($P$7:$SA$51,$C50,$G$3-1+L$2)</f>
        <v>0</v>
      </c>
      <c r="M50" s="955" cm="1">
        <f t="array" ref="M50">INDEX($P$7:$SA$51,$C50,$G$3-1+M$2)</f>
        <v>0</v>
      </c>
      <c r="N50" s="955" cm="1">
        <f t="array" ref="N50">INDEX($P$7:$SA$51,$C50,$G$3-1+N$2)</f>
        <v>3.9773529411764712</v>
      </c>
      <c r="O50" s="956" cm="1">
        <f t="array" ref="O50">INDEX($P$7:$SA$51,$C50,$G$3-1+O$2)</f>
        <v>0</v>
      </c>
      <c r="P50" s="969">
        <v>0</v>
      </c>
      <c r="Q50" s="970">
        <v>0</v>
      </c>
      <c r="R50" s="970">
        <v>1.1220000000000001</v>
      </c>
      <c r="S50" s="970">
        <v>0</v>
      </c>
      <c r="T50" s="970">
        <v>0</v>
      </c>
      <c r="U50" s="970">
        <v>0</v>
      </c>
      <c r="V50" s="970">
        <v>0.66</v>
      </c>
      <c r="W50" s="970">
        <v>0</v>
      </c>
      <c r="X50" s="970">
        <v>0</v>
      </c>
      <c r="Y50" s="970">
        <v>0</v>
      </c>
      <c r="Z50" s="970">
        <v>5.375</v>
      </c>
      <c r="AA50" s="971">
        <v>0</v>
      </c>
      <c r="AB50" s="969">
        <v>0</v>
      </c>
      <c r="AC50" s="970">
        <v>0</v>
      </c>
      <c r="AD50" s="970">
        <v>0.60500000000000009</v>
      </c>
      <c r="AE50" s="970">
        <v>0</v>
      </c>
      <c r="AF50" s="970">
        <v>0</v>
      </c>
      <c r="AG50" s="970">
        <v>0</v>
      </c>
      <c r="AH50" s="970">
        <v>0.35588235294117648</v>
      </c>
      <c r="AI50" s="970">
        <v>0</v>
      </c>
      <c r="AJ50" s="970">
        <v>0</v>
      </c>
      <c r="AK50" s="970">
        <v>0</v>
      </c>
      <c r="AL50" s="970">
        <v>2.9420588235294121</v>
      </c>
      <c r="AM50" s="971">
        <v>0</v>
      </c>
      <c r="AN50" s="969">
        <v>0</v>
      </c>
      <c r="AO50" s="970">
        <v>0</v>
      </c>
      <c r="AP50" s="970">
        <v>0.61599999999999999</v>
      </c>
      <c r="AQ50" s="970">
        <v>0</v>
      </c>
      <c r="AR50" s="970">
        <v>0</v>
      </c>
      <c r="AS50" s="970">
        <v>0</v>
      </c>
      <c r="AT50" s="970">
        <v>0.3623529411764706</v>
      </c>
      <c r="AU50" s="970">
        <v>0</v>
      </c>
      <c r="AV50" s="970">
        <v>0</v>
      </c>
      <c r="AW50" s="970">
        <v>0</v>
      </c>
      <c r="AX50" s="970">
        <v>2.993823529411765</v>
      </c>
      <c r="AY50" s="971">
        <v>0</v>
      </c>
      <c r="AZ50" s="969">
        <v>0</v>
      </c>
      <c r="BA50" s="970">
        <v>0</v>
      </c>
      <c r="BB50" s="970">
        <v>0.71500000000000008</v>
      </c>
      <c r="BC50" s="970">
        <v>0</v>
      </c>
      <c r="BD50" s="970">
        <v>0</v>
      </c>
      <c r="BE50" s="970">
        <v>0</v>
      </c>
      <c r="BF50" s="970">
        <v>0.42058823529411771</v>
      </c>
      <c r="BG50" s="970">
        <v>0</v>
      </c>
      <c r="BH50" s="970">
        <v>0</v>
      </c>
      <c r="BI50" s="970">
        <v>0</v>
      </c>
      <c r="BJ50" s="970">
        <v>3.4597058823529414</v>
      </c>
      <c r="BK50" s="971">
        <v>0</v>
      </c>
      <c r="BL50" s="969">
        <v>0</v>
      </c>
      <c r="BM50" s="970">
        <v>0</v>
      </c>
      <c r="BN50" s="970">
        <v>0.81400000000000017</v>
      </c>
      <c r="BO50" s="970">
        <v>0</v>
      </c>
      <c r="BP50" s="970">
        <v>0</v>
      </c>
      <c r="BQ50" s="970">
        <v>0</v>
      </c>
      <c r="BR50" s="970">
        <v>0.47882352941176476</v>
      </c>
      <c r="BS50" s="970">
        <v>0</v>
      </c>
      <c r="BT50" s="970">
        <v>0</v>
      </c>
      <c r="BU50" s="970">
        <v>0</v>
      </c>
      <c r="BV50" s="970">
        <v>3.9255882352941183</v>
      </c>
      <c r="BW50" s="971">
        <v>0</v>
      </c>
      <c r="BX50" s="969">
        <v>0</v>
      </c>
      <c r="BY50" s="970">
        <v>0</v>
      </c>
      <c r="BZ50" s="970">
        <v>0.78100000000000003</v>
      </c>
      <c r="CA50" s="970">
        <v>0</v>
      </c>
      <c r="CB50" s="970">
        <v>0</v>
      </c>
      <c r="CC50" s="970">
        <v>0</v>
      </c>
      <c r="CD50" s="970">
        <v>0.45941176470588235</v>
      </c>
      <c r="CE50" s="970">
        <v>0</v>
      </c>
      <c r="CF50" s="970">
        <v>0</v>
      </c>
      <c r="CG50" s="970">
        <v>0</v>
      </c>
      <c r="CH50" s="970">
        <v>3.770294117647059</v>
      </c>
      <c r="CI50" s="971">
        <v>0</v>
      </c>
      <c r="CJ50" s="969">
        <v>0</v>
      </c>
      <c r="CK50" s="970">
        <v>0</v>
      </c>
      <c r="CL50" s="970">
        <v>0.79200000000000015</v>
      </c>
      <c r="CM50" s="970">
        <v>0</v>
      </c>
      <c r="CN50" s="970">
        <v>0</v>
      </c>
      <c r="CO50" s="970">
        <v>0</v>
      </c>
      <c r="CP50" s="970">
        <v>0.46588235294117653</v>
      </c>
      <c r="CQ50" s="970">
        <v>0</v>
      </c>
      <c r="CR50" s="970">
        <v>0</v>
      </c>
      <c r="CS50" s="970">
        <v>0</v>
      </c>
      <c r="CT50" s="970">
        <v>3.8220588235294128</v>
      </c>
      <c r="CU50" s="971">
        <v>0</v>
      </c>
      <c r="CV50" s="969">
        <v>0</v>
      </c>
      <c r="CW50" s="970">
        <v>0</v>
      </c>
      <c r="CX50" s="970">
        <v>1.4410000000000001</v>
      </c>
      <c r="CY50" s="970">
        <v>0</v>
      </c>
      <c r="CZ50" s="970">
        <v>0</v>
      </c>
      <c r="DA50" s="970">
        <v>0</v>
      </c>
      <c r="DB50" s="970">
        <v>0.84764705882352942</v>
      </c>
      <c r="DC50" s="970">
        <v>0</v>
      </c>
      <c r="DD50" s="970">
        <v>0</v>
      </c>
      <c r="DE50" s="970">
        <v>0</v>
      </c>
      <c r="DF50" s="970">
        <v>6.876176470588236</v>
      </c>
      <c r="DG50" s="971">
        <v>0</v>
      </c>
      <c r="DH50" s="969">
        <v>0</v>
      </c>
      <c r="DI50" s="970">
        <v>0</v>
      </c>
      <c r="DJ50" s="970">
        <v>1.0670000000000002</v>
      </c>
      <c r="DK50" s="970">
        <v>0</v>
      </c>
      <c r="DL50" s="970">
        <v>0</v>
      </c>
      <c r="DM50" s="970">
        <v>0</v>
      </c>
      <c r="DN50" s="970">
        <v>0.62764705882352945</v>
      </c>
      <c r="DO50" s="970">
        <v>0</v>
      </c>
      <c r="DP50" s="970">
        <v>0</v>
      </c>
      <c r="DQ50" s="970">
        <v>0</v>
      </c>
      <c r="DR50" s="970">
        <v>5.1161764705882353</v>
      </c>
      <c r="DS50" s="971">
        <v>0</v>
      </c>
      <c r="DT50" s="969">
        <v>0</v>
      </c>
      <c r="DU50" s="970">
        <v>0</v>
      </c>
      <c r="DV50" s="970">
        <v>1.232</v>
      </c>
      <c r="DW50" s="970">
        <v>0</v>
      </c>
      <c r="DX50" s="970">
        <v>0</v>
      </c>
      <c r="DY50" s="970">
        <v>0</v>
      </c>
      <c r="DZ50" s="970">
        <v>0.7247058823529412</v>
      </c>
      <c r="EA50" s="970">
        <v>0</v>
      </c>
      <c r="EB50" s="970">
        <v>0</v>
      </c>
      <c r="EC50" s="970">
        <v>0</v>
      </c>
      <c r="ED50" s="970">
        <v>5.8926470588235293</v>
      </c>
      <c r="EE50" s="971">
        <v>0</v>
      </c>
      <c r="EF50" s="969">
        <v>0</v>
      </c>
      <c r="EG50" s="970">
        <v>0</v>
      </c>
      <c r="EH50" s="970">
        <v>0.46200000000000008</v>
      </c>
      <c r="EI50" s="970">
        <v>0</v>
      </c>
      <c r="EJ50" s="970">
        <v>0</v>
      </c>
      <c r="EK50" s="970">
        <v>0</v>
      </c>
      <c r="EL50" s="970">
        <v>0.27176470588235296</v>
      </c>
      <c r="EM50" s="970">
        <v>0</v>
      </c>
      <c r="EN50" s="970">
        <v>0</v>
      </c>
      <c r="EO50" s="970">
        <v>0</v>
      </c>
      <c r="EP50" s="970">
        <v>2.2691176470588243</v>
      </c>
      <c r="EQ50" s="971">
        <v>0</v>
      </c>
      <c r="ER50" s="969">
        <v>0</v>
      </c>
      <c r="ES50" s="970">
        <v>0</v>
      </c>
      <c r="ET50" s="970">
        <v>0.90200000000000002</v>
      </c>
      <c r="EU50" s="970">
        <v>0</v>
      </c>
      <c r="EV50" s="970">
        <v>0</v>
      </c>
      <c r="EW50" s="970">
        <v>0</v>
      </c>
      <c r="EX50" s="970">
        <v>0.53058823529411769</v>
      </c>
      <c r="EY50" s="970">
        <v>0</v>
      </c>
      <c r="EZ50" s="970">
        <v>0</v>
      </c>
      <c r="FA50" s="970">
        <v>0</v>
      </c>
      <c r="FB50" s="970">
        <v>4.3397058823529413</v>
      </c>
      <c r="FC50" s="971">
        <v>0</v>
      </c>
      <c r="FD50" s="969">
        <v>0</v>
      </c>
      <c r="FE50" s="970">
        <v>0</v>
      </c>
      <c r="FF50" s="970">
        <v>1.6940000000000002</v>
      </c>
      <c r="FG50" s="970">
        <v>0</v>
      </c>
      <c r="FH50" s="970">
        <v>0</v>
      </c>
      <c r="FI50" s="970">
        <v>0</v>
      </c>
      <c r="FJ50" s="970">
        <v>0.99647058823529422</v>
      </c>
      <c r="FK50" s="970">
        <v>0</v>
      </c>
      <c r="FL50" s="970">
        <v>0</v>
      </c>
      <c r="FM50" s="970">
        <v>0</v>
      </c>
      <c r="FN50" s="970">
        <v>8.0667647058823544</v>
      </c>
      <c r="FO50" s="971">
        <v>0</v>
      </c>
      <c r="FP50" s="969">
        <v>0</v>
      </c>
      <c r="FQ50" s="970">
        <v>0</v>
      </c>
      <c r="FR50" s="970">
        <v>0.77000000000000013</v>
      </c>
      <c r="FS50" s="970">
        <v>0</v>
      </c>
      <c r="FT50" s="970">
        <v>0</v>
      </c>
      <c r="FU50" s="970">
        <v>0</v>
      </c>
      <c r="FV50" s="970">
        <v>0.45294117647058829</v>
      </c>
      <c r="FW50" s="970">
        <v>0</v>
      </c>
      <c r="FX50" s="970">
        <v>0</v>
      </c>
      <c r="FY50" s="970">
        <v>0</v>
      </c>
      <c r="FZ50" s="970">
        <v>3.7185294117647061</v>
      </c>
      <c r="GA50" s="971">
        <v>0</v>
      </c>
      <c r="GB50" s="969">
        <v>0</v>
      </c>
      <c r="GC50" s="970">
        <v>0</v>
      </c>
      <c r="GD50" s="970">
        <v>0.77000000000000013</v>
      </c>
      <c r="GE50" s="970">
        <v>0</v>
      </c>
      <c r="GF50" s="970">
        <v>0</v>
      </c>
      <c r="GG50" s="970">
        <v>0</v>
      </c>
      <c r="GH50" s="970">
        <v>0.45294117647058829</v>
      </c>
      <c r="GI50" s="970">
        <v>0</v>
      </c>
      <c r="GJ50" s="970">
        <v>0</v>
      </c>
      <c r="GK50" s="970">
        <v>0</v>
      </c>
      <c r="GL50" s="970">
        <v>3.7185294117647061</v>
      </c>
      <c r="GM50" s="971">
        <v>0</v>
      </c>
      <c r="GN50" s="969">
        <v>0</v>
      </c>
      <c r="GO50" s="970">
        <v>0</v>
      </c>
      <c r="GP50" s="970">
        <v>1.0450000000000002</v>
      </c>
      <c r="GQ50" s="970">
        <v>0</v>
      </c>
      <c r="GR50" s="970">
        <v>0</v>
      </c>
      <c r="GS50" s="970">
        <v>0</v>
      </c>
      <c r="GT50" s="970">
        <v>0.61470588235294121</v>
      </c>
      <c r="GU50" s="970">
        <v>0</v>
      </c>
      <c r="GV50" s="970">
        <v>0</v>
      </c>
      <c r="GW50" s="970">
        <v>0</v>
      </c>
      <c r="GX50" s="970">
        <v>5.0126470588235303</v>
      </c>
      <c r="GY50" s="971">
        <v>0</v>
      </c>
      <c r="GZ50" s="969">
        <v>0</v>
      </c>
      <c r="HA50" s="970">
        <v>0</v>
      </c>
      <c r="HB50" s="970">
        <v>1.056</v>
      </c>
      <c r="HC50" s="970">
        <v>0</v>
      </c>
      <c r="HD50" s="970">
        <v>0</v>
      </c>
      <c r="HE50" s="970">
        <v>0</v>
      </c>
      <c r="HF50" s="970">
        <v>0.62117647058823533</v>
      </c>
      <c r="HG50" s="970">
        <v>0</v>
      </c>
      <c r="HH50" s="970">
        <v>0</v>
      </c>
      <c r="HI50" s="970">
        <v>0</v>
      </c>
      <c r="HJ50" s="970">
        <v>5.0644117647058824</v>
      </c>
      <c r="HK50" s="971">
        <v>0</v>
      </c>
      <c r="HL50" s="969">
        <v>0</v>
      </c>
      <c r="HM50" s="970">
        <v>0</v>
      </c>
      <c r="HN50" s="970">
        <v>0.14300000000000002</v>
      </c>
      <c r="HO50" s="970">
        <v>0</v>
      </c>
      <c r="HP50" s="970">
        <v>0</v>
      </c>
      <c r="HQ50" s="970">
        <v>0</v>
      </c>
      <c r="HR50" s="970">
        <v>8.4117647058823547E-2</v>
      </c>
      <c r="HS50" s="970">
        <v>0</v>
      </c>
      <c r="HT50" s="970">
        <v>0</v>
      </c>
      <c r="HU50" s="970">
        <v>0</v>
      </c>
      <c r="HV50" s="970">
        <v>0.76794117647058857</v>
      </c>
      <c r="HW50" s="971">
        <v>0</v>
      </c>
      <c r="HX50" s="969">
        <v>0</v>
      </c>
      <c r="HY50" s="970">
        <v>0</v>
      </c>
      <c r="HZ50" s="970">
        <v>8.8000000000000023E-2</v>
      </c>
      <c r="IA50" s="970">
        <v>0</v>
      </c>
      <c r="IB50" s="970">
        <v>0</v>
      </c>
      <c r="IC50" s="970">
        <v>0</v>
      </c>
      <c r="ID50" s="970">
        <v>5.1764705882352949E-2</v>
      </c>
      <c r="IE50" s="970">
        <v>0</v>
      </c>
      <c r="IF50" s="970">
        <v>0</v>
      </c>
      <c r="IG50" s="970">
        <v>0</v>
      </c>
      <c r="IH50" s="970">
        <v>0.5091176470588239</v>
      </c>
      <c r="II50" s="971">
        <v>0</v>
      </c>
      <c r="IJ50" s="969">
        <v>0</v>
      </c>
      <c r="IK50" s="970">
        <v>0</v>
      </c>
      <c r="IL50" s="970">
        <v>0.70400000000000018</v>
      </c>
      <c r="IM50" s="970">
        <v>0</v>
      </c>
      <c r="IN50" s="970">
        <v>0</v>
      </c>
      <c r="IO50" s="970">
        <v>0</v>
      </c>
      <c r="IP50" s="970">
        <v>0.41411764705882359</v>
      </c>
      <c r="IQ50" s="970">
        <v>0</v>
      </c>
      <c r="IR50" s="970">
        <v>0</v>
      </c>
      <c r="IS50" s="970">
        <v>0</v>
      </c>
      <c r="IT50" s="970">
        <v>3.4079411764705889</v>
      </c>
      <c r="IU50" s="971">
        <v>0</v>
      </c>
      <c r="IV50" s="969">
        <v>0</v>
      </c>
      <c r="IW50" s="970">
        <v>0</v>
      </c>
      <c r="IX50" s="970">
        <v>0.33000000000000007</v>
      </c>
      <c r="IY50" s="970">
        <v>0</v>
      </c>
      <c r="IZ50" s="970">
        <v>0</v>
      </c>
      <c r="JA50" s="970">
        <v>0</v>
      </c>
      <c r="JB50" s="970">
        <v>0.19411764705882356</v>
      </c>
      <c r="JC50" s="970">
        <v>0</v>
      </c>
      <c r="JD50" s="970">
        <v>0</v>
      </c>
      <c r="JE50" s="970">
        <v>0</v>
      </c>
      <c r="JF50" s="970">
        <v>1.6479411764705887</v>
      </c>
      <c r="JG50" s="971">
        <v>0</v>
      </c>
      <c r="JH50" s="969">
        <v>0</v>
      </c>
      <c r="JI50" s="970">
        <v>0</v>
      </c>
      <c r="JJ50" s="970">
        <v>1.056</v>
      </c>
      <c r="JK50" s="970">
        <v>0</v>
      </c>
      <c r="JL50" s="970">
        <v>0</v>
      </c>
      <c r="JM50" s="970">
        <v>0</v>
      </c>
      <c r="JN50" s="970">
        <v>0.62117647058823533</v>
      </c>
      <c r="JO50" s="970">
        <v>0</v>
      </c>
      <c r="JP50" s="970">
        <v>0</v>
      </c>
      <c r="JQ50" s="970">
        <v>0</v>
      </c>
      <c r="JR50" s="970">
        <v>5.0644117647058824</v>
      </c>
      <c r="JS50" s="971">
        <v>0</v>
      </c>
      <c r="JT50" s="969">
        <v>0</v>
      </c>
      <c r="JU50" s="970">
        <v>0</v>
      </c>
      <c r="JV50" s="970">
        <v>0.59400000000000008</v>
      </c>
      <c r="JW50" s="970">
        <v>0</v>
      </c>
      <c r="JX50" s="970">
        <v>0</v>
      </c>
      <c r="JY50" s="970">
        <v>0</v>
      </c>
      <c r="JZ50" s="970">
        <v>0.34941176470588242</v>
      </c>
      <c r="KA50" s="970">
        <v>0</v>
      </c>
      <c r="KB50" s="970">
        <v>0</v>
      </c>
      <c r="KC50" s="970">
        <v>0</v>
      </c>
      <c r="KD50" s="970">
        <v>2.8902941176470591</v>
      </c>
      <c r="KE50" s="971">
        <v>0</v>
      </c>
      <c r="KF50" s="969">
        <v>0</v>
      </c>
      <c r="KG50" s="970">
        <v>0</v>
      </c>
      <c r="KH50" s="970">
        <v>0.7370000000000001</v>
      </c>
      <c r="KI50" s="970">
        <v>0</v>
      </c>
      <c r="KJ50" s="970">
        <v>0</v>
      </c>
      <c r="KK50" s="970">
        <v>0</v>
      </c>
      <c r="KL50" s="970">
        <v>0.43352941176470594</v>
      </c>
      <c r="KM50" s="970">
        <v>0</v>
      </c>
      <c r="KN50" s="970">
        <v>0</v>
      </c>
      <c r="KO50" s="970">
        <v>0</v>
      </c>
      <c r="KP50" s="970">
        <v>3.5632352941176482</v>
      </c>
      <c r="KQ50" s="971">
        <v>0</v>
      </c>
      <c r="KR50" s="969">
        <v>0</v>
      </c>
      <c r="KS50" s="970">
        <v>0</v>
      </c>
      <c r="KT50" s="970">
        <v>0.79200000000000015</v>
      </c>
      <c r="KU50" s="970">
        <v>0</v>
      </c>
      <c r="KV50" s="970">
        <v>0</v>
      </c>
      <c r="KW50" s="970">
        <v>0</v>
      </c>
      <c r="KX50" s="970">
        <v>0.46588235294117653</v>
      </c>
      <c r="KY50" s="970">
        <v>0</v>
      </c>
      <c r="KZ50" s="970">
        <v>0</v>
      </c>
      <c r="LA50" s="970">
        <v>0</v>
      </c>
      <c r="LB50" s="970">
        <v>3.8220588235294128</v>
      </c>
      <c r="LC50" s="971">
        <v>0</v>
      </c>
      <c r="LD50" s="969">
        <v>0</v>
      </c>
      <c r="LE50" s="970">
        <v>0</v>
      </c>
      <c r="LF50" s="970">
        <v>0.47300000000000003</v>
      </c>
      <c r="LG50" s="970">
        <v>0</v>
      </c>
      <c r="LH50" s="970">
        <v>0</v>
      </c>
      <c r="LI50" s="970">
        <v>0</v>
      </c>
      <c r="LJ50" s="970">
        <v>0.27823529411764708</v>
      </c>
      <c r="LK50" s="970">
        <v>0</v>
      </c>
      <c r="LL50" s="970">
        <v>0</v>
      </c>
      <c r="LM50" s="970">
        <v>0</v>
      </c>
      <c r="LN50" s="970">
        <v>2.3208823529411773</v>
      </c>
      <c r="LO50" s="971">
        <v>0</v>
      </c>
      <c r="LP50" s="969">
        <v>0</v>
      </c>
      <c r="LQ50" s="970">
        <v>0</v>
      </c>
      <c r="LR50" s="970">
        <v>0.8580000000000001</v>
      </c>
      <c r="LS50" s="970">
        <v>0</v>
      </c>
      <c r="LT50" s="970">
        <v>0</v>
      </c>
      <c r="LU50" s="970">
        <v>0</v>
      </c>
      <c r="LV50" s="970">
        <v>0.50470588235294123</v>
      </c>
      <c r="LW50" s="970">
        <v>0</v>
      </c>
      <c r="LX50" s="970">
        <v>0</v>
      </c>
      <c r="LY50" s="970">
        <v>0</v>
      </c>
      <c r="LZ50" s="970">
        <v>4.1326470588235305</v>
      </c>
      <c r="MA50" s="971">
        <v>0</v>
      </c>
      <c r="MB50" s="969">
        <v>0</v>
      </c>
      <c r="MC50" s="970">
        <v>0</v>
      </c>
      <c r="MD50" s="970">
        <v>0.89100000000000013</v>
      </c>
      <c r="ME50" s="970">
        <v>0</v>
      </c>
      <c r="MF50" s="970">
        <v>0</v>
      </c>
      <c r="MG50" s="970">
        <v>0</v>
      </c>
      <c r="MH50" s="970">
        <v>0.52411764705882358</v>
      </c>
      <c r="MI50" s="970">
        <v>0</v>
      </c>
      <c r="MJ50" s="970">
        <v>0</v>
      </c>
      <c r="MK50" s="970">
        <v>0</v>
      </c>
      <c r="ML50" s="970">
        <v>4.2879411764705884</v>
      </c>
      <c r="MM50" s="971">
        <v>0</v>
      </c>
      <c r="MN50" s="969">
        <v>0</v>
      </c>
      <c r="MO50" s="970">
        <v>0</v>
      </c>
      <c r="MP50" s="970">
        <v>1.9360000000000004</v>
      </c>
      <c r="MQ50" s="970">
        <v>0</v>
      </c>
      <c r="MR50" s="970">
        <v>0</v>
      </c>
      <c r="MS50" s="970">
        <v>0</v>
      </c>
      <c r="MT50" s="970">
        <v>1.138823529411765</v>
      </c>
      <c r="MU50" s="970">
        <v>0</v>
      </c>
      <c r="MV50" s="970">
        <v>0</v>
      </c>
      <c r="MW50" s="970">
        <v>0</v>
      </c>
      <c r="MX50" s="970">
        <v>9.205588235294119</v>
      </c>
      <c r="MY50" s="971">
        <v>0</v>
      </c>
      <c r="MZ50" s="969">
        <v>0</v>
      </c>
      <c r="NA50" s="970">
        <v>0</v>
      </c>
      <c r="NB50" s="970">
        <v>1.1990000000000003</v>
      </c>
      <c r="NC50" s="970">
        <v>0</v>
      </c>
      <c r="ND50" s="970">
        <v>0</v>
      </c>
      <c r="NE50" s="970">
        <v>0</v>
      </c>
      <c r="NF50" s="970">
        <v>0.70529411764705896</v>
      </c>
      <c r="NG50" s="970">
        <v>0</v>
      </c>
      <c r="NH50" s="970">
        <v>0</v>
      </c>
      <c r="NI50" s="970">
        <v>0</v>
      </c>
      <c r="NJ50" s="970">
        <v>5.7373529411764714</v>
      </c>
      <c r="NK50" s="971">
        <v>0</v>
      </c>
      <c r="NL50" s="969">
        <v>0</v>
      </c>
      <c r="NM50" s="970">
        <v>0</v>
      </c>
      <c r="NN50" s="970">
        <v>1.0230000000000001</v>
      </c>
      <c r="NO50" s="970">
        <v>0</v>
      </c>
      <c r="NP50" s="970">
        <v>0</v>
      </c>
      <c r="NQ50" s="970">
        <v>0</v>
      </c>
      <c r="NR50" s="970">
        <v>0.60176470588235309</v>
      </c>
      <c r="NS50" s="970">
        <v>0</v>
      </c>
      <c r="NT50" s="970">
        <v>0</v>
      </c>
      <c r="NU50" s="970">
        <v>0</v>
      </c>
      <c r="NV50" s="970">
        <v>4.9091176470588245</v>
      </c>
      <c r="NW50" s="971">
        <v>0</v>
      </c>
      <c r="NX50" s="969">
        <v>0</v>
      </c>
      <c r="NY50" s="970">
        <v>0</v>
      </c>
      <c r="NZ50" s="970">
        <v>0.82500000000000007</v>
      </c>
      <c r="OA50" s="970">
        <v>0</v>
      </c>
      <c r="OB50" s="970">
        <v>0</v>
      </c>
      <c r="OC50" s="970">
        <v>0</v>
      </c>
      <c r="OD50" s="970">
        <v>0.48529411764705888</v>
      </c>
      <c r="OE50" s="970">
        <v>0</v>
      </c>
      <c r="OF50" s="970">
        <v>0</v>
      </c>
      <c r="OG50" s="970">
        <v>0</v>
      </c>
      <c r="OH50" s="970">
        <v>3.9773529411764712</v>
      </c>
      <c r="OI50" s="971">
        <v>0</v>
      </c>
      <c r="OJ50" s="969">
        <v>0</v>
      </c>
      <c r="OK50" s="970">
        <v>0</v>
      </c>
      <c r="OL50" s="970">
        <v>1.3200000000000003</v>
      </c>
      <c r="OM50" s="970">
        <v>0</v>
      </c>
      <c r="ON50" s="970">
        <v>0</v>
      </c>
      <c r="OO50" s="970">
        <v>0</v>
      </c>
      <c r="OP50" s="970">
        <v>0.77647058823529425</v>
      </c>
      <c r="OQ50" s="970">
        <v>0</v>
      </c>
      <c r="OR50" s="970">
        <v>0</v>
      </c>
      <c r="OS50" s="970">
        <v>0</v>
      </c>
      <c r="OT50" s="970">
        <v>6.3067647058823537</v>
      </c>
      <c r="OU50" s="971">
        <v>0</v>
      </c>
      <c r="OV50" s="969">
        <v>0</v>
      </c>
      <c r="OW50" s="970">
        <v>0</v>
      </c>
      <c r="OX50" s="970">
        <v>0.66000000000000014</v>
      </c>
      <c r="OY50" s="970">
        <v>0</v>
      </c>
      <c r="OZ50" s="970">
        <v>0</v>
      </c>
      <c r="PA50" s="970">
        <v>0</v>
      </c>
      <c r="PB50" s="970">
        <v>0.38823529411764712</v>
      </c>
      <c r="PC50" s="970">
        <v>0</v>
      </c>
      <c r="PD50" s="970">
        <v>0</v>
      </c>
      <c r="PE50" s="970">
        <v>0</v>
      </c>
      <c r="PF50" s="970">
        <v>3.2008823529411767</v>
      </c>
      <c r="PG50" s="971">
        <v>0</v>
      </c>
      <c r="PH50" s="969">
        <v>0</v>
      </c>
      <c r="PI50" s="970">
        <v>0</v>
      </c>
      <c r="PJ50" s="970">
        <v>1.7820000000000003</v>
      </c>
      <c r="PK50" s="970">
        <v>0</v>
      </c>
      <c r="PL50" s="970">
        <v>0</v>
      </c>
      <c r="PM50" s="970">
        <v>0</v>
      </c>
      <c r="PN50" s="970">
        <v>1.0482352941176472</v>
      </c>
      <c r="PO50" s="970">
        <v>0</v>
      </c>
      <c r="PP50" s="970">
        <v>0</v>
      </c>
      <c r="PQ50" s="970">
        <v>0</v>
      </c>
      <c r="PR50" s="970">
        <v>8.4808823529411761</v>
      </c>
      <c r="PS50" s="971">
        <v>0</v>
      </c>
      <c r="PT50" s="969">
        <v>0</v>
      </c>
      <c r="PU50" s="970">
        <v>0</v>
      </c>
      <c r="PV50" s="970">
        <v>0.8580000000000001</v>
      </c>
      <c r="PW50" s="970">
        <v>0</v>
      </c>
      <c r="PX50" s="970">
        <v>0</v>
      </c>
      <c r="PY50" s="970">
        <v>0</v>
      </c>
      <c r="PZ50" s="970">
        <v>0.50470588235294123</v>
      </c>
      <c r="QA50" s="970">
        <v>0</v>
      </c>
      <c r="QB50" s="970">
        <v>0</v>
      </c>
      <c r="QC50" s="970">
        <v>0</v>
      </c>
      <c r="QD50" s="970">
        <v>4.1326470588235305</v>
      </c>
      <c r="QE50" s="971">
        <v>0</v>
      </c>
      <c r="QF50" s="969">
        <v>0</v>
      </c>
      <c r="QG50" s="970">
        <v>0</v>
      </c>
      <c r="QH50" s="970">
        <v>0.80300000000000005</v>
      </c>
      <c r="QI50" s="970">
        <v>0</v>
      </c>
      <c r="QJ50" s="970">
        <v>0</v>
      </c>
      <c r="QK50" s="970">
        <v>0</v>
      </c>
      <c r="QL50" s="970">
        <v>0.47235294117647064</v>
      </c>
      <c r="QM50" s="970">
        <v>0</v>
      </c>
      <c r="QN50" s="970">
        <v>0</v>
      </c>
      <c r="QO50" s="970">
        <v>0</v>
      </c>
      <c r="QP50" s="970">
        <v>3.8738235294117653</v>
      </c>
      <c r="QQ50" s="971">
        <v>0</v>
      </c>
      <c r="QR50" s="969">
        <v>0</v>
      </c>
      <c r="QS50" s="970">
        <v>0</v>
      </c>
      <c r="QT50" s="970">
        <v>1.2210000000000001</v>
      </c>
      <c r="QU50" s="970">
        <v>0</v>
      </c>
      <c r="QV50" s="970">
        <v>0</v>
      </c>
      <c r="QW50" s="970">
        <v>0</v>
      </c>
      <c r="QX50" s="970">
        <v>0.71823529411764708</v>
      </c>
      <c r="QY50" s="970">
        <v>0</v>
      </c>
      <c r="QZ50" s="970">
        <v>0</v>
      </c>
      <c r="RA50" s="970">
        <v>0</v>
      </c>
      <c r="RB50" s="970">
        <v>5.8408823529411773</v>
      </c>
      <c r="RC50" s="971">
        <v>0</v>
      </c>
      <c r="RD50" s="969">
        <v>0</v>
      </c>
      <c r="RE50" s="970">
        <v>0</v>
      </c>
      <c r="RF50" s="970">
        <v>0.84700000000000009</v>
      </c>
      <c r="RG50" s="970">
        <v>0</v>
      </c>
      <c r="RH50" s="970">
        <v>0</v>
      </c>
      <c r="RI50" s="970">
        <v>0</v>
      </c>
      <c r="RJ50" s="970">
        <v>0.49823529411764711</v>
      </c>
      <c r="RK50" s="970">
        <v>0</v>
      </c>
      <c r="RL50" s="970">
        <v>0</v>
      </c>
      <c r="RM50" s="970">
        <v>0</v>
      </c>
      <c r="RN50" s="970">
        <v>4.0808823529411775</v>
      </c>
      <c r="RO50" s="971">
        <v>0</v>
      </c>
      <c r="RP50" s="969">
        <v>0</v>
      </c>
      <c r="RQ50" s="970">
        <v>0</v>
      </c>
      <c r="RR50" s="970">
        <v>0.82500000000000007</v>
      </c>
      <c r="RS50" s="970">
        <v>0</v>
      </c>
      <c r="RT50" s="970">
        <v>0</v>
      </c>
      <c r="RU50" s="970">
        <v>0</v>
      </c>
      <c r="RV50" s="970">
        <v>0.48529411764705888</v>
      </c>
      <c r="RW50" s="970">
        <v>0</v>
      </c>
      <c r="RX50" s="970">
        <v>0</v>
      </c>
      <c r="RY50" s="970">
        <v>0</v>
      </c>
      <c r="RZ50" s="970">
        <v>3.9773529411764712</v>
      </c>
      <c r="SA50" s="971">
        <v>0</v>
      </c>
    </row>
    <row r="51" spans="1:495">
      <c r="A51" s="963">
        <f>[3]Eingabedaten!A53</f>
        <v>12.12</v>
      </c>
      <c r="B51" s="972" t="str">
        <f>[3]Eingabedaten!C53</f>
        <v>Serverraum</v>
      </c>
      <c r="C51" s="990">
        <f t="shared" si="1"/>
        <v>45</v>
      </c>
      <c r="D51" s="981" cm="1">
        <f t="array" ref="D51">INDEX($P$7:$SA$51,$C51,$G$3-1+D$2)</f>
        <v>6.5114222222222216</v>
      </c>
      <c r="E51" s="982" cm="1">
        <f t="array" ref="E51">INDEX($P$7:$SA$51,$C51,$G$3-1+E$2)</f>
        <v>0</v>
      </c>
      <c r="F51" s="982" cm="1">
        <f t="array" ref="F51">INDEX($P$7:$SA$51,$C51,$G$3-1+F$2)</f>
        <v>1.71</v>
      </c>
      <c r="G51" s="982" cm="1">
        <f t="array" ref="G51">INDEX($P$7:$SA$51,$C51,$G$3-1+G$2)</f>
        <v>0</v>
      </c>
      <c r="H51" s="982" cm="1">
        <f t="array" ref="H51">INDEX($P$7:$SA$51,$C51,$G$3-1+H$2)</f>
        <v>4.2645247125858887</v>
      </c>
      <c r="I51" s="982" cm="1">
        <f t="array" ref="I51">INDEX($P$7:$SA$51,$C51,$G$3-1+I$2)</f>
        <v>0</v>
      </c>
      <c r="J51" s="982" cm="1">
        <f t="array" ref="J51">INDEX($P$7:$SA$51,$C51,$G$3-1+J$2)</f>
        <v>1.3023529411764709</v>
      </c>
      <c r="K51" s="982" cm="1">
        <f t="array" ref="K51">INDEX($P$7:$SA$51,$C51,$G$3-1+K$2)</f>
        <v>0</v>
      </c>
      <c r="L51" s="982" cm="1">
        <f t="array" ref="L51">INDEX($P$7:$SA$51,$C51,$G$3-1+L$2)</f>
        <v>0</v>
      </c>
      <c r="M51" s="982" cm="1">
        <f t="array" ref="M51">INDEX($P$7:$SA$51,$C51,$G$3-1+M$2)</f>
        <v>0</v>
      </c>
      <c r="N51" s="982" cm="1">
        <f t="array" ref="N51">INDEX($P$7:$SA$51,$C51,$G$3-1+N$2)</f>
        <v>8.0905235294117652</v>
      </c>
      <c r="O51" s="983" cm="1">
        <f t="array" ref="O51">INDEX($P$7:$SA$51,$C51,$G$3-1+O$2)</f>
        <v>0</v>
      </c>
      <c r="P51" s="973">
        <v>4.6962222222222216</v>
      </c>
      <c r="Q51" s="974">
        <v>0</v>
      </c>
      <c r="R51" s="974">
        <v>2.3256000000000001</v>
      </c>
      <c r="S51" s="974">
        <v>0</v>
      </c>
      <c r="T51" s="974">
        <v>2.990213183174125</v>
      </c>
      <c r="U51" s="974">
        <v>0</v>
      </c>
      <c r="V51" s="974">
        <v>1.7712000000000003</v>
      </c>
      <c r="W51" s="974">
        <v>0</v>
      </c>
      <c r="X51" s="974">
        <v>0</v>
      </c>
      <c r="Y51" s="974">
        <v>0</v>
      </c>
      <c r="Z51" s="974">
        <v>10.545300000000001</v>
      </c>
      <c r="AA51" s="975">
        <v>0</v>
      </c>
      <c r="AB51" s="973">
        <v>6.600702222222222</v>
      </c>
      <c r="AC51" s="974">
        <v>0</v>
      </c>
      <c r="AD51" s="974">
        <v>1.254</v>
      </c>
      <c r="AE51" s="974">
        <v>0</v>
      </c>
      <c r="AF51" s="974">
        <v>4.3449482419976544</v>
      </c>
      <c r="AG51" s="974">
        <v>0</v>
      </c>
      <c r="AH51" s="974">
        <v>0.95505882352941196</v>
      </c>
      <c r="AI51" s="974">
        <v>0</v>
      </c>
      <c r="AJ51" s="974">
        <v>0</v>
      </c>
      <c r="AK51" s="974">
        <v>0</v>
      </c>
      <c r="AL51" s="974">
        <v>6.2721705882352943</v>
      </c>
      <c r="AM51" s="975">
        <v>0</v>
      </c>
      <c r="AN51" s="973">
        <v>6.8908622222222231</v>
      </c>
      <c r="AO51" s="974">
        <v>0</v>
      </c>
      <c r="AP51" s="974">
        <v>1.2768000000000002</v>
      </c>
      <c r="AQ51" s="974">
        <v>0</v>
      </c>
      <c r="AR51" s="974">
        <v>4.5540494184682423</v>
      </c>
      <c r="AS51" s="974">
        <v>0</v>
      </c>
      <c r="AT51" s="974">
        <v>0.97242352941176491</v>
      </c>
      <c r="AU51" s="974">
        <v>0</v>
      </c>
      <c r="AV51" s="974">
        <v>0</v>
      </c>
      <c r="AW51" s="974">
        <v>0</v>
      </c>
      <c r="AX51" s="974">
        <v>6.3630882352941178</v>
      </c>
      <c r="AY51" s="975">
        <v>0</v>
      </c>
      <c r="AZ51" s="973">
        <v>7.0247822222222212</v>
      </c>
      <c r="BA51" s="974">
        <v>0</v>
      </c>
      <c r="BB51" s="974">
        <v>1.4820000000000002</v>
      </c>
      <c r="BC51" s="974">
        <v>0</v>
      </c>
      <c r="BD51" s="974">
        <v>4.6505576537623599</v>
      </c>
      <c r="BE51" s="974">
        <v>0</v>
      </c>
      <c r="BF51" s="974">
        <v>1.1287058823529414</v>
      </c>
      <c r="BG51" s="974">
        <v>0</v>
      </c>
      <c r="BH51" s="974">
        <v>0</v>
      </c>
      <c r="BI51" s="974">
        <v>0</v>
      </c>
      <c r="BJ51" s="974">
        <v>7.1813470588235306</v>
      </c>
      <c r="BK51" s="975">
        <v>0</v>
      </c>
      <c r="BL51" s="973">
        <v>6.6676622222222219</v>
      </c>
      <c r="BM51" s="974">
        <v>0</v>
      </c>
      <c r="BN51" s="974">
        <v>1.6872000000000003</v>
      </c>
      <c r="BO51" s="974">
        <v>0</v>
      </c>
      <c r="BP51" s="974">
        <v>4.3932023596447136</v>
      </c>
      <c r="BQ51" s="974">
        <v>0</v>
      </c>
      <c r="BR51" s="974">
        <v>1.284988235294118</v>
      </c>
      <c r="BS51" s="974">
        <v>0</v>
      </c>
      <c r="BT51" s="974">
        <v>0</v>
      </c>
      <c r="BU51" s="974">
        <v>0</v>
      </c>
      <c r="BV51" s="974">
        <v>7.9996058823529426</v>
      </c>
      <c r="BW51" s="975">
        <v>0</v>
      </c>
      <c r="BX51" s="973">
        <v>6.8685422222222217</v>
      </c>
      <c r="BY51" s="974">
        <v>0</v>
      </c>
      <c r="BZ51" s="974">
        <v>1.6188000000000002</v>
      </c>
      <c r="CA51" s="974">
        <v>0</v>
      </c>
      <c r="CB51" s="974">
        <v>4.5379647125858895</v>
      </c>
      <c r="CC51" s="974">
        <v>0</v>
      </c>
      <c r="CD51" s="974">
        <v>1.2328941176470591</v>
      </c>
      <c r="CE51" s="974">
        <v>0</v>
      </c>
      <c r="CF51" s="974">
        <v>0</v>
      </c>
      <c r="CG51" s="974">
        <v>0</v>
      </c>
      <c r="CH51" s="974">
        <v>7.726852941176471</v>
      </c>
      <c r="CI51" s="975">
        <v>0</v>
      </c>
      <c r="CJ51" s="973">
        <v>6.600702222222222</v>
      </c>
      <c r="CK51" s="974">
        <v>0</v>
      </c>
      <c r="CL51" s="974">
        <v>1.6416000000000002</v>
      </c>
      <c r="CM51" s="974">
        <v>0</v>
      </c>
      <c r="CN51" s="974">
        <v>4.3449482419976544</v>
      </c>
      <c r="CO51" s="974">
        <v>0</v>
      </c>
      <c r="CP51" s="974">
        <v>1.2502588235294121</v>
      </c>
      <c r="CQ51" s="974">
        <v>0</v>
      </c>
      <c r="CR51" s="974">
        <v>0</v>
      </c>
      <c r="CS51" s="974">
        <v>0</v>
      </c>
      <c r="CT51" s="974">
        <v>7.8177705882352964</v>
      </c>
      <c r="CU51" s="975">
        <v>0</v>
      </c>
      <c r="CV51" s="973">
        <v>4.152222222222222</v>
      </c>
      <c r="CW51" s="974">
        <v>0</v>
      </c>
      <c r="CX51" s="974">
        <v>2.9868000000000006</v>
      </c>
      <c r="CY51" s="974">
        <v>0</v>
      </c>
      <c r="CZ51" s="974">
        <v>2.5254790655270662</v>
      </c>
      <c r="DA51" s="974">
        <v>0</v>
      </c>
      <c r="DB51" s="974">
        <v>2.2747764705882361</v>
      </c>
      <c r="DC51" s="974">
        <v>0</v>
      </c>
      <c r="DD51" s="974">
        <v>0</v>
      </c>
      <c r="DE51" s="974">
        <v>0</v>
      </c>
      <c r="DF51" s="974">
        <v>13.181911764705884</v>
      </c>
      <c r="DG51" s="975">
        <v>0</v>
      </c>
      <c r="DH51" s="973">
        <v>6.0873422222222215</v>
      </c>
      <c r="DI51" s="974">
        <v>0</v>
      </c>
      <c r="DJ51" s="974">
        <v>2.2116000000000002</v>
      </c>
      <c r="DK51" s="974">
        <v>0</v>
      </c>
      <c r="DL51" s="974">
        <v>3.9750000067035369</v>
      </c>
      <c r="DM51" s="974">
        <v>0</v>
      </c>
      <c r="DN51" s="974">
        <v>1.6843764705882356</v>
      </c>
      <c r="DO51" s="974">
        <v>0</v>
      </c>
      <c r="DP51" s="974">
        <v>0</v>
      </c>
      <c r="DQ51" s="974">
        <v>0</v>
      </c>
      <c r="DR51" s="974">
        <v>10.090711764705883</v>
      </c>
      <c r="DS51" s="975">
        <v>0</v>
      </c>
      <c r="DT51" s="973">
        <v>6.0427022222222222</v>
      </c>
      <c r="DU51" s="974">
        <v>0</v>
      </c>
      <c r="DV51" s="974">
        <v>2.5536000000000003</v>
      </c>
      <c r="DW51" s="974">
        <v>0</v>
      </c>
      <c r="DX51" s="974">
        <v>3.9428305949388305</v>
      </c>
      <c r="DY51" s="974">
        <v>0</v>
      </c>
      <c r="DZ51" s="974">
        <v>1.9448470588235298</v>
      </c>
      <c r="EA51" s="974">
        <v>0</v>
      </c>
      <c r="EB51" s="974">
        <v>0</v>
      </c>
      <c r="EC51" s="974">
        <v>0</v>
      </c>
      <c r="ED51" s="974">
        <v>11.454476470588236</v>
      </c>
      <c r="EE51" s="975">
        <v>0</v>
      </c>
      <c r="EF51" s="973">
        <v>6.9578222222222221</v>
      </c>
      <c r="EG51" s="974">
        <v>0</v>
      </c>
      <c r="EH51" s="974">
        <v>0.95760000000000001</v>
      </c>
      <c r="EI51" s="974">
        <v>0</v>
      </c>
      <c r="EJ51" s="974">
        <v>4.6023035361153006</v>
      </c>
      <c r="EK51" s="974">
        <v>0</v>
      </c>
      <c r="EL51" s="974">
        <v>0.72931764705882363</v>
      </c>
      <c r="EM51" s="974">
        <v>0</v>
      </c>
      <c r="EN51" s="974">
        <v>0</v>
      </c>
      <c r="EO51" s="974">
        <v>0</v>
      </c>
      <c r="EP51" s="974">
        <v>5.0902411764705899</v>
      </c>
      <c r="EQ51" s="975">
        <v>0</v>
      </c>
      <c r="ER51" s="973">
        <v>6.7123022222222213</v>
      </c>
      <c r="ES51" s="974">
        <v>0</v>
      </c>
      <c r="ET51" s="974">
        <v>1.8696000000000002</v>
      </c>
      <c r="EU51" s="974">
        <v>0</v>
      </c>
      <c r="EV51" s="974">
        <v>4.4253717714094183</v>
      </c>
      <c r="EW51" s="974">
        <v>0</v>
      </c>
      <c r="EX51" s="974">
        <v>1.4239058823529414</v>
      </c>
      <c r="EY51" s="974">
        <v>0</v>
      </c>
      <c r="EZ51" s="974">
        <v>0</v>
      </c>
      <c r="FA51" s="974">
        <v>0</v>
      </c>
      <c r="FB51" s="974">
        <v>8.7269470588235301</v>
      </c>
      <c r="FC51" s="975">
        <v>0</v>
      </c>
      <c r="FD51" s="973">
        <v>2.4522222222222214</v>
      </c>
      <c r="FE51" s="974">
        <v>0</v>
      </c>
      <c r="FF51" s="974">
        <v>3.5112000000000005</v>
      </c>
      <c r="FG51" s="974">
        <v>0</v>
      </c>
      <c r="FH51" s="974">
        <v>1.4565905949388303</v>
      </c>
      <c r="FI51" s="974">
        <v>0</v>
      </c>
      <c r="FJ51" s="974">
        <v>2.6741647058823537</v>
      </c>
      <c r="FK51" s="974">
        <v>0</v>
      </c>
      <c r="FL51" s="974">
        <v>0</v>
      </c>
      <c r="FM51" s="974">
        <v>0</v>
      </c>
      <c r="FN51" s="974">
        <v>15.273017647058827</v>
      </c>
      <c r="FO51" s="975">
        <v>0</v>
      </c>
      <c r="FP51" s="973">
        <v>6.3551822222222221</v>
      </c>
      <c r="FQ51" s="974">
        <v>0</v>
      </c>
      <c r="FR51" s="974">
        <v>1.5960000000000001</v>
      </c>
      <c r="FS51" s="974">
        <v>0</v>
      </c>
      <c r="FT51" s="974">
        <v>4.168016477291772</v>
      </c>
      <c r="FU51" s="974">
        <v>0</v>
      </c>
      <c r="FV51" s="974">
        <v>1.2155294117647062</v>
      </c>
      <c r="FW51" s="974">
        <v>0</v>
      </c>
      <c r="FX51" s="974">
        <v>0</v>
      </c>
      <c r="FY51" s="974">
        <v>0</v>
      </c>
      <c r="FZ51" s="974">
        <v>7.6359352941176484</v>
      </c>
      <c r="GA51" s="975">
        <v>0</v>
      </c>
      <c r="GB51" s="973">
        <v>6.0873422222222215</v>
      </c>
      <c r="GC51" s="974">
        <v>0</v>
      </c>
      <c r="GD51" s="974">
        <v>1.5960000000000001</v>
      </c>
      <c r="GE51" s="974">
        <v>0</v>
      </c>
      <c r="GF51" s="974">
        <v>3.9750000067035369</v>
      </c>
      <c r="GG51" s="974">
        <v>0</v>
      </c>
      <c r="GH51" s="974">
        <v>1.2155294117647062</v>
      </c>
      <c r="GI51" s="974">
        <v>0</v>
      </c>
      <c r="GJ51" s="974">
        <v>0</v>
      </c>
      <c r="GK51" s="974">
        <v>0</v>
      </c>
      <c r="GL51" s="974">
        <v>7.6359352941176484</v>
      </c>
      <c r="GM51" s="975">
        <v>0</v>
      </c>
      <c r="GN51" s="973">
        <v>5.9087822222222224</v>
      </c>
      <c r="GO51" s="974">
        <v>0</v>
      </c>
      <c r="GP51" s="974">
        <v>2.1660000000000004</v>
      </c>
      <c r="GQ51" s="974">
        <v>0</v>
      </c>
      <c r="GR51" s="974">
        <v>3.8463223596447134</v>
      </c>
      <c r="GS51" s="974">
        <v>0</v>
      </c>
      <c r="GT51" s="974">
        <v>1.6496470588235297</v>
      </c>
      <c r="GU51" s="974">
        <v>0</v>
      </c>
      <c r="GV51" s="974">
        <v>0</v>
      </c>
      <c r="GW51" s="974">
        <v>0</v>
      </c>
      <c r="GX51" s="974">
        <v>9.9088764705882362</v>
      </c>
      <c r="GY51" s="975">
        <v>0</v>
      </c>
      <c r="GZ51" s="973">
        <v>5.3082222222222208</v>
      </c>
      <c r="HA51" s="974">
        <v>0</v>
      </c>
      <c r="HB51" s="974">
        <v>2.1888000000000001</v>
      </c>
      <c r="HC51" s="974">
        <v>0</v>
      </c>
      <c r="HD51" s="974">
        <v>3.4297858890564772</v>
      </c>
      <c r="HE51" s="974">
        <v>0</v>
      </c>
      <c r="HF51" s="974">
        <v>1.6670117647058826</v>
      </c>
      <c r="HG51" s="974">
        <v>0</v>
      </c>
      <c r="HH51" s="974">
        <v>0</v>
      </c>
      <c r="HI51" s="974">
        <v>0</v>
      </c>
      <c r="HJ51" s="974">
        <v>9.9997941176470597</v>
      </c>
      <c r="HK51" s="975">
        <v>0</v>
      </c>
      <c r="HL51" s="973">
        <v>6.3775022222222209</v>
      </c>
      <c r="HM51" s="974">
        <v>0</v>
      </c>
      <c r="HN51" s="974">
        <v>0.2964</v>
      </c>
      <c r="HO51" s="974">
        <v>0</v>
      </c>
      <c r="HP51" s="974">
        <v>4.1841011831741248</v>
      </c>
      <c r="HQ51" s="974">
        <v>0</v>
      </c>
      <c r="HR51" s="974">
        <v>0.22574117647058828</v>
      </c>
      <c r="HS51" s="974">
        <v>0</v>
      </c>
      <c r="HT51" s="974">
        <v>0</v>
      </c>
      <c r="HU51" s="974">
        <v>0</v>
      </c>
      <c r="HV51" s="974">
        <v>2.4536294117647066</v>
      </c>
      <c r="HW51" s="975">
        <v>0</v>
      </c>
      <c r="HX51" s="973">
        <v>6.489102222222221</v>
      </c>
      <c r="HY51" s="974">
        <v>0</v>
      </c>
      <c r="HZ51" s="974">
        <v>0.18240000000000003</v>
      </c>
      <c r="IA51" s="974">
        <v>0</v>
      </c>
      <c r="IB51" s="974">
        <v>4.2645247125858887</v>
      </c>
      <c r="IC51" s="974">
        <v>0</v>
      </c>
      <c r="ID51" s="974">
        <v>0.13891764705882356</v>
      </c>
      <c r="IE51" s="974">
        <v>0</v>
      </c>
      <c r="IF51" s="974">
        <v>0</v>
      </c>
      <c r="IG51" s="974">
        <v>0</v>
      </c>
      <c r="IH51" s="974">
        <v>1.9990411764705889</v>
      </c>
      <c r="II51" s="975">
        <v>0</v>
      </c>
      <c r="IJ51" s="973">
        <v>6.913182222222221</v>
      </c>
      <c r="IK51" s="974">
        <v>0</v>
      </c>
      <c r="IL51" s="974">
        <v>1.4592000000000003</v>
      </c>
      <c r="IM51" s="974">
        <v>0</v>
      </c>
      <c r="IN51" s="974">
        <v>4.5701341243505942</v>
      </c>
      <c r="IO51" s="974">
        <v>0</v>
      </c>
      <c r="IP51" s="974">
        <v>1.1113411764705885</v>
      </c>
      <c r="IQ51" s="974">
        <v>0</v>
      </c>
      <c r="IR51" s="974">
        <v>0</v>
      </c>
      <c r="IS51" s="974">
        <v>0</v>
      </c>
      <c r="IT51" s="974">
        <v>7.0904294117647062</v>
      </c>
      <c r="IU51" s="975">
        <v>0</v>
      </c>
      <c r="IV51" s="973">
        <v>6.5560622222222218</v>
      </c>
      <c r="IW51" s="974">
        <v>0</v>
      </c>
      <c r="IX51" s="974">
        <v>0.68400000000000005</v>
      </c>
      <c r="IY51" s="974">
        <v>0</v>
      </c>
      <c r="IZ51" s="974">
        <v>4.3127788302329488</v>
      </c>
      <c r="JA51" s="974">
        <v>0</v>
      </c>
      <c r="JB51" s="974">
        <v>0.52094117647058835</v>
      </c>
      <c r="JC51" s="974">
        <v>0</v>
      </c>
      <c r="JD51" s="974">
        <v>0</v>
      </c>
      <c r="JE51" s="974">
        <v>0</v>
      </c>
      <c r="JF51" s="974">
        <v>3.999229411764706</v>
      </c>
      <c r="JG51" s="975">
        <v>0</v>
      </c>
      <c r="JH51" s="973">
        <v>5.7502222222222219</v>
      </c>
      <c r="JI51" s="974">
        <v>0</v>
      </c>
      <c r="JJ51" s="974">
        <v>2.1888000000000001</v>
      </c>
      <c r="JK51" s="974">
        <v>0</v>
      </c>
      <c r="JL51" s="974">
        <v>3.8011270655270657</v>
      </c>
      <c r="JM51" s="974">
        <v>0</v>
      </c>
      <c r="JN51" s="974">
        <v>1.6670117647058826</v>
      </c>
      <c r="JO51" s="974">
        <v>0</v>
      </c>
      <c r="JP51" s="974">
        <v>0</v>
      </c>
      <c r="JQ51" s="974">
        <v>0</v>
      </c>
      <c r="JR51" s="974">
        <v>9.9997941176470597</v>
      </c>
      <c r="JS51" s="975">
        <v>0</v>
      </c>
      <c r="JT51" s="973">
        <v>6.1319822222222218</v>
      </c>
      <c r="JU51" s="974">
        <v>0</v>
      </c>
      <c r="JV51" s="974">
        <v>1.2312000000000003</v>
      </c>
      <c r="JW51" s="974">
        <v>0</v>
      </c>
      <c r="JX51" s="974">
        <v>4.0071694184682425</v>
      </c>
      <c r="JY51" s="974">
        <v>0</v>
      </c>
      <c r="JZ51" s="974">
        <v>0.93769411764705901</v>
      </c>
      <c r="KA51" s="974">
        <v>0</v>
      </c>
      <c r="KB51" s="974">
        <v>0</v>
      </c>
      <c r="KC51" s="974">
        <v>0</v>
      </c>
      <c r="KD51" s="974">
        <v>6.1812529411764716</v>
      </c>
      <c r="KE51" s="975">
        <v>0</v>
      </c>
      <c r="KF51" s="973">
        <v>6.8239022222222214</v>
      </c>
      <c r="KG51" s="974">
        <v>0</v>
      </c>
      <c r="KH51" s="974">
        <v>1.5276000000000001</v>
      </c>
      <c r="KI51" s="974">
        <v>0</v>
      </c>
      <c r="KJ51" s="974">
        <v>4.5057953008211831</v>
      </c>
      <c r="KK51" s="974">
        <v>0</v>
      </c>
      <c r="KL51" s="974">
        <v>1.1634352941176473</v>
      </c>
      <c r="KM51" s="974">
        <v>0</v>
      </c>
      <c r="KN51" s="974">
        <v>0</v>
      </c>
      <c r="KO51" s="974">
        <v>0</v>
      </c>
      <c r="KP51" s="974">
        <v>7.3631823529411786</v>
      </c>
      <c r="KQ51" s="975">
        <v>0</v>
      </c>
      <c r="KR51" s="973">
        <v>5.819502222222221</v>
      </c>
      <c r="KS51" s="974">
        <v>0</v>
      </c>
      <c r="KT51" s="974">
        <v>1.6416000000000002</v>
      </c>
      <c r="KU51" s="974">
        <v>0</v>
      </c>
      <c r="KV51" s="974">
        <v>3.7819835361153009</v>
      </c>
      <c r="KW51" s="974">
        <v>0</v>
      </c>
      <c r="KX51" s="974">
        <v>1.2502588235294121</v>
      </c>
      <c r="KY51" s="974">
        <v>0</v>
      </c>
      <c r="KZ51" s="974">
        <v>0</v>
      </c>
      <c r="LA51" s="974">
        <v>0</v>
      </c>
      <c r="LB51" s="974">
        <v>7.8177705882352964</v>
      </c>
      <c r="LC51" s="975">
        <v>0</v>
      </c>
      <c r="LD51" s="973">
        <v>6.4444622222222216</v>
      </c>
      <c r="LE51" s="974">
        <v>0</v>
      </c>
      <c r="LF51" s="974">
        <v>0.98040000000000005</v>
      </c>
      <c r="LG51" s="974">
        <v>0</v>
      </c>
      <c r="LH51" s="974">
        <v>4.168016477291772</v>
      </c>
      <c r="LI51" s="974">
        <v>0</v>
      </c>
      <c r="LJ51" s="974">
        <v>0.74668235294117657</v>
      </c>
      <c r="LK51" s="974">
        <v>0</v>
      </c>
      <c r="LL51" s="974">
        <v>0</v>
      </c>
      <c r="LM51" s="974">
        <v>0</v>
      </c>
      <c r="LN51" s="974">
        <v>5.1811588235294126</v>
      </c>
      <c r="LO51" s="975">
        <v>0</v>
      </c>
      <c r="LP51" s="973">
        <v>4.6622222222222209</v>
      </c>
      <c r="LQ51" s="974">
        <v>0</v>
      </c>
      <c r="LR51" s="974">
        <v>1.7784000000000002</v>
      </c>
      <c r="LS51" s="974">
        <v>0</v>
      </c>
      <c r="LT51" s="974">
        <v>2.9669764772917717</v>
      </c>
      <c r="LU51" s="974">
        <v>0</v>
      </c>
      <c r="LV51" s="974">
        <v>1.3544470588235296</v>
      </c>
      <c r="LW51" s="974">
        <v>0</v>
      </c>
      <c r="LX51" s="974">
        <v>0</v>
      </c>
      <c r="LY51" s="974">
        <v>0</v>
      </c>
      <c r="LZ51" s="974">
        <v>8.3632764705882376</v>
      </c>
      <c r="MA51" s="975">
        <v>0</v>
      </c>
      <c r="MB51" s="973">
        <v>6.7792622222222221</v>
      </c>
      <c r="MC51" s="974">
        <v>0</v>
      </c>
      <c r="MD51" s="974">
        <v>1.8468</v>
      </c>
      <c r="ME51" s="974">
        <v>0</v>
      </c>
      <c r="MF51" s="974">
        <v>4.4736258890564784</v>
      </c>
      <c r="MG51" s="974">
        <v>0</v>
      </c>
      <c r="MH51" s="974">
        <v>1.4065411764705884</v>
      </c>
      <c r="MI51" s="974">
        <v>0</v>
      </c>
      <c r="MJ51" s="974">
        <v>0</v>
      </c>
      <c r="MK51" s="974">
        <v>0</v>
      </c>
      <c r="ML51" s="974">
        <v>8.6360294117647065</v>
      </c>
      <c r="MM51" s="975">
        <v>0</v>
      </c>
      <c r="MN51" s="973">
        <v>4.6962222222222216</v>
      </c>
      <c r="MO51" s="974">
        <v>0</v>
      </c>
      <c r="MP51" s="974">
        <v>4.0128000000000004</v>
      </c>
      <c r="MQ51" s="974">
        <v>0</v>
      </c>
      <c r="MR51" s="974">
        <v>2.915621183174125</v>
      </c>
      <c r="MS51" s="974">
        <v>0</v>
      </c>
      <c r="MT51" s="974">
        <v>3.0561882352941185</v>
      </c>
      <c r="MU51" s="974">
        <v>0</v>
      </c>
      <c r="MV51" s="974">
        <v>0</v>
      </c>
      <c r="MW51" s="974">
        <v>0</v>
      </c>
      <c r="MX51" s="974">
        <v>17.273205882352944</v>
      </c>
      <c r="MY51" s="975">
        <v>0</v>
      </c>
      <c r="MZ51" s="973">
        <v>4.3562222222222218</v>
      </c>
      <c r="NA51" s="974">
        <v>0</v>
      </c>
      <c r="NB51" s="974">
        <v>2.4852000000000003</v>
      </c>
      <c r="NC51" s="974">
        <v>0</v>
      </c>
      <c r="ND51" s="974">
        <v>2.6299741243505959</v>
      </c>
      <c r="NE51" s="974">
        <v>0</v>
      </c>
      <c r="NF51" s="974">
        <v>1.8927529411764712</v>
      </c>
      <c r="NG51" s="974">
        <v>0</v>
      </c>
      <c r="NH51" s="974">
        <v>0</v>
      </c>
      <c r="NI51" s="974">
        <v>0</v>
      </c>
      <c r="NJ51" s="974">
        <v>11.181723529411766</v>
      </c>
      <c r="NK51" s="975">
        <v>0</v>
      </c>
      <c r="NL51" s="973">
        <v>5.8182222222222215</v>
      </c>
      <c r="NM51" s="974">
        <v>0</v>
      </c>
      <c r="NN51" s="974">
        <v>2.1204000000000005</v>
      </c>
      <c r="NO51" s="974">
        <v>0</v>
      </c>
      <c r="NP51" s="974">
        <v>3.8582564772917713</v>
      </c>
      <c r="NQ51" s="974">
        <v>0</v>
      </c>
      <c r="NR51" s="974">
        <v>1.614917647058824</v>
      </c>
      <c r="NS51" s="974">
        <v>0</v>
      </c>
      <c r="NT51" s="974">
        <v>0</v>
      </c>
      <c r="NU51" s="974">
        <v>0</v>
      </c>
      <c r="NV51" s="974">
        <v>9.7270411764705891</v>
      </c>
      <c r="NW51" s="975">
        <v>0</v>
      </c>
      <c r="NX51" s="973">
        <v>6.1989422222222217</v>
      </c>
      <c r="NY51" s="974">
        <v>0</v>
      </c>
      <c r="NZ51" s="974">
        <v>1.71</v>
      </c>
      <c r="OA51" s="974">
        <v>0</v>
      </c>
      <c r="OB51" s="974">
        <v>4.0554235361153017</v>
      </c>
      <c r="OC51" s="974">
        <v>0</v>
      </c>
      <c r="OD51" s="974">
        <v>1.3023529411764709</v>
      </c>
      <c r="OE51" s="974">
        <v>0</v>
      </c>
      <c r="OF51" s="974">
        <v>0</v>
      </c>
      <c r="OG51" s="974">
        <v>0</v>
      </c>
      <c r="OH51" s="974">
        <v>8.0905235294117652</v>
      </c>
      <c r="OI51" s="975">
        <v>0</v>
      </c>
      <c r="OJ51" s="973">
        <v>5.7162222222222221</v>
      </c>
      <c r="OK51" s="974">
        <v>0</v>
      </c>
      <c r="OL51" s="974">
        <v>2.7360000000000002</v>
      </c>
      <c r="OM51" s="974">
        <v>0</v>
      </c>
      <c r="ON51" s="974">
        <v>3.7725623596447133</v>
      </c>
      <c r="OO51" s="974">
        <v>0</v>
      </c>
      <c r="OP51" s="974">
        <v>2.0837647058823534</v>
      </c>
      <c r="OQ51" s="974">
        <v>0</v>
      </c>
      <c r="OR51" s="974">
        <v>0</v>
      </c>
      <c r="OS51" s="974">
        <v>0</v>
      </c>
      <c r="OT51" s="974">
        <v>12.181817647058825</v>
      </c>
      <c r="OU51" s="975">
        <v>0</v>
      </c>
      <c r="OV51" s="973">
        <v>6.3105422222222218</v>
      </c>
      <c r="OW51" s="974">
        <v>0</v>
      </c>
      <c r="OX51" s="974">
        <v>1.3680000000000001</v>
      </c>
      <c r="OY51" s="974">
        <v>0</v>
      </c>
      <c r="OZ51" s="974">
        <v>4.1358470655270656</v>
      </c>
      <c r="PA51" s="974">
        <v>0</v>
      </c>
      <c r="PB51" s="974">
        <v>1.0418823529411767</v>
      </c>
      <c r="PC51" s="974">
        <v>0</v>
      </c>
      <c r="PD51" s="974">
        <v>0</v>
      </c>
      <c r="PE51" s="974">
        <v>0</v>
      </c>
      <c r="PF51" s="974">
        <v>6.726758823529412</v>
      </c>
      <c r="PG51" s="975">
        <v>0</v>
      </c>
      <c r="PH51" s="973">
        <v>5.7079022222222209</v>
      </c>
      <c r="PI51" s="974">
        <v>0</v>
      </c>
      <c r="PJ51" s="974">
        <v>3.6936</v>
      </c>
      <c r="PK51" s="974">
        <v>0</v>
      </c>
      <c r="PL51" s="974">
        <v>3.7015600067035361</v>
      </c>
      <c r="PM51" s="974">
        <v>0</v>
      </c>
      <c r="PN51" s="974">
        <v>2.8130823529411768</v>
      </c>
      <c r="PO51" s="974">
        <v>0</v>
      </c>
      <c r="PP51" s="974">
        <v>0</v>
      </c>
      <c r="PQ51" s="974">
        <v>0</v>
      </c>
      <c r="PR51" s="974">
        <v>16.000358823529414</v>
      </c>
      <c r="PS51" s="975">
        <v>0</v>
      </c>
      <c r="PT51" s="973">
        <v>6.9578222222222221</v>
      </c>
      <c r="PU51" s="974">
        <v>0</v>
      </c>
      <c r="PV51" s="974">
        <v>1.7784000000000002</v>
      </c>
      <c r="PW51" s="974">
        <v>0</v>
      </c>
      <c r="PX51" s="974">
        <v>4.6023035361153006</v>
      </c>
      <c r="PY51" s="974">
        <v>0</v>
      </c>
      <c r="PZ51" s="974">
        <v>1.3544470588235296</v>
      </c>
      <c r="QA51" s="974">
        <v>0</v>
      </c>
      <c r="QB51" s="974">
        <v>0</v>
      </c>
      <c r="QC51" s="974">
        <v>0</v>
      </c>
      <c r="QD51" s="974">
        <v>8.3632764705882376</v>
      </c>
      <c r="QE51" s="975">
        <v>0</v>
      </c>
      <c r="QF51" s="973">
        <v>6.6453422222222214</v>
      </c>
      <c r="QG51" s="974">
        <v>0</v>
      </c>
      <c r="QH51" s="974">
        <v>1.6644000000000001</v>
      </c>
      <c r="QI51" s="974">
        <v>0</v>
      </c>
      <c r="QJ51" s="974">
        <v>4.3449482419976544</v>
      </c>
      <c r="QK51" s="974">
        <v>0</v>
      </c>
      <c r="QL51" s="974">
        <v>1.267623529411765</v>
      </c>
      <c r="QM51" s="974">
        <v>0</v>
      </c>
      <c r="QN51" s="974">
        <v>0</v>
      </c>
      <c r="QO51" s="974">
        <v>0</v>
      </c>
      <c r="QP51" s="974">
        <v>7.9086882352941181</v>
      </c>
      <c r="QQ51" s="975">
        <v>0</v>
      </c>
      <c r="QR51" s="973">
        <v>5.0702222222222213</v>
      </c>
      <c r="QS51" s="974">
        <v>0</v>
      </c>
      <c r="QT51" s="974">
        <v>2.5308000000000002</v>
      </c>
      <c r="QU51" s="974">
        <v>0</v>
      </c>
      <c r="QV51" s="974">
        <v>3.229832947880007</v>
      </c>
      <c r="QW51" s="974">
        <v>0</v>
      </c>
      <c r="QX51" s="974">
        <v>1.9274823529411766</v>
      </c>
      <c r="QY51" s="974">
        <v>0</v>
      </c>
      <c r="QZ51" s="974">
        <v>0</v>
      </c>
      <c r="RA51" s="974">
        <v>0</v>
      </c>
      <c r="RB51" s="974">
        <v>11.363558823529413</v>
      </c>
      <c r="RC51" s="975">
        <v>0</v>
      </c>
      <c r="RD51" s="973">
        <v>6.7123022222222213</v>
      </c>
      <c r="RE51" s="974">
        <v>0</v>
      </c>
      <c r="RF51" s="974">
        <v>1.7556000000000003</v>
      </c>
      <c r="RG51" s="974">
        <v>0</v>
      </c>
      <c r="RH51" s="974">
        <v>4.4253717714094183</v>
      </c>
      <c r="RI51" s="974">
        <v>0</v>
      </c>
      <c r="RJ51" s="974">
        <v>1.3370823529411768</v>
      </c>
      <c r="RK51" s="974">
        <v>0</v>
      </c>
      <c r="RL51" s="974">
        <v>0</v>
      </c>
      <c r="RM51" s="974">
        <v>0</v>
      </c>
      <c r="RN51" s="974">
        <v>8.2723588235294123</v>
      </c>
      <c r="RO51" s="975">
        <v>0</v>
      </c>
      <c r="RP51" s="973">
        <v>6.5114222222222216</v>
      </c>
      <c r="RQ51" s="974">
        <v>0</v>
      </c>
      <c r="RR51" s="974">
        <v>1.71</v>
      </c>
      <c r="RS51" s="974">
        <v>0</v>
      </c>
      <c r="RT51" s="974">
        <v>4.2645247125858887</v>
      </c>
      <c r="RU51" s="974">
        <v>0</v>
      </c>
      <c r="RV51" s="974">
        <v>1.3023529411764709</v>
      </c>
      <c r="RW51" s="974">
        <v>0</v>
      </c>
      <c r="RX51" s="974">
        <v>0</v>
      </c>
      <c r="RY51" s="974">
        <v>0</v>
      </c>
      <c r="RZ51" s="974">
        <v>8.0905235294117652</v>
      </c>
      <c r="SA51" s="975">
        <v>0</v>
      </c>
    </row>
  </sheetData>
  <sheetProtection algorithmName="SHA-512" hashValue="q5VnBezaM5eG8XRxj9mgAniF0iN/YHnM/jdctS6nGqpc/kXhxfRQQBL3CLKDWThd0kae4J6nT0pbuo6RjdYKlg==" saltValue="wSjtxDyejcFqAWmGSVmuIA==" spinCount="100000" sheet="1" objects="1" scenarios="1"/>
  <pageMargins left="0.7" right="0.7" top="0.78740157499999996" bottom="0.78740157499999996" header="0.3" footer="0.3"/>
  <pageSetup paperSize="9" orientation="portrait" horizontalDpi="4294967293" verticalDpi="0" r:id="rId1"/>
  <headerFooter>
    <oddHeader>&amp;LWärmepumpe Erdsonden 35°C&amp;CVersion 1.3&amp;R4/20/2025</oddHeader>
    <oddFooter>&amp;CSIA 2024, Copyright © 2017 by SIA Zurich</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blStd"/>
  <dimension ref="A1:V50"/>
  <sheetViews>
    <sheetView showGridLines="0" zoomScale="80" zoomScaleNormal="80" workbookViewId="0">
      <selection activeCell="W52" sqref="W52"/>
    </sheetView>
  </sheetViews>
  <sheetFormatPr baseColWidth="10" defaultColWidth="11.4609375" defaultRowHeight="14.6"/>
  <cols>
    <col min="1" max="1" width="6.53515625" style="198" customWidth="1"/>
    <col min="2" max="2" width="28.53515625" style="198" customWidth="1"/>
    <col min="3" max="3" width="10.4609375" style="198" bestFit="1" customWidth="1"/>
    <col min="4" max="9" width="8.69140625" style="198" customWidth="1"/>
    <col min="10" max="10" width="6" style="198" bestFit="1" customWidth="1"/>
    <col min="11" max="11" width="11.4609375" style="198"/>
    <col min="12" max="12" width="12.765625" style="198" bestFit="1" customWidth="1"/>
    <col min="13" max="16384" width="11.4609375" style="198"/>
  </cols>
  <sheetData>
    <row r="1" spans="1:22" ht="15.45">
      <c r="A1" s="9" t="s">
        <v>1414</v>
      </c>
      <c r="B1" s="33"/>
      <c r="C1" s="22"/>
      <c r="D1" s="22"/>
      <c r="E1" s="22"/>
      <c r="F1" s="22"/>
      <c r="G1" s="22"/>
      <c r="H1" s="22"/>
      <c r="I1" s="22"/>
    </row>
    <row r="2" spans="1:22">
      <c r="A2" s="41"/>
      <c r="B2" s="41"/>
      <c r="C2" s="41"/>
      <c r="D2" s="41"/>
      <c r="E2" s="41"/>
      <c r="F2" s="41"/>
      <c r="G2" s="41"/>
      <c r="H2" s="41"/>
      <c r="I2" s="41"/>
      <c r="J2" s="41"/>
      <c r="L2" s="902" t="s">
        <v>1237</v>
      </c>
    </row>
    <row r="3" spans="1:22">
      <c r="A3" s="10" t="str">
        <f>Begriffe!F66</f>
        <v>Raumnutzung</v>
      </c>
      <c r="B3" s="199"/>
      <c r="C3" s="11" t="str">
        <f>Begriffe!F68</f>
        <v>Personen</v>
      </c>
      <c r="D3" s="833" t="str">
        <f>Begriffe!F72</f>
        <v>Lüftung</v>
      </c>
      <c r="E3" s="834"/>
      <c r="F3" s="834"/>
      <c r="G3" s="835"/>
      <c r="H3" s="833" t="str">
        <f>Begriffe!F75</f>
        <v>Warmwasser</v>
      </c>
      <c r="I3" s="835"/>
      <c r="L3" s="994" t="s">
        <v>1429</v>
      </c>
      <c r="Q3" s="899" t="s">
        <v>1238</v>
      </c>
      <c r="R3" s="899"/>
      <c r="S3" s="899" t="s">
        <v>1240</v>
      </c>
      <c r="T3" s="899"/>
      <c r="U3" s="899" t="s">
        <v>650</v>
      </c>
      <c r="V3" s="899"/>
    </row>
    <row r="4" spans="1:22" ht="134.25" customHeight="1">
      <c r="A4" s="26" t="s">
        <v>95</v>
      </c>
      <c r="B4" s="27" t="str">
        <f>Begriffe!F65</f>
        <v>Bezeichnung</v>
      </c>
      <c r="C4" s="207" t="s">
        <v>239</v>
      </c>
      <c r="D4" s="836" t="s">
        <v>1205</v>
      </c>
      <c r="E4" s="837" t="s">
        <v>1206</v>
      </c>
      <c r="F4" s="837" t="s">
        <v>1207</v>
      </c>
      <c r="G4" s="837" t="s">
        <v>1208</v>
      </c>
      <c r="H4" s="836" t="s">
        <v>240</v>
      </c>
      <c r="I4" s="844" t="s">
        <v>1209</v>
      </c>
      <c r="L4" s="837" t="s">
        <v>1229</v>
      </c>
      <c r="M4" s="837" t="s">
        <v>1230</v>
      </c>
      <c r="N4" s="837" t="s">
        <v>1231</v>
      </c>
      <c r="O4" s="837" t="s">
        <v>1232</v>
      </c>
      <c r="P4" s="837" t="s">
        <v>1233</v>
      </c>
      <c r="Q4" s="837" t="s">
        <v>1239</v>
      </c>
      <c r="R4" s="837" t="s">
        <v>1232</v>
      </c>
      <c r="S4" s="837" t="s">
        <v>1239</v>
      </c>
      <c r="T4" s="837" t="s">
        <v>1232</v>
      </c>
      <c r="U4" s="837" t="s">
        <v>1239</v>
      </c>
      <c r="V4" s="837" t="s">
        <v>1232</v>
      </c>
    </row>
    <row r="5" spans="1:22">
      <c r="A5" s="28"/>
      <c r="B5" s="200"/>
      <c r="C5" s="23" t="s">
        <v>135</v>
      </c>
      <c r="D5" s="857" t="s">
        <v>241</v>
      </c>
      <c r="E5" s="858" t="s">
        <v>241</v>
      </c>
      <c r="F5" s="858" t="s">
        <v>241</v>
      </c>
      <c r="G5" s="859" t="s">
        <v>241</v>
      </c>
      <c r="H5" s="845" t="s">
        <v>242</v>
      </c>
      <c r="I5" s="846" t="s">
        <v>651</v>
      </c>
      <c r="L5" s="899" t="s">
        <v>1234</v>
      </c>
      <c r="M5" s="899" t="s">
        <v>1235</v>
      </c>
      <c r="N5" s="899"/>
      <c r="O5" s="899" t="s">
        <v>199</v>
      </c>
      <c r="P5" s="899" t="s">
        <v>84</v>
      </c>
      <c r="Q5" s="899" t="s">
        <v>199</v>
      </c>
      <c r="R5" s="899" t="s">
        <v>199</v>
      </c>
      <c r="S5" s="899" t="s">
        <v>199</v>
      </c>
      <c r="T5" s="899" t="s">
        <v>199</v>
      </c>
      <c r="U5" s="899" t="s">
        <v>199</v>
      </c>
      <c r="V5" s="899" t="s">
        <v>199</v>
      </c>
    </row>
    <row r="6" spans="1:22">
      <c r="A6" s="29" t="s">
        <v>37</v>
      </c>
      <c r="B6" s="201" t="str">
        <f>Begriffe!F13</f>
        <v>Wohnen MFH</v>
      </c>
      <c r="C6" s="24">
        <v>35</v>
      </c>
      <c r="D6" s="925">
        <v>0.82857142857142863</v>
      </c>
      <c r="E6" s="838"/>
      <c r="F6" s="922">
        <v>0.15</v>
      </c>
      <c r="G6" s="848">
        <v>0.3</v>
      </c>
      <c r="H6" s="847">
        <v>35</v>
      </c>
      <c r="I6" s="848">
        <f>H6/C6</f>
        <v>1</v>
      </c>
      <c r="J6" s="208" t="str">
        <f>A6</f>
        <v>1.1</v>
      </c>
      <c r="L6" s="900">
        <v>0.82857142857142863</v>
      </c>
      <c r="M6" s="899">
        <v>0.28000000000000003</v>
      </c>
      <c r="N6" s="899" t="s">
        <v>648</v>
      </c>
      <c r="O6" s="899">
        <v>8760</v>
      </c>
      <c r="P6" s="901">
        <v>2.0323200000000003</v>
      </c>
      <c r="Q6" s="899">
        <v>8760</v>
      </c>
      <c r="R6" s="899">
        <v>8760</v>
      </c>
      <c r="S6" s="899">
        <v>7540</v>
      </c>
      <c r="T6" s="899">
        <v>6440</v>
      </c>
      <c r="U6" s="899">
        <v>5750</v>
      </c>
      <c r="V6" s="899">
        <v>5100</v>
      </c>
    </row>
    <row r="7" spans="1:22">
      <c r="A7" s="29" t="s">
        <v>235</v>
      </c>
      <c r="B7" s="201" t="str">
        <f>Begriffe!F14</f>
        <v>Wohnen EFH</v>
      </c>
      <c r="C7" s="24">
        <v>50</v>
      </c>
      <c r="D7" s="925">
        <v>0.57999999999999996</v>
      </c>
      <c r="E7" s="838"/>
      <c r="F7" s="922">
        <v>0.15</v>
      </c>
      <c r="G7" s="848">
        <v>0.3</v>
      </c>
      <c r="H7" s="847">
        <v>40</v>
      </c>
      <c r="I7" s="848">
        <f t="shared" ref="I7:I11" si="0">H7/C7</f>
        <v>0.8</v>
      </c>
      <c r="J7" s="208" t="str">
        <f t="shared" ref="J7:J50" si="1">A7</f>
        <v>1.2</v>
      </c>
      <c r="L7" s="900">
        <v>0.57999999999999996</v>
      </c>
      <c r="M7" s="899">
        <v>0.28000000000000003</v>
      </c>
      <c r="N7" s="899" t="s">
        <v>648</v>
      </c>
      <c r="O7" s="899">
        <v>8760</v>
      </c>
      <c r="P7" s="901">
        <v>1.4226240000000003</v>
      </c>
      <c r="Q7" s="899">
        <v>8760</v>
      </c>
      <c r="R7" s="899">
        <v>8760</v>
      </c>
      <c r="S7" s="899">
        <v>7540</v>
      </c>
      <c r="T7" s="899">
        <v>6440</v>
      </c>
      <c r="U7" s="899">
        <v>5750</v>
      </c>
      <c r="V7" s="899">
        <v>5100</v>
      </c>
    </row>
    <row r="8" spans="1:22">
      <c r="A8" s="30" t="s">
        <v>38</v>
      </c>
      <c r="B8" s="202" t="str">
        <f>Begriffe!F15</f>
        <v xml:space="preserve">Hotelzimmer </v>
      </c>
      <c r="C8" s="25">
        <v>15</v>
      </c>
      <c r="D8" s="926">
        <v>1.9333333333333333</v>
      </c>
      <c r="E8" s="840"/>
      <c r="F8" s="923">
        <v>0.15</v>
      </c>
      <c r="G8" s="850">
        <v>0.3</v>
      </c>
      <c r="H8" s="849">
        <v>40</v>
      </c>
      <c r="I8" s="850">
        <f t="shared" si="0"/>
        <v>2.6666666666666665</v>
      </c>
      <c r="J8" s="208" t="str">
        <f t="shared" si="1"/>
        <v>2.1</v>
      </c>
      <c r="L8" s="900">
        <v>1.9333333333333333</v>
      </c>
      <c r="M8" s="899">
        <v>0.55000000000000004</v>
      </c>
      <c r="N8" s="899" t="s">
        <v>648</v>
      </c>
      <c r="O8" s="899">
        <v>7300</v>
      </c>
      <c r="P8" s="901">
        <v>7.7623333333333342</v>
      </c>
      <c r="Q8" s="899">
        <v>7300</v>
      </c>
      <c r="R8" s="899">
        <v>7300</v>
      </c>
      <c r="S8" s="899">
        <v>6330</v>
      </c>
      <c r="T8" s="899">
        <v>5440</v>
      </c>
      <c r="U8" s="899">
        <v>4850</v>
      </c>
      <c r="V8" s="899">
        <v>4330</v>
      </c>
    </row>
    <row r="9" spans="1:22">
      <c r="A9" s="31" t="s">
        <v>39</v>
      </c>
      <c r="B9" s="203" t="str">
        <f>Begriffe!F16</f>
        <v>Empfang, Lobby</v>
      </c>
      <c r="C9" s="23">
        <v>5</v>
      </c>
      <c r="D9" s="927">
        <v>5.8</v>
      </c>
      <c r="E9" s="842"/>
      <c r="F9" s="924">
        <v>0.15</v>
      </c>
      <c r="G9" s="852">
        <v>0.3</v>
      </c>
      <c r="H9" s="851"/>
      <c r="I9" s="852"/>
      <c r="J9" s="208" t="str">
        <f t="shared" si="1"/>
        <v>2.2</v>
      </c>
      <c r="L9" s="900">
        <v>5.8</v>
      </c>
      <c r="M9" s="899">
        <v>0.55000000000000004</v>
      </c>
      <c r="N9" s="899" t="s">
        <v>649</v>
      </c>
      <c r="O9" s="899">
        <v>4340</v>
      </c>
      <c r="P9" s="901">
        <v>13.8446</v>
      </c>
      <c r="Q9" s="899">
        <v>8760</v>
      </c>
      <c r="R9" s="899">
        <v>8760</v>
      </c>
      <c r="S9" s="899">
        <v>6450</v>
      </c>
      <c r="T9" s="899">
        <v>4340</v>
      </c>
      <c r="U9" s="899">
        <v>4650</v>
      </c>
      <c r="V9" s="899">
        <v>3690</v>
      </c>
    </row>
    <row r="10" spans="1:22">
      <c r="A10" s="30" t="s">
        <v>40</v>
      </c>
      <c r="B10" s="202" t="str">
        <f>Begriffe!F17</f>
        <v>Einzel-, Gruppenbüro</v>
      </c>
      <c r="C10" s="25">
        <v>14</v>
      </c>
      <c r="D10" s="926">
        <v>2.0714285714285716</v>
      </c>
      <c r="E10" s="840"/>
      <c r="F10" s="923">
        <v>0.15</v>
      </c>
      <c r="G10" s="850">
        <v>0.3</v>
      </c>
      <c r="H10" s="849">
        <v>3</v>
      </c>
      <c r="I10" s="850">
        <f t="shared" si="0"/>
        <v>0.21428571428571427</v>
      </c>
      <c r="J10" s="208" t="str">
        <f t="shared" si="1"/>
        <v>3.1</v>
      </c>
      <c r="L10" s="900">
        <v>2.0714285714285716</v>
      </c>
      <c r="M10" s="899">
        <v>0.55000000000000004</v>
      </c>
      <c r="N10" s="899" t="s">
        <v>648</v>
      </c>
      <c r="O10" s="899">
        <v>3900</v>
      </c>
      <c r="P10" s="901">
        <v>4.4432142857142862</v>
      </c>
      <c r="Q10" s="899">
        <v>3900</v>
      </c>
      <c r="R10" s="899">
        <v>3900</v>
      </c>
      <c r="S10" s="899">
        <v>3290</v>
      </c>
      <c r="T10" s="899">
        <v>2740</v>
      </c>
      <c r="U10" s="899">
        <v>2160</v>
      </c>
      <c r="V10" s="899">
        <v>1780</v>
      </c>
    </row>
    <row r="11" spans="1:22">
      <c r="A11" s="32" t="s">
        <v>41</v>
      </c>
      <c r="B11" s="204" t="str">
        <f>Begriffe!F18</f>
        <v>Grossraumbüro</v>
      </c>
      <c r="C11" s="24">
        <v>10</v>
      </c>
      <c r="D11" s="925">
        <v>2.9</v>
      </c>
      <c r="E11" s="838"/>
      <c r="F11" s="922">
        <v>0.15</v>
      </c>
      <c r="G11" s="848">
        <v>0.3</v>
      </c>
      <c r="H11" s="847">
        <v>3</v>
      </c>
      <c r="I11" s="848">
        <f t="shared" si="0"/>
        <v>0.3</v>
      </c>
      <c r="J11" s="208" t="str">
        <f t="shared" si="1"/>
        <v>3.2</v>
      </c>
      <c r="L11" s="900">
        <v>2.9</v>
      </c>
      <c r="M11" s="899">
        <v>0.55000000000000004</v>
      </c>
      <c r="N11" s="899" t="s">
        <v>648</v>
      </c>
      <c r="O11" s="899">
        <v>3900</v>
      </c>
      <c r="P11" s="901">
        <v>6.2205000000000004</v>
      </c>
      <c r="Q11" s="899">
        <v>3900</v>
      </c>
      <c r="R11" s="899">
        <v>3900</v>
      </c>
      <c r="S11" s="899">
        <v>3290</v>
      </c>
      <c r="T11" s="899">
        <v>2740</v>
      </c>
      <c r="U11" s="899">
        <v>2160</v>
      </c>
      <c r="V11" s="899">
        <v>1780</v>
      </c>
    </row>
    <row r="12" spans="1:22">
      <c r="A12" s="32" t="s">
        <v>42</v>
      </c>
      <c r="B12" s="204" t="str">
        <f>Begriffe!F19</f>
        <v>Sitzungszimmer</v>
      </c>
      <c r="C12" s="24">
        <v>3</v>
      </c>
      <c r="D12" s="925">
        <v>9.6666666666666661</v>
      </c>
      <c r="E12" s="838"/>
      <c r="F12" s="922">
        <v>0.15</v>
      </c>
      <c r="G12" s="848">
        <v>0.3</v>
      </c>
      <c r="H12" s="847"/>
      <c r="I12" s="848"/>
      <c r="J12" s="208" t="str">
        <f t="shared" si="1"/>
        <v>3.3</v>
      </c>
      <c r="L12" s="900">
        <v>9.6666666666666661</v>
      </c>
      <c r="M12" s="899">
        <v>0.55000000000000004</v>
      </c>
      <c r="N12" s="899" t="s">
        <v>650</v>
      </c>
      <c r="O12" s="899">
        <v>1090</v>
      </c>
      <c r="P12" s="901">
        <v>5.7951666666666659</v>
      </c>
      <c r="Q12" s="899">
        <v>3120</v>
      </c>
      <c r="R12" s="899">
        <v>3120</v>
      </c>
      <c r="S12" s="899">
        <v>2430</v>
      </c>
      <c r="T12" s="899">
        <v>1800</v>
      </c>
      <c r="U12" s="899">
        <v>1430</v>
      </c>
      <c r="V12" s="899">
        <v>1090</v>
      </c>
    </row>
    <row r="13" spans="1:22">
      <c r="A13" s="32" t="s">
        <v>43</v>
      </c>
      <c r="B13" s="203" t="str">
        <f>Begriffe!F20</f>
        <v>Schalterhalle, Empfang</v>
      </c>
      <c r="C13" s="24">
        <v>12</v>
      </c>
      <c r="D13" s="925">
        <v>2.4166666666666665</v>
      </c>
      <c r="E13" s="838"/>
      <c r="F13" s="922">
        <v>0.15</v>
      </c>
      <c r="G13" s="848">
        <v>0.3</v>
      </c>
      <c r="H13" s="847"/>
      <c r="I13" s="848"/>
      <c r="J13" s="208" t="str">
        <f t="shared" si="1"/>
        <v>3.4</v>
      </c>
      <c r="L13" s="900">
        <v>2.4166666666666665</v>
      </c>
      <c r="M13" s="899">
        <v>0.55000000000000004</v>
      </c>
      <c r="N13" s="899" t="s">
        <v>648</v>
      </c>
      <c r="O13" s="899">
        <v>3900</v>
      </c>
      <c r="P13" s="901">
        <v>5.1837499999999999</v>
      </c>
      <c r="Q13" s="899">
        <v>3900</v>
      </c>
      <c r="R13" s="899">
        <v>3900</v>
      </c>
      <c r="S13" s="899">
        <v>3290</v>
      </c>
      <c r="T13" s="899">
        <v>2740</v>
      </c>
      <c r="U13" s="899">
        <v>2160</v>
      </c>
      <c r="V13" s="899">
        <v>1780</v>
      </c>
    </row>
    <row r="14" spans="1:22">
      <c r="A14" s="34" t="s">
        <v>44</v>
      </c>
      <c r="B14" s="204" t="str">
        <f>Begriffe!F21</f>
        <v>Schulzimmer</v>
      </c>
      <c r="C14" s="25">
        <v>4</v>
      </c>
      <c r="D14" s="926">
        <v>7.25</v>
      </c>
      <c r="E14" s="840"/>
      <c r="F14" s="923">
        <v>0.15</v>
      </c>
      <c r="G14" s="850">
        <v>0.3</v>
      </c>
      <c r="H14" s="849">
        <v>1.5</v>
      </c>
      <c r="I14" s="850">
        <f t="shared" ref="I14" si="2">H14/C14</f>
        <v>0.375</v>
      </c>
      <c r="J14" s="208" t="str">
        <f t="shared" si="1"/>
        <v>4.1</v>
      </c>
      <c r="L14" s="900">
        <v>7.25</v>
      </c>
      <c r="M14" s="899">
        <v>0.34</v>
      </c>
      <c r="N14" s="899" t="s">
        <v>650</v>
      </c>
      <c r="O14" s="899">
        <v>1720</v>
      </c>
      <c r="P14" s="901">
        <v>4.2397999999999998</v>
      </c>
      <c r="Q14" s="899">
        <v>3585</v>
      </c>
      <c r="R14" s="899">
        <v>3585</v>
      </c>
      <c r="S14" s="899">
        <v>3030</v>
      </c>
      <c r="T14" s="899">
        <v>2520</v>
      </c>
      <c r="U14" s="899">
        <v>2070</v>
      </c>
      <c r="V14" s="899">
        <v>1720</v>
      </c>
    </row>
    <row r="15" spans="1:22">
      <c r="A15" s="32" t="s">
        <v>45</v>
      </c>
      <c r="B15" s="204" t="str">
        <f>Begriffe!F22</f>
        <v>Lehrerzimmer</v>
      </c>
      <c r="C15" s="24">
        <v>4</v>
      </c>
      <c r="D15" s="925">
        <v>7.25</v>
      </c>
      <c r="E15" s="838"/>
      <c r="F15" s="922">
        <v>0.15</v>
      </c>
      <c r="G15" s="848">
        <v>0.3</v>
      </c>
      <c r="H15" s="847"/>
      <c r="I15" s="848"/>
      <c r="J15" s="208" t="str">
        <f t="shared" si="1"/>
        <v>4.2</v>
      </c>
      <c r="L15" s="900">
        <v>7.25</v>
      </c>
      <c r="M15" s="899">
        <v>0.34</v>
      </c>
      <c r="N15" s="899" t="s">
        <v>650</v>
      </c>
      <c r="O15" s="899">
        <v>1200</v>
      </c>
      <c r="P15" s="901">
        <v>2.9580000000000006</v>
      </c>
      <c r="Q15" s="899">
        <v>3585</v>
      </c>
      <c r="R15" s="899">
        <v>3585</v>
      </c>
      <c r="S15" s="899">
        <v>2470</v>
      </c>
      <c r="T15" s="899">
        <v>1450</v>
      </c>
      <c r="U15" s="899">
        <v>1670</v>
      </c>
      <c r="V15" s="899">
        <v>1200</v>
      </c>
    </row>
    <row r="16" spans="1:22">
      <c r="A16" s="32" t="s">
        <v>46</v>
      </c>
      <c r="B16" s="204" t="str">
        <f>Begriffe!F23</f>
        <v>Bibliothek</v>
      </c>
      <c r="C16" s="24">
        <v>5</v>
      </c>
      <c r="D16" s="925">
        <v>5.8</v>
      </c>
      <c r="E16" s="838"/>
      <c r="F16" s="922">
        <v>0.15</v>
      </c>
      <c r="G16" s="848">
        <v>0.3</v>
      </c>
      <c r="H16" s="847"/>
      <c r="I16" s="848"/>
      <c r="J16" s="208" t="str">
        <f t="shared" si="1"/>
        <v>4.3</v>
      </c>
      <c r="L16" s="900">
        <v>5.8</v>
      </c>
      <c r="M16" s="899">
        <v>0.34</v>
      </c>
      <c r="N16" s="899" t="s">
        <v>649</v>
      </c>
      <c r="O16" s="899">
        <v>1450</v>
      </c>
      <c r="P16" s="901">
        <v>2.8593999999999999</v>
      </c>
      <c r="Q16" s="899">
        <v>3585</v>
      </c>
      <c r="R16" s="899">
        <v>3585</v>
      </c>
      <c r="S16" s="899">
        <v>2470</v>
      </c>
      <c r="T16" s="899">
        <v>1450</v>
      </c>
      <c r="U16" s="899">
        <v>1670</v>
      </c>
      <c r="V16" s="899">
        <v>1200</v>
      </c>
    </row>
    <row r="17" spans="1:22">
      <c r="A17" s="32" t="s">
        <v>101</v>
      </c>
      <c r="B17" s="204" t="str">
        <f>Begriffe!F24</f>
        <v>Hörsaal</v>
      </c>
      <c r="C17" s="24">
        <v>3</v>
      </c>
      <c r="D17" s="925">
        <v>9.6666666666666661</v>
      </c>
      <c r="E17" s="838"/>
      <c r="F17" s="922">
        <v>0.15</v>
      </c>
      <c r="G17" s="848">
        <v>0.3</v>
      </c>
      <c r="H17" s="847">
        <v>1.5</v>
      </c>
      <c r="I17" s="848">
        <f t="shared" ref="I17:I23" si="3">H17/C17</f>
        <v>0.5</v>
      </c>
      <c r="J17" s="208" t="str">
        <f t="shared" si="1"/>
        <v>4.4</v>
      </c>
      <c r="L17" s="900">
        <v>9.6666666666666661</v>
      </c>
      <c r="M17" s="899">
        <v>0.55000000000000004</v>
      </c>
      <c r="N17" s="899" t="s">
        <v>650</v>
      </c>
      <c r="O17" s="899">
        <v>1720</v>
      </c>
      <c r="P17" s="901">
        <v>9.1446666666666658</v>
      </c>
      <c r="Q17" s="899">
        <v>3585</v>
      </c>
      <c r="R17" s="899">
        <v>3585</v>
      </c>
      <c r="S17" s="899">
        <v>3030</v>
      </c>
      <c r="T17" s="899">
        <v>2520</v>
      </c>
      <c r="U17" s="899">
        <v>2070</v>
      </c>
      <c r="V17" s="899">
        <v>1720</v>
      </c>
    </row>
    <row r="18" spans="1:22">
      <c r="A18" s="35" t="s">
        <v>47</v>
      </c>
      <c r="B18" s="204" t="str">
        <f>Begriffe!F25</f>
        <v>Schulfachraum (Spezialraum)</v>
      </c>
      <c r="C18" s="23">
        <v>5</v>
      </c>
      <c r="D18" s="927">
        <v>5.8</v>
      </c>
      <c r="E18" s="842"/>
      <c r="F18" s="924">
        <v>0.15</v>
      </c>
      <c r="G18" s="852">
        <v>0.3</v>
      </c>
      <c r="H18" s="851">
        <v>1.5</v>
      </c>
      <c r="I18" s="852">
        <f t="shared" si="3"/>
        <v>0.3</v>
      </c>
      <c r="J18" s="208" t="str">
        <f t="shared" si="1"/>
        <v>4.5</v>
      </c>
      <c r="L18" s="900">
        <v>5.8</v>
      </c>
      <c r="M18" s="899">
        <v>0.34</v>
      </c>
      <c r="N18" s="899" t="s">
        <v>649</v>
      </c>
      <c r="O18" s="899">
        <v>2520</v>
      </c>
      <c r="P18" s="901">
        <v>4.9694399999999996</v>
      </c>
      <c r="Q18" s="899">
        <v>3585</v>
      </c>
      <c r="R18" s="899">
        <v>3585</v>
      </c>
      <c r="S18" s="899">
        <v>3030</v>
      </c>
      <c r="T18" s="899">
        <v>2520</v>
      </c>
      <c r="U18" s="899">
        <v>2070</v>
      </c>
      <c r="V18" s="899">
        <v>1720</v>
      </c>
    </row>
    <row r="19" spans="1:22">
      <c r="A19" s="36" t="s">
        <v>48</v>
      </c>
      <c r="B19" s="37" t="str">
        <f>Begriffe!F26</f>
        <v>Lebensmittelverkauf</v>
      </c>
      <c r="C19" s="24">
        <v>8</v>
      </c>
      <c r="D19" s="925">
        <v>3.625</v>
      </c>
      <c r="E19" s="838"/>
      <c r="F19" s="922">
        <v>0.15</v>
      </c>
      <c r="G19" s="848">
        <v>0.3</v>
      </c>
      <c r="H19" s="847">
        <v>1.5</v>
      </c>
      <c r="I19" s="848">
        <f t="shared" si="3"/>
        <v>0.1875</v>
      </c>
      <c r="J19" s="208" t="str">
        <f t="shared" si="1"/>
        <v>5.1</v>
      </c>
      <c r="L19" s="900">
        <v>3.625</v>
      </c>
      <c r="M19" s="899">
        <v>0.55000000000000004</v>
      </c>
      <c r="N19" s="899" t="s">
        <v>649</v>
      </c>
      <c r="O19" s="899">
        <v>3670</v>
      </c>
      <c r="P19" s="901">
        <v>7.3170625000000005</v>
      </c>
      <c r="Q19" s="899">
        <v>6260</v>
      </c>
      <c r="R19" s="899">
        <v>6260</v>
      </c>
      <c r="S19" s="899">
        <v>4910</v>
      </c>
      <c r="T19" s="899">
        <v>3670</v>
      </c>
      <c r="U19" s="899">
        <v>3110</v>
      </c>
      <c r="V19" s="899">
        <v>2440</v>
      </c>
    </row>
    <row r="20" spans="1:22">
      <c r="A20" s="32" t="s">
        <v>49</v>
      </c>
      <c r="B20" s="204" t="str">
        <f>Begriffe!F27</f>
        <v>Fachgeschäft</v>
      </c>
      <c r="C20" s="24">
        <v>8</v>
      </c>
      <c r="D20" s="925">
        <v>3.625</v>
      </c>
      <c r="E20" s="838"/>
      <c r="F20" s="922">
        <v>0.15</v>
      </c>
      <c r="G20" s="848">
        <v>0.3</v>
      </c>
      <c r="H20" s="847">
        <v>1.5</v>
      </c>
      <c r="I20" s="848">
        <f t="shared" si="3"/>
        <v>0.1875</v>
      </c>
      <c r="J20" s="208" t="str">
        <f t="shared" si="1"/>
        <v>5.2</v>
      </c>
      <c r="L20" s="900">
        <v>3.625</v>
      </c>
      <c r="M20" s="899">
        <v>0.55000000000000004</v>
      </c>
      <c r="N20" s="899" t="s">
        <v>649</v>
      </c>
      <c r="O20" s="899">
        <v>3670</v>
      </c>
      <c r="P20" s="901">
        <v>7.3170625000000005</v>
      </c>
      <c r="Q20" s="899">
        <v>6260</v>
      </c>
      <c r="R20" s="899">
        <v>6260</v>
      </c>
      <c r="S20" s="899">
        <v>4910</v>
      </c>
      <c r="T20" s="899">
        <v>3670</v>
      </c>
      <c r="U20" s="899">
        <v>3110</v>
      </c>
      <c r="V20" s="899">
        <v>2440</v>
      </c>
    </row>
    <row r="21" spans="1:22">
      <c r="A21" s="38" t="s">
        <v>50</v>
      </c>
      <c r="B21" s="204" t="str">
        <f>Begriffe!F28</f>
        <v>Verkauf Möbel, Bau, Garten</v>
      </c>
      <c r="C21" s="24">
        <v>15</v>
      </c>
      <c r="D21" s="925">
        <v>1.9333333333333333</v>
      </c>
      <c r="E21" s="838"/>
      <c r="F21" s="922">
        <v>0.15</v>
      </c>
      <c r="G21" s="848">
        <v>0.3</v>
      </c>
      <c r="H21" s="847">
        <v>1.5</v>
      </c>
      <c r="I21" s="848">
        <f t="shared" si="3"/>
        <v>0.1</v>
      </c>
      <c r="J21" s="208" t="str">
        <f t="shared" si="1"/>
        <v>5.3</v>
      </c>
      <c r="L21" s="900">
        <v>1.9333333333333333</v>
      </c>
      <c r="M21" s="899">
        <v>0.55000000000000004</v>
      </c>
      <c r="N21" s="899" t="s">
        <v>648</v>
      </c>
      <c r="O21" s="899">
        <v>6260</v>
      </c>
      <c r="P21" s="901">
        <v>6.6564666666666668</v>
      </c>
      <c r="Q21" s="899">
        <v>6260</v>
      </c>
      <c r="R21" s="899">
        <v>6260</v>
      </c>
      <c r="S21" s="899">
        <v>4910</v>
      </c>
      <c r="T21" s="899">
        <v>3670</v>
      </c>
      <c r="U21" s="899">
        <v>3110</v>
      </c>
      <c r="V21" s="899">
        <v>2440</v>
      </c>
    </row>
    <row r="22" spans="1:22">
      <c r="A22" s="39" t="s">
        <v>51</v>
      </c>
      <c r="B22" s="37" t="str">
        <f>Begriffe!F29</f>
        <v>Restaurant</v>
      </c>
      <c r="C22" s="25">
        <v>2</v>
      </c>
      <c r="D22" s="926">
        <v>14.5</v>
      </c>
      <c r="E22" s="840"/>
      <c r="F22" s="923">
        <v>0.15</v>
      </c>
      <c r="G22" s="850">
        <v>0.3</v>
      </c>
      <c r="H22" s="849">
        <v>15</v>
      </c>
      <c r="I22" s="850">
        <f t="shared" si="3"/>
        <v>7.5</v>
      </c>
      <c r="J22" s="208" t="str">
        <f t="shared" si="1"/>
        <v>6.1</v>
      </c>
      <c r="L22" s="900">
        <v>14.5</v>
      </c>
      <c r="M22" s="899">
        <v>0.55000000000000004</v>
      </c>
      <c r="N22" s="899" t="s">
        <v>650</v>
      </c>
      <c r="O22" s="899">
        <v>1650</v>
      </c>
      <c r="P22" s="901">
        <v>13.15875</v>
      </c>
      <c r="Q22" s="899">
        <v>6260</v>
      </c>
      <c r="R22" s="899">
        <v>6260</v>
      </c>
      <c r="S22" s="899">
        <v>4700</v>
      </c>
      <c r="T22" s="899">
        <v>3270</v>
      </c>
      <c r="U22" s="899">
        <v>2360</v>
      </c>
      <c r="V22" s="899">
        <v>1650</v>
      </c>
    </row>
    <row r="23" spans="1:22">
      <c r="A23" s="38" t="s">
        <v>52</v>
      </c>
      <c r="B23" s="204" t="str">
        <f>Begriffe!F30</f>
        <v>Selbstbedienungsrestaurant</v>
      </c>
      <c r="C23" s="24">
        <v>2</v>
      </c>
      <c r="D23" s="925">
        <v>14.5</v>
      </c>
      <c r="E23" s="838"/>
      <c r="F23" s="922">
        <v>0.15</v>
      </c>
      <c r="G23" s="848">
        <v>0.3</v>
      </c>
      <c r="H23" s="853">
        <v>15</v>
      </c>
      <c r="I23" s="848">
        <f t="shared" si="3"/>
        <v>7.5</v>
      </c>
      <c r="J23" s="208" t="str">
        <f t="shared" si="1"/>
        <v>6.2</v>
      </c>
      <c r="L23" s="900">
        <v>14.5</v>
      </c>
      <c r="M23" s="899">
        <v>0.55000000000000004</v>
      </c>
      <c r="N23" s="899" t="s">
        <v>650</v>
      </c>
      <c r="O23" s="899">
        <v>860</v>
      </c>
      <c r="P23" s="901">
        <v>6.8585000000000012</v>
      </c>
      <c r="Q23" s="899">
        <v>3443</v>
      </c>
      <c r="R23" s="899">
        <v>3443</v>
      </c>
      <c r="S23" s="899">
        <v>2400</v>
      </c>
      <c r="T23" s="899">
        <v>1450</v>
      </c>
      <c r="U23" s="899">
        <v>1280</v>
      </c>
      <c r="V23" s="899">
        <v>860</v>
      </c>
    </row>
    <row r="24" spans="1:22">
      <c r="A24" s="38" t="s">
        <v>53</v>
      </c>
      <c r="B24" s="204" t="str">
        <f>Begriffe!F31</f>
        <v>Küche zu Restaurant</v>
      </c>
      <c r="C24" s="24">
        <v>5</v>
      </c>
      <c r="D24" s="925">
        <v>9.6666666666666679</v>
      </c>
      <c r="E24" s="838">
        <v>80</v>
      </c>
      <c r="F24" s="922">
        <v>0.15</v>
      </c>
      <c r="G24" s="848">
        <v>0.3</v>
      </c>
      <c r="H24" s="847"/>
      <c r="I24" s="848"/>
      <c r="J24" s="208" t="str">
        <f t="shared" si="1"/>
        <v>6.3</v>
      </c>
      <c r="L24" s="900">
        <v>9.6666666666666679</v>
      </c>
      <c r="M24" s="899">
        <v>0.55000000000000004</v>
      </c>
      <c r="N24" s="899" t="s">
        <v>650</v>
      </c>
      <c r="O24" s="899">
        <v>2580</v>
      </c>
      <c r="P24" s="901">
        <v>13.717000000000002</v>
      </c>
      <c r="Q24" s="899">
        <v>5947</v>
      </c>
      <c r="R24" s="899">
        <v>5947</v>
      </c>
      <c r="S24" s="899">
        <v>4800</v>
      </c>
      <c r="T24" s="899">
        <v>3750</v>
      </c>
      <c r="U24" s="899">
        <v>3180</v>
      </c>
      <c r="V24" s="899">
        <v>2580</v>
      </c>
    </row>
    <row r="25" spans="1:22">
      <c r="A25" s="40" t="s">
        <v>54</v>
      </c>
      <c r="B25" s="205" t="str">
        <f>Begriffe!F32</f>
        <v>Küche zu Selbstbedienungsrest.</v>
      </c>
      <c r="C25" s="23">
        <v>5</v>
      </c>
      <c r="D25" s="927">
        <v>9.6666666666666679</v>
      </c>
      <c r="E25" s="842">
        <v>80</v>
      </c>
      <c r="F25" s="924">
        <v>0.15</v>
      </c>
      <c r="G25" s="852">
        <v>0.3</v>
      </c>
      <c r="H25" s="851"/>
      <c r="I25" s="852"/>
      <c r="J25" s="208" t="str">
        <f t="shared" si="1"/>
        <v>6.4</v>
      </c>
      <c r="L25" s="900">
        <v>9.6666666666666679</v>
      </c>
      <c r="M25" s="899">
        <v>0.55000000000000004</v>
      </c>
      <c r="N25" s="899" t="s">
        <v>650</v>
      </c>
      <c r="O25" s="899">
        <v>1470</v>
      </c>
      <c r="P25" s="901">
        <v>7.815500000000001</v>
      </c>
      <c r="Q25" s="899">
        <v>4069</v>
      </c>
      <c r="R25" s="899">
        <v>4069</v>
      </c>
      <c r="S25" s="899">
        <v>3130</v>
      </c>
      <c r="T25" s="899">
        <v>2280</v>
      </c>
      <c r="U25" s="899">
        <v>1910</v>
      </c>
      <c r="V25" s="899">
        <v>1470</v>
      </c>
    </row>
    <row r="26" spans="1:22">
      <c r="A26" s="38" t="s">
        <v>55</v>
      </c>
      <c r="B26" s="204" t="str">
        <f>Begriffe!F33</f>
        <v>Vorstellungsraum</v>
      </c>
      <c r="C26" s="24">
        <v>3</v>
      </c>
      <c r="D26" s="925">
        <v>9.6666666666666661</v>
      </c>
      <c r="E26" s="838"/>
      <c r="F26" s="922">
        <v>0.15</v>
      </c>
      <c r="G26" s="848">
        <v>0.3</v>
      </c>
      <c r="H26" s="847">
        <v>1.5</v>
      </c>
      <c r="I26" s="848">
        <f t="shared" ref="I26:I29" si="4">H26/C26</f>
        <v>0.5</v>
      </c>
      <c r="J26" s="208" t="str">
        <f t="shared" si="1"/>
        <v>7.1</v>
      </c>
      <c r="L26" s="900">
        <v>9.6666666666666661</v>
      </c>
      <c r="M26" s="899">
        <v>0.55000000000000004</v>
      </c>
      <c r="N26" s="899" t="s">
        <v>650</v>
      </c>
      <c r="O26" s="899">
        <v>2190</v>
      </c>
      <c r="P26" s="901">
        <v>11.6435</v>
      </c>
      <c r="Q26" s="899">
        <v>5008</v>
      </c>
      <c r="R26" s="899">
        <v>5008</v>
      </c>
      <c r="S26" s="899">
        <v>4380</v>
      </c>
      <c r="T26" s="899">
        <v>3810</v>
      </c>
      <c r="U26" s="899">
        <v>2720</v>
      </c>
      <c r="V26" s="899">
        <v>2190</v>
      </c>
    </row>
    <row r="27" spans="1:22">
      <c r="A27" s="38" t="s">
        <v>56</v>
      </c>
      <c r="B27" s="204" t="str">
        <f>Begriffe!F34</f>
        <v>Mehrzweckhalle</v>
      </c>
      <c r="C27" s="24">
        <v>3</v>
      </c>
      <c r="D27" s="925">
        <v>9.6666666666666661</v>
      </c>
      <c r="E27" s="838"/>
      <c r="F27" s="922">
        <v>0.15</v>
      </c>
      <c r="G27" s="848">
        <v>0.3</v>
      </c>
      <c r="H27" s="847">
        <v>1.5</v>
      </c>
      <c r="I27" s="848">
        <f t="shared" si="4"/>
        <v>0.5</v>
      </c>
      <c r="J27" s="208" t="str">
        <f t="shared" si="1"/>
        <v>7.2</v>
      </c>
      <c r="L27" s="900">
        <v>9.6666666666666661</v>
      </c>
      <c r="M27" s="899">
        <v>0.55000000000000004</v>
      </c>
      <c r="N27" s="899" t="s">
        <v>650</v>
      </c>
      <c r="O27" s="899">
        <v>3060</v>
      </c>
      <c r="P27" s="901">
        <v>16.268999999999998</v>
      </c>
      <c r="Q27" s="899">
        <v>6260</v>
      </c>
      <c r="R27" s="899">
        <v>6260</v>
      </c>
      <c r="S27" s="899">
        <v>5430</v>
      </c>
      <c r="T27" s="899">
        <v>4670</v>
      </c>
      <c r="U27" s="899">
        <v>3630</v>
      </c>
      <c r="V27" s="899">
        <v>3060</v>
      </c>
    </row>
    <row r="28" spans="1:22">
      <c r="A28" s="38" t="s">
        <v>57</v>
      </c>
      <c r="B28" s="204" t="str">
        <f>Begriffe!F35</f>
        <v>Ausstellungshalle</v>
      </c>
      <c r="C28" s="24">
        <v>3</v>
      </c>
      <c r="D28" s="925">
        <v>9.6666666666666661</v>
      </c>
      <c r="E28" s="838"/>
      <c r="F28" s="922">
        <v>0.15</v>
      </c>
      <c r="G28" s="848">
        <v>0.3</v>
      </c>
      <c r="H28" s="847">
        <v>1.5</v>
      </c>
      <c r="I28" s="848">
        <f t="shared" si="4"/>
        <v>0.5</v>
      </c>
      <c r="J28" s="208" t="str">
        <f t="shared" si="1"/>
        <v>7.3</v>
      </c>
      <c r="L28" s="900">
        <v>9.6666666666666661</v>
      </c>
      <c r="M28" s="899">
        <v>0.55000000000000004</v>
      </c>
      <c r="N28" s="899" t="s">
        <v>650</v>
      </c>
      <c r="O28" s="899">
        <v>3060</v>
      </c>
      <c r="P28" s="901">
        <v>16.268999999999998</v>
      </c>
      <c r="Q28" s="899">
        <v>6260</v>
      </c>
      <c r="R28" s="899">
        <v>6260</v>
      </c>
      <c r="S28" s="899">
        <v>5430</v>
      </c>
      <c r="T28" s="899">
        <v>4670</v>
      </c>
      <c r="U28" s="899">
        <v>3630</v>
      </c>
      <c r="V28" s="899">
        <v>3060</v>
      </c>
    </row>
    <row r="29" spans="1:22">
      <c r="A29" s="34" t="s">
        <v>58</v>
      </c>
      <c r="B29" s="37" t="str">
        <f>Begriffe!F36</f>
        <v xml:space="preserve">Bettenzimmer </v>
      </c>
      <c r="C29" s="25">
        <v>15</v>
      </c>
      <c r="D29" s="926">
        <v>1.9333333333333333</v>
      </c>
      <c r="E29" s="840"/>
      <c r="F29" s="923">
        <v>0.15</v>
      </c>
      <c r="G29" s="850">
        <v>0.3</v>
      </c>
      <c r="H29" s="849">
        <v>60</v>
      </c>
      <c r="I29" s="850">
        <f t="shared" si="4"/>
        <v>4</v>
      </c>
      <c r="J29" s="208" t="str">
        <f t="shared" si="1"/>
        <v>8.1</v>
      </c>
      <c r="L29" s="900">
        <v>1.9333333333333333</v>
      </c>
      <c r="M29" s="899">
        <v>0.55000000000000004</v>
      </c>
      <c r="N29" s="899" t="s">
        <v>648</v>
      </c>
      <c r="O29" s="899">
        <v>8760</v>
      </c>
      <c r="P29" s="901">
        <v>9.3148000000000017</v>
      </c>
      <c r="Q29" s="899">
        <v>8760</v>
      </c>
      <c r="R29" s="899">
        <v>8760</v>
      </c>
      <c r="S29" s="899">
        <v>8760</v>
      </c>
      <c r="T29" s="899">
        <v>8760</v>
      </c>
      <c r="U29" s="899">
        <v>8760</v>
      </c>
      <c r="V29" s="899">
        <v>8760</v>
      </c>
    </row>
    <row r="30" spans="1:22">
      <c r="A30" s="38" t="s">
        <v>59</v>
      </c>
      <c r="B30" s="204" t="str">
        <f>Begriffe!F37</f>
        <v xml:space="preserve">Stationszimmer </v>
      </c>
      <c r="C30" s="24">
        <v>3</v>
      </c>
      <c r="D30" s="925">
        <v>9.6666666666666661</v>
      </c>
      <c r="E30" s="838"/>
      <c r="F30" s="922">
        <v>0.15</v>
      </c>
      <c r="G30" s="848">
        <v>0.3</v>
      </c>
      <c r="H30" s="847"/>
      <c r="I30" s="848"/>
      <c r="J30" s="208" t="str">
        <f t="shared" si="1"/>
        <v>8.2</v>
      </c>
      <c r="L30" s="900">
        <v>9.6666666666666661</v>
      </c>
      <c r="M30" s="899">
        <v>0.55000000000000004</v>
      </c>
      <c r="N30" s="899" t="s">
        <v>650</v>
      </c>
      <c r="O30" s="899">
        <v>3140</v>
      </c>
      <c r="P30" s="901">
        <v>16.694333333333333</v>
      </c>
      <c r="Q30" s="899">
        <v>8760</v>
      </c>
      <c r="R30" s="899">
        <v>8760</v>
      </c>
      <c r="S30" s="899">
        <v>7180</v>
      </c>
      <c r="T30" s="899">
        <v>5740</v>
      </c>
      <c r="U30" s="899">
        <v>4140</v>
      </c>
      <c r="V30" s="899">
        <v>3140</v>
      </c>
    </row>
    <row r="31" spans="1:22">
      <c r="A31" s="40" t="s">
        <v>60</v>
      </c>
      <c r="B31" s="205" t="str">
        <f>Begriffe!F38</f>
        <v>Behandlungsraum</v>
      </c>
      <c r="C31" s="23">
        <v>5</v>
      </c>
      <c r="D31" s="927">
        <v>5.8</v>
      </c>
      <c r="E31" s="842"/>
      <c r="F31" s="924">
        <v>0.15</v>
      </c>
      <c r="G31" s="852">
        <v>0.3</v>
      </c>
      <c r="H31" s="851"/>
      <c r="I31" s="852"/>
      <c r="J31" s="208" t="str">
        <f t="shared" si="1"/>
        <v>8.3</v>
      </c>
      <c r="L31" s="900">
        <v>5.8</v>
      </c>
      <c r="M31" s="899">
        <v>0.55000000000000004</v>
      </c>
      <c r="N31" s="899" t="s">
        <v>649</v>
      </c>
      <c r="O31" s="899">
        <v>3300</v>
      </c>
      <c r="P31" s="901">
        <v>10.526999999999999</v>
      </c>
      <c r="Q31" s="899">
        <v>4695</v>
      </c>
      <c r="R31" s="899">
        <v>4695</v>
      </c>
      <c r="S31" s="899">
        <v>3970</v>
      </c>
      <c r="T31" s="899">
        <v>3300</v>
      </c>
      <c r="U31" s="899">
        <v>2600</v>
      </c>
      <c r="V31" s="899">
        <v>2140</v>
      </c>
    </row>
    <row r="32" spans="1:22">
      <c r="A32" s="39" t="s">
        <v>61</v>
      </c>
      <c r="B32" s="37" t="str">
        <f>Begriffe!F39</f>
        <v>Produktion (grobe Arbeit)</v>
      </c>
      <c r="C32" s="25">
        <v>15</v>
      </c>
      <c r="D32" s="926">
        <v>3.2222222222222223</v>
      </c>
      <c r="E32" s="840">
        <v>10</v>
      </c>
      <c r="F32" s="923">
        <v>0.15</v>
      </c>
      <c r="G32" s="850">
        <v>0.3</v>
      </c>
      <c r="H32" s="849">
        <v>3</v>
      </c>
      <c r="I32" s="850">
        <f t="shared" ref="I32:I38" si="5">H32/C32</f>
        <v>0.2</v>
      </c>
      <c r="J32" s="208" t="str">
        <f t="shared" si="1"/>
        <v>9.1</v>
      </c>
      <c r="L32" s="900">
        <v>3.2222222222222223</v>
      </c>
      <c r="M32" s="899">
        <v>0.55000000000000004</v>
      </c>
      <c r="N32" s="899" t="s">
        <v>649</v>
      </c>
      <c r="O32" s="899">
        <v>4090</v>
      </c>
      <c r="P32" s="901">
        <v>7.2483888888888899</v>
      </c>
      <c r="Q32" s="899">
        <v>6240</v>
      </c>
      <c r="R32" s="899">
        <v>6240</v>
      </c>
      <c r="S32" s="899">
        <v>5110</v>
      </c>
      <c r="T32" s="899">
        <v>4090</v>
      </c>
      <c r="U32" s="899">
        <v>3780</v>
      </c>
      <c r="V32" s="899">
        <v>3200</v>
      </c>
    </row>
    <row r="33" spans="1:22">
      <c r="A33" s="38" t="s">
        <v>62</v>
      </c>
      <c r="B33" s="204" t="str">
        <f>Begriffe!F40</f>
        <v>Produktion (feine Arbeit)</v>
      </c>
      <c r="C33" s="24">
        <v>15</v>
      </c>
      <c r="D33" s="925">
        <v>1.9333333333333333</v>
      </c>
      <c r="E33" s="838">
        <v>5</v>
      </c>
      <c r="F33" s="922">
        <v>0.15</v>
      </c>
      <c r="G33" s="848">
        <v>0.3</v>
      </c>
      <c r="H33" s="847">
        <v>3</v>
      </c>
      <c r="I33" s="848">
        <f t="shared" si="5"/>
        <v>0.2</v>
      </c>
      <c r="J33" s="208" t="str">
        <f t="shared" si="1"/>
        <v>9.2</v>
      </c>
      <c r="L33" s="900">
        <v>1.9333333333333333</v>
      </c>
      <c r="M33" s="899">
        <v>0.55000000000000004</v>
      </c>
      <c r="N33" s="899" t="s">
        <v>648</v>
      </c>
      <c r="O33" s="899">
        <v>3900</v>
      </c>
      <c r="P33" s="901">
        <v>4.1470000000000011</v>
      </c>
      <c r="Q33" s="899">
        <v>3900</v>
      </c>
      <c r="R33" s="899">
        <v>3900</v>
      </c>
      <c r="S33" s="899">
        <v>3290</v>
      </c>
      <c r="T33" s="899">
        <v>2740</v>
      </c>
      <c r="U33" s="899">
        <v>2160</v>
      </c>
      <c r="V33" s="899">
        <v>1780</v>
      </c>
    </row>
    <row r="34" spans="1:22">
      <c r="A34" s="40" t="s">
        <v>103</v>
      </c>
      <c r="B34" s="205" t="str">
        <f>Begriffe!F41</f>
        <v>Laborraum</v>
      </c>
      <c r="C34" s="23">
        <v>15</v>
      </c>
      <c r="D34" s="927">
        <v>1.9333333333333333</v>
      </c>
      <c r="E34" s="842">
        <v>12</v>
      </c>
      <c r="F34" s="924">
        <v>0.15</v>
      </c>
      <c r="G34" s="852">
        <v>0.3</v>
      </c>
      <c r="H34" s="851">
        <v>3</v>
      </c>
      <c r="I34" s="852">
        <f t="shared" si="5"/>
        <v>0.2</v>
      </c>
      <c r="J34" s="208" t="str">
        <f t="shared" si="1"/>
        <v>9.3</v>
      </c>
      <c r="L34" s="900">
        <v>1.9333333333333333</v>
      </c>
      <c r="M34" s="899">
        <v>0.55000000000000004</v>
      </c>
      <c r="N34" s="899" t="s">
        <v>648</v>
      </c>
      <c r="O34" s="899">
        <v>3900</v>
      </c>
      <c r="P34" s="901">
        <v>4.1470000000000011</v>
      </c>
      <c r="Q34" s="899">
        <v>3900</v>
      </c>
      <c r="R34" s="899">
        <v>3900</v>
      </c>
      <c r="S34" s="899">
        <v>3290</v>
      </c>
      <c r="T34" s="899">
        <v>2740</v>
      </c>
      <c r="U34" s="899">
        <v>2160</v>
      </c>
      <c r="V34" s="899">
        <v>1780</v>
      </c>
    </row>
    <row r="35" spans="1:22">
      <c r="A35" s="38" t="s">
        <v>63</v>
      </c>
      <c r="B35" s="204" t="str">
        <f>Begriffe!F42</f>
        <v>Lagerhalle</v>
      </c>
      <c r="C35" s="24">
        <v>40</v>
      </c>
      <c r="D35" s="925">
        <v>1.2083333333333335</v>
      </c>
      <c r="E35" s="838"/>
      <c r="F35" s="922">
        <v>0.15</v>
      </c>
      <c r="G35" s="848">
        <v>0.3</v>
      </c>
      <c r="H35" s="847">
        <v>3</v>
      </c>
      <c r="I35" s="848">
        <f t="shared" si="5"/>
        <v>7.4999999999999997E-2</v>
      </c>
      <c r="J35" s="208" t="str">
        <f t="shared" si="1"/>
        <v>10.1</v>
      </c>
      <c r="L35" s="900">
        <v>1.2083333333333335</v>
      </c>
      <c r="M35" s="899">
        <v>0.34</v>
      </c>
      <c r="N35" s="899" t="s">
        <v>648</v>
      </c>
      <c r="O35" s="899">
        <v>6240</v>
      </c>
      <c r="P35" s="901">
        <v>2.563600000000001</v>
      </c>
      <c r="Q35" s="899">
        <v>6240</v>
      </c>
      <c r="R35" s="899">
        <v>6240</v>
      </c>
      <c r="S35" s="899">
        <v>5110</v>
      </c>
      <c r="T35" s="899">
        <v>4090</v>
      </c>
      <c r="U35" s="899">
        <v>3780</v>
      </c>
      <c r="V35" s="899">
        <v>3200</v>
      </c>
    </row>
    <row r="36" spans="1:22">
      <c r="A36" s="39" t="s">
        <v>64</v>
      </c>
      <c r="B36" s="37" t="str">
        <f>Begriffe!F43</f>
        <v>Turnhalle</v>
      </c>
      <c r="C36" s="25">
        <v>20</v>
      </c>
      <c r="D36" s="926">
        <v>3.625</v>
      </c>
      <c r="E36" s="840"/>
      <c r="F36" s="923">
        <v>0.15</v>
      </c>
      <c r="G36" s="850">
        <v>0.3</v>
      </c>
      <c r="H36" s="849">
        <v>120</v>
      </c>
      <c r="I36" s="841">
        <f t="shared" si="5"/>
        <v>6</v>
      </c>
      <c r="J36" s="208" t="str">
        <f t="shared" si="1"/>
        <v>11.1</v>
      </c>
      <c r="L36" s="900">
        <v>3.625</v>
      </c>
      <c r="M36" s="899">
        <v>0.34</v>
      </c>
      <c r="N36" s="899" t="s">
        <v>649</v>
      </c>
      <c r="O36" s="899">
        <v>3410</v>
      </c>
      <c r="P36" s="901">
        <v>4.2028250000000007</v>
      </c>
      <c r="Q36" s="899">
        <v>4780</v>
      </c>
      <c r="R36" s="899">
        <v>4780</v>
      </c>
      <c r="S36" s="899">
        <v>4060</v>
      </c>
      <c r="T36" s="899">
        <v>3410</v>
      </c>
      <c r="U36" s="899">
        <v>3070</v>
      </c>
      <c r="V36" s="899">
        <v>2640</v>
      </c>
    </row>
    <row r="37" spans="1:22">
      <c r="A37" s="38" t="s">
        <v>65</v>
      </c>
      <c r="B37" s="204" t="str">
        <f>Begriffe!F44</f>
        <v>Fitnessraum</v>
      </c>
      <c r="C37" s="24">
        <v>10</v>
      </c>
      <c r="D37" s="925">
        <v>7.25</v>
      </c>
      <c r="E37" s="838"/>
      <c r="F37" s="922">
        <v>0.15</v>
      </c>
      <c r="G37" s="848">
        <v>0.3</v>
      </c>
      <c r="H37" s="847">
        <v>60</v>
      </c>
      <c r="I37" s="839">
        <f t="shared" si="5"/>
        <v>6</v>
      </c>
      <c r="J37" s="208" t="str">
        <f t="shared" si="1"/>
        <v>11.2</v>
      </c>
      <c r="L37" s="900">
        <v>7.25</v>
      </c>
      <c r="M37" s="899">
        <v>0.55000000000000004</v>
      </c>
      <c r="N37" s="899" t="s">
        <v>650</v>
      </c>
      <c r="O37" s="899">
        <v>3460</v>
      </c>
      <c r="P37" s="901">
        <v>13.796750000000001</v>
      </c>
      <c r="Q37" s="899">
        <v>6260</v>
      </c>
      <c r="R37" s="899">
        <v>6260</v>
      </c>
      <c r="S37" s="899">
        <v>5320</v>
      </c>
      <c r="T37" s="899">
        <v>4470</v>
      </c>
      <c r="U37" s="899">
        <v>4020</v>
      </c>
      <c r="V37" s="899">
        <v>3460</v>
      </c>
    </row>
    <row r="38" spans="1:22">
      <c r="A38" s="40" t="s">
        <v>66</v>
      </c>
      <c r="B38" s="205" t="str">
        <f>Begriffe!F45</f>
        <v>Schwimmhalle</v>
      </c>
      <c r="C38" s="23">
        <v>10</v>
      </c>
      <c r="D38" s="927">
        <v>4.8333333333333339</v>
      </c>
      <c r="E38" s="842">
        <v>20</v>
      </c>
      <c r="F38" s="924">
        <v>0.15</v>
      </c>
      <c r="G38" s="852">
        <v>0.3</v>
      </c>
      <c r="H38" s="851">
        <v>100</v>
      </c>
      <c r="I38" s="843">
        <f t="shared" si="5"/>
        <v>10</v>
      </c>
      <c r="J38" s="208" t="str">
        <f t="shared" si="1"/>
        <v>11.3</v>
      </c>
      <c r="L38" s="900">
        <v>4.8333333333333339</v>
      </c>
      <c r="M38" s="899">
        <v>0.55000000000000004</v>
      </c>
      <c r="N38" s="899" t="s">
        <v>649</v>
      </c>
      <c r="O38" s="899">
        <v>4470</v>
      </c>
      <c r="P38" s="901">
        <v>11.882750000000001</v>
      </c>
      <c r="Q38" s="899">
        <v>6260</v>
      </c>
      <c r="R38" s="899">
        <v>6260</v>
      </c>
      <c r="S38" s="899">
        <v>5320</v>
      </c>
      <c r="T38" s="899">
        <v>4470</v>
      </c>
      <c r="U38" s="899">
        <v>4020</v>
      </c>
      <c r="V38" s="899">
        <v>3460</v>
      </c>
    </row>
    <row r="39" spans="1:22">
      <c r="A39" s="39" t="s">
        <v>67</v>
      </c>
      <c r="B39" s="37" t="str">
        <f>Begriffe!F46</f>
        <v>Verkehrsfläche</v>
      </c>
      <c r="C39" s="25"/>
      <c r="D39" s="926">
        <v>0.5</v>
      </c>
      <c r="E39" s="840"/>
      <c r="F39" s="923">
        <v>0.15</v>
      </c>
      <c r="G39" s="850">
        <v>0.3</v>
      </c>
      <c r="H39" s="849"/>
      <c r="I39" s="854"/>
      <c r="J39" s="208" t="str">
        <f t="shared" si="1"/>
        <v>12.1</v>
      </c>
      <c r="L39" s="900">
        <v>0.5</v>
      </c>
      <c r="M39" s="899">
        <v>0.55000000000000004</v>
      </c>
      <c r="N39" s="899" t="s">
        <v>648</v>
      </c>
      <c r="O39" s="899">
        <v>4420</v>
      </c>
      <c r="P39" s="901">
        <v>1.2155</v>
      </c>
      <c r="Q39" s="899">
        <v>4420</v>
      </c>
      <c r="R39" s="899">
        <v>4420</v>
      </c>
      <c r="S39" s="899">
        <v>2950</v>
      </c>
      <c r="T39" s="899">
        <v>1610</v>
      </c>
      <c r="U39" s="899">
        <v>1530</v>
      </c>
      <c r="V39" s="899">
        <v>920</v>
      </c>
    </row>
    <row r="40" spans="1:22">
      <c r="A40" s="38" t="s">
        <v>68</v>
      </c>
      <c r="B40" s="204" t="str">
        <f>Begriffe!F47</f>
        <v>Verkehrsfläche 24 h</v>
      </c>
      <c r="C40" s="24"/>
      <c r="D40" s="925">
        <v>0.5</v>
      </c>
      <c r="E40" s="838"/>
      <c r="F40" s="922">
        <v>0.15</v>
      </c>
      <c r="G40" s="848">
        <v>0.3</v>
      </c>
      <c r="H40" s="847"/>
      <c r="I40" s="855"/>
      <c r="J40" s="208" t="str">
        <f t="shared" si="1"/>
        <v>12.2</v>
      </c>
      <c r="L40" s="900">
        <v>0.5</v>
      </c>
      <c r="M40" s="899">
        <v>0.55000000000000004</v>
      </c>
      <c r="N40" s="899" t="s">
        <v>648</v>
      </c>
      <c r="O40" s="899">
        <v>6240</v>
      </c>
      <c r="P40" s="901">
        <v>1.7160000000000002</v>
      </c>
      <c r="Q40" s="899">
        <v>6240</v>
      </c>
      <c r="R40" s="899">
        <v>6240</v>
      </c>
      <c r="S40" s="899">
        <v>4160</v>
      </c>
      <c r="T40" s="899">
        <v>2270</v>
      </c>
      <c r="U40" s="899">
        <v>1990</v>
      </c>
      <c r="V40" s="899">
        <v>1150</v>
      </c>
    </row>
    <row r="41" spans="1:22">
      <c r="A41" s="38" t="s">
        <v>69</v>
      </c>
      <c r="B41" s="204" t="str">
        <f>Begriffe!F48</f>
        <v>Treppenhaus</v>
      </c>
      <c r="C41" s="24"/>
      <c r="D41" s="925">
        <v>0.5</v>
      </c>
      <c r="E41" s="838"/>
      <c r="F41" s="922">
        <v>0.15</v>
      </c>
      <c r="G41" s="848">
        <v>0.3</v>
      </c>
      <c r="H41" s="847"/>
      <c r="I41" s="855"/>
      <c r="J41" s="208" t="str">
        <f t="shared" si="1"/>
        <v>12.3</v>
      </c>
      <c r="L41" s="900">
        <v>0.5</v>
      </c>
      <c r="M41" s="899">
        <v>0.55000000000000004</v>
      </c>
      <c r="N41" s="899" t="s">
        <v>1236</v>
      </c>
      <c r="O41" s="899"/>
      <c r="P41" s="901">
        <v>0</v>
      </c>
      <c r="Q41" s="899">
        <v>4420</v>
      </c>
      <c r="R41" s="899">
        <v>4420</v>
      </c>
      <c r="S41" s="899">
        <v>2950</v>
      </c>
      <c r="T41" s="899">
        <v>1610</v>
      </c>
      <c r="U41" s="899">
        <v>1530</v>
      </c>
      <c r="V41" s="899">
        <v>920</v>
      </c>
    </row>
    <row r="42" spans="1:22">
      <c r="A42" s="38" t="s">
        <v>70</v>
      </c>
      <c r="B42" s="204" t="str">
        <f>Begriffe!F49</f>
        <v>Nebenraum</v>
      </c>
      <c r="C42" s="24"/>
      <c r="D42" s="925">
        <v>0.5</v>
      </c>
      <c r="E42" s="838"/>
      <c r="F42" s="922">
        <v>0.15</v>
      </c>
      <c r="G42" s="848">
        <v>0.3</v>
      </c>
      <c r="H42" s="847"/>
      <c r="I42" s="855"/>
      <c r="J42" s="208" t="str">
        <f t="shared" si="1"/>
        <v>12.4</v>
      </c>
      <c r="L42" s="900">
        <v>0.5</v>
      </c>
      <c r="M42" s="899">
        <v>0.28000000000000003</v>
      </c>
      <c r="N42" s="899" t="s">
        <v>648</v>
      </c>
      <c r="O42" s="899">
        <v>4420</v>
      </c>
      <c r="P42" s="901">
        <v>0.61880000000000002</v>
      </c>
      <c r="Q42" s="899">
        <v>4420</v>
      </c>
      <c r="R42" s="899">
        <v>4420</v>
      </c>
      <c r="S42" s="899">
        <v>2950</v>
      </c>
      <c r="T42" s="899">
        <v>1610</v>
      </c>
      <c r="U42" s="899">
        <v>1530</v>
      </c>
      <c r="V42" s="899">
        <v>920</v>
      </c>
    </row>
    <row r="43" spans="1:22">
      <c r="A43" s="38" t="s">
        <v>71</v>
      </c>
      <c r="B43" s="204" t="str">
        <f>Begriffe!F50</f>
        <v>Küche, Teeküche</v>
      </c>
      <c r="C43" s="24">
        <v>2</v>
      </c>
      <c r="D43" s="925">
        <v>14.5</v>
      </c>
      <c r="E43" s="838">
        <v>10</v>
      </c>
      <c r="F43" s="922">
        <v>0.15</v>
      </c>
      <c r="G43" s="848">
        <v>0.3</v>
      </c>
      <c r="H43" s="847"/>
      <c r="I43" s="855"/>
      <c r="J43" s="208" t="str">
        <f t="shared" si="1"/>
        <v>12.5</v>
      </c>
      <c r="L43" s="900">
        <v>14.5</v>
      </c>
      <c r="M43" s="899">
        <v>0.55000000000000004</v>
      </c>
      <c r="N43" s="899" t="s">
        <v>650</v>
      </c>
      <c r="O43" s="899">
        <v>1090</v>
      </c>
      <c r="P43" s="901">
        <v>8.6927500000000002</v>
      </c>
      <c r="Q43" s="899">
        <v>3900</v>
      </c>
      <c r="R43" s="899">
        <v>3900</v>
      </c>
      <c r="S43" s="899">
        <v>2860</v>
      </c>
      <c r="T43" s="899">
        <v>1910</v>
      </c>
      <c r="U43" s="899">
        <v>1530</v>
      </c>
      <c r="V43" s="899">
        <v>1090</v>
      </c>
    </row>
    <row r="44" spans="1:22">
      <c r="A44" s="38" t="s">
        <v>72</v>
      </c>
      <c r="B44" s="204" t="str">
        <f>Begriffe!F51</f>
        <v xml:space="preserve">WC, Bad, Dusche </v>
      </c>
      <c r="C44" s="24"/>
      <c r="D44" s="925">
        <v>8</v>
      </c>
      <c r="E44" s="838"/>
      <c r="F44" s="922">
        <v>0.15</v>
      </c>
      <c r="G44" s="848">
        <v>0.3</v>
      </c>
      <c r="H44" s="847"/>
      <c r="I44" s="855"/>
      <c r="J44" s="208" t="str">
        <f t="shared" si="1"/>
        <v>12.6</v>
      </c>
      <c r="L44" s="900">
        <v>8</v>
      </c>
      <c r="M44" s="899">
        <v>0.28000000000000003</v>
      </c>
      <c r="N44" s="899" t="s">
        <v>650</v>
      </c>
      <c r="O44" s="899">
        <v>1380</v>
      </c>
      <c r="P44" s="901">
        <v>3.0912000000000002</v>
      </c>
      <c r="Q44" s="899">
        <v>3900</v>
      </c>
      <c r="R44" s="899">
        <v>3900</v>
      </c>
      <c r="S44" s="899">
        <v>3120</v>
      </c>
      <c r="T44" s="899">
        <v>2410</v>
      </c>
      <c r="U44" s="899">
        <v>1850</v>
      </c>
      <c r="V44" s="899">
        <v>1380</v>
      </c>
    </row>
    <row r="45" spans="1:22">
      <c r="A45" s="32" t="s">
        <v>73</v>
      </c>
      <c r="B45" s="204" t="str">
        <f>Begriffe!F52</f>
        <v>WC</v>
      </c>
      <c r="C45" s="24"/>
      <c r="D45" s="925">
        <v>8</v>
      </c>
      <c r="E45" s="838"/>
      <c r="F45" s="922">
        <v>0.15</v>
      </c>
      <c r="G45" s="848">
        <v>0.3</v>
      </c>
      <c r="H45" s="847"/>
      <c r="I45" s="855"/>
      <c r="J45" s="208" t="str">
        <f t="shared" si="1"/>
        <v>12.7</v>
      </c>
      <c r="L45" s="900">
        <v>8</v>
      </c>
      <c r="M45" s="899">
        <v>0.28000000000000003</v>
      </c>
      <c r="N45" s="899" t="s">
        <v>650</v>
      </c>
      <c r="O45" s="899">
        <v>1380</v>
      </c>
      <c r="P45" s="901">
        <v>3.0912000000000002</v>
      </c>
      <c r="Q45" s="899">
        <v>3900</v>
      </c>
      <c r="R45" s="899">
        <v>3900</v>
      </c>
      <c r="S45" s="899">
        <v>3120</v>
      </c>
      <c r="T45" s="899">
        <v>2410</v>
      </c>
      <c r="U45" s="899">
        <v>1850</v>
      </c>
      <c r="V45" s="899">
        <v>1380</v>
      </c>
    </row>
    <row r="46" spans="1:22">
      <c r="A46" s="38" t="s">
        <v>74</v>
      </c>
      <c r="B46" s="204" t="str">
        <f>Begriffe!F53</f>
        <v>Garderobe, Dusche</v>
      </c>
      <c r="C46" s="24"/>
      <c r="D46" s="995">
        <v>8</v>
      </c>
      <c r="E46" s="838"/>
      <c r="F46" s="922">
        <v>0.15</v>
      </c>
      <c r="G46" s="848">
        <v>0.3</v>
      </c>
      <c r="H46" s="847"/>
      <c r="I46" s="855"/>
      <c r="J46" s="208" t="str">
        <f t="shared" si="1"/>
        <v>12.8</v>
      </c>
      <c r="L46" s="996">
        <v>8</v>
      </c>
      <c r="M46" s="899">
        <v>0.28000000000000003</v>
      </c>
      <c r="N46" s="899" t="s">
        <v>650</v>
      </c>
      <c r="O46" s="899">
        <v>1380</v>
      </c>
      <c r="P46" s="901">
        <v>7.7280000000000006</v>
      </c>
      <c r="Q46" s="899">
        <v>3900</v>
      </c>
      <c r="R46" s="899">
        <v>3900</v>
      </c>
      <c r="S46" s="899">
        <v>3120</v>
      </c>
      <c r="T46" s="899">
        <v>2410</v>
      </c>
      <c r="U46" s="899">
        <v>1850</v>
      </c>
      <c r="V46" s="899">
        <v>1380</v>
      </c>
    </row>
    <row r="47" spans="1:22">
      <c r="A47" s="38" t="s">
        <v>75</v>
      </c>
      <c r="B47" s="204" t="str">
        <f>Begriffe!F54</f>
        <v>Parkhaus</v>
      </c>
      <c r="C47" s="24"/>
      <c r="D47" s="925"/>
      <c r="E47" s="838">
        <v>2</v>
      </c>
      <c r="F47" s="922">
        <v>0.15</v>
      </c>
      <c r="G47" s="848">
        <v>0.3</v>
      </c>
      <c r="H47" s="847"/>
      <c r="I47" s="855"/>
      <c r="J47" s="208" t="str">
        <f t="shared" si="1"/>
        <v>12.9</v>
      </c>
      <c r="L47" s="900">
        <v>0</v>
      </c>
      <c r="M47" s="899">
        <v>0.14000000000000001</v>
      </c>
      <c r="N47" s="899" t="s">
        <v>648</v>
      </c>
      <c r="O47" s="899">
        <v>5475</v>
      </c>
      <c r="P47" s="901">
        <v>0</v>
      </c>
      <c r="Q47" s="899">
        <v>5475</v>
      </c>
      <c r="R47" s="899">
        <v>5475</v>
      </c>
      <c r="S47" s="899">
        <v>4380</v>
      </c>
      <c r="T47" s="899">
        <v>3380</v>
      </c>
      <c r="U47" s="899">
        <v>2590</v>
      </c>
      <c r="V47" s="899">
        <v>1930</v>
      </c>
    </row>
    <row r="48" spans="1:22">
      <c r="A48" s="38" t="s">
        <v>107</v>
      </c>
      <c r="B48" s="204" t="str">
        <f>Begriffe!F55</f>
        <v>Wasch- und Trockenraum</v>
      </c>
      <c r="C48" s="24"/>
      <c r="D48" s="925">
        <v>4</v>
      </c>
      <c r="E48" s="838"/>
      <c r="F48" s="922">
        <v>0.15</v>
      </c>
      <c r="G48" s="848">
        <v>0.3</v>
      </c>
      <c r="H48" s="847"/>
      <c r="I48" s="855"/>
      <c r="J48" s="208" t="str">
        <f t="shared" si="1"/>
        <v>12.10</v>
      </c>
      <c r="L48" s="900">
        <v>4</v>
      </c>
      <c r="M48" s="899">
        <v>0.28000000000000003</v>
      </c>
      <c r="N48" s="899" t="s">
        <v>649</v>
      </c>
      <c r="O48" s="899">
        <v>2410</v>
      </c>
      <c r="P48" s="901">
        <v>2.6992000000000003</v>
      </c>
      <c r="Q48" s="899">
        <v>3900</v>
      </c>
      <c r="R48" s="899">
        <v>3900</v>
      </c>
      <c r="S48" s="899">
        <v>3120</v>
      </c>
      <c r="T48" s="899">
        <v>2410</v>
      </c>
      <c r="U48" s="899">
        <v>1850</v>
      </c>
      <c r="V48" s="899">
        <v>1380</v>
      </c>
    </row>
    <row r="49" spans="1:22">
      <c r="A49" s="29" t="s">
        <v>108</v>
      </c>
      <c r="B49" s="204" t="str">
        <f>Begriffe!F56</f>
        <v>Kühlraum</v>
      </c>
      <c r="C49" s="24"/>
      <c r="D49" s="925">
        <v>0</v>
      </c>
      <c r="E49" s="838"/>
      <c r="F49" s="922">
        <v>0.15</v>
      </c>
      <c r="G49" s="848">
        <v>0.3</v>
      </c>
      <c r="H49" s="847"/>
      <c r="I49" s="855"/>
      <c r="J49" s="208" t="str">
        <f t="shared" si="1"/>
        <v>12.11</v>
      </c>
      <c r="L49" s="900">
        <v>0</v>
      </c>
      <c r="M49" s="899">
        <v>0</v>
      </c>
      <c r="N49" s="899" t="s">
        <v>1236</v>
      </c>
      <c r="O49" s="899"/>
      <c r="P49" s="901">
        <v>0</v>
      </c>
      <c r="Q49" s="899">
        <v>0</v>
      </c>
      <c r="R49" s="899">
        <v>0</v>
      </c>
      <c r="S49" s="899">
        <v>0</v>
      </c>
      <c r="T49" s="899">
        <v>0</v>
      </c>
      <c r="U49" s="899">
        <v>0</v>
      </c>
      <c r="V49" s="899">
        <v>0</v>
      </c>
    </row>
    <row r="50" spans="1:22">
      <c r="A50" s="35" t="s">
        <v>109</v>
      </c>
      <c r="B50" s="206" t="str">
        <f>Begriffe!F57</f>
        <v>Serverraum</v>
      </c>
      <c r="C50" s="23"/>
      <c r="D50" s="927">
        <v>0.5</v>
      </c>
      <c r="E50" s="842"/>
      <c r="F50" s="924">
        <v>0.15</v>
      </c>
      <c r="G50" s="852">
        <v>0.3</v>
      </c>
      <c r="H50" s="851"/>
      <c r="I50" s="856"/>
      <c r="J50" s="208" t="str">
        <f t="shared" si="1"/>
        <v>12.12</v>
      </c>
      <c r="L50" s="900">
        <v>0.5</v>
      </c>
      <c r="M50" s="899">
        <v>0.55000000000000004</v>
      </c>
      <c r="N50" s="899" t="s">
        <v>648</v>
      </c>
      <c r="O50" s="899">
        <v>5475</v>
      </c>
      <c r="P50" s="901">
        <v>1.5056250000000002</v>
      </c>
      <c r="Q50" s="899">
        <v>5475</v>
      </c>
      <c r="R50" s="899">
        <v>5475</v>
      </c>
      <c r="S50" s="899">
        <v>4380</v>
      </c>
      <c r="T50" s="899">
        <v>3380</v>
      </c>
      <c r="U50" s="899">
        <v>2590</v>
      </c>
      <c r="V50" s="899">
        <v>1930</v>
      </c>
    </row>
  </sheetData>
  <sheetProtection algorithmName="SHA-512" hashValue="X50G4XYu5rA5X4PmTk9FS4igUt/8dP/BOZ8CCAKh47OUs4BiPMtL+INRZh0OcWaMRXOJ9483ziosum550XFF/Q==" saltValue="XLJtZhA+NY3F1VC4x7LJ9w==" spinCount="100000" sheet="1" objects="1" scenarios="1"/>
  <pageMargins left="0.78740157480314965" right="0.78740157480314965" top="0.78740157480314965" bottom="0.78740157480314965" header="0.31496062992125984" footer="0.31496062992125984"/>
  <pageSetup paperSize="9" orientation="portrait" verticalDpi="180" r:id="rId1"/>
  <headerFooter>
    <oddHeader>&amp;LWärmepumpe Erdsonden 35°C&amp;CVersion 1.3&amp;R4/20/2025</oddHeader>
    <oddFooter>&amp;R&amp;F&amp;CSIA 2024, Copyright © 2017 by SIA Zurich</odd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11</vt:i4>
      </vt:variant>
    </vt:vector>
  </HeadingPairs>
  <TitlesOfParts>
    <vt:vector size="16" baseType="lpstr">
      <vt:lpstr>Anleitung</vt:lpstr>
      <vt:lpstr>Gebäude</vt:lpstr>
      <vt:lpstr>Lüftung</vt:lpstr>
      <vt:lpstr>Erzeugung</vt:lpstr>
      <vt:lpstr>Resultate</vt:lpstr>
      <vt:lpstr>Anleitung!Druckbereich</vt:lpstr>
      <vt:lpstr>'Berechnung LU'!Druckbereich</vt:lpstr>
      <vt:lpstr>Gebäude!Druckbereich</vt:lpstr>
      <vt:lpstr>Lizenzieren!Druckbereich</vt:lpstr>
      <vt:lpstr>Lüftung!Druckbereich</vt:lpstr>
      <vt:lpstr>Resultate!Druckbereich</vt:lpstr>
      <vt:lpstr>Gebäude!ImportEl</vt:lpstr>
      <vt:lpstr>Kanton</vt:lpstr>
      <vt:lpstr>Anleitung!OLE_LINK1</vt:lpstr>
      <vt:lpstr>Anleitung!OLE_LINK2</vt:lpstr>
      <vt:lpstr>Res</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mme</dc:creator>
  <cp:lastModifiedBy>Sven Ziegenrücker | SIA</cp:lastModifiedBy>
  <cp:lastPrinted>2021-10-27T09:21:18Z</cp:lastPrinted>
  <dcterms:created xsi:type="dcterms:W3CDTF">2009-04-27T09:42:46Z</dcterms:created>
  <dcterms:modified xsi:type="dcterms:W3CDTF">2025-04-22T06:15:47Z</dcterms:modified>
</cp:coreProperties>
</file>